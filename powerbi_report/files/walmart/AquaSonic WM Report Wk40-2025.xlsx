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Summary" sheetId="1" r:id="rId4"/>
    <sheet state="visible" name="All Item Detail" sheetId="2" r:id="rId5"/>
    <sheet state="visible" name="Scorecard Aquasonic" sheetId="3" r:id="rId6"/>
    <sheet state="hidden" name="All Item Detail Data" sheetId="4" r:id="rId7"/>
    <sheet state="hidden" name="Last Week Data" sheetId="5" r:id="rId8"/>
    <sheet state="hidden" name="Luminate Sales Data" sheetId="6" r:id="rId9"/>
    <sheet state="hidden" name="Luminate Markdown" sheetId="7" r:id="rId10"/>
    <sheet state="hidden" name="Luminate Warehouse Inv" sheetId="8" r:id="rId11"/>
    <sheet state="hidden" name="Luminate Item Data" sheetId="9" r:id="rId12"/>
    <sheet state="visible" name="Email Template" sheetId="10" r:id="rId13"/>
    <sheet state="visible" name="Content Scores" sheetId="11" r:id="rId14"/>
    <sheet state="hidden" name="Luminate Forecast" sheetId="12" r:id="rId15"/>
  </sheets>
  <definedNames>
    <definedName hidden="1" localSheetId="1" name="_xlnm._FilterDatabase">'All Item Detail'!$B$6:$BG$24</definedName>
    <definedName hidden="1" localSheetId="3" name="_xlnm._FilterDatabase">'All Item Detail Data'!$B$2:$BG$2</definedName>
    <definedName hidden="1" localSheetId="8" name="_xlnm._FilterDatabase">'Luminate Item Data'!$A$39:$AW$41</definedName>
    <definedName hidden="1" localSheetId="0" name="Z_89295CDF_FB07_4C48_A0E6_29F0E77B1F0C_.wvu.FilterData">'Sales Summary'!$B$2:$AX$4</definedName>
    <definedName hidden="1" localSheetId="10" name="Z_E140DE36_FAE0_410E_961A_7CA9FFF7FC5D_.wvu.FilterData">'Content Scores'!$A$1:$D$5</definedName>
  </definedNames>
  <calcPr/>
  <customWorkbookViews>
    <customWorkbookView activeSheetId="0" maximized="1" windowHeight="0" windowWidth="0" guid="{89295CDF-FB07-4C48-A0E6-29F0E77B1F0C}" name="Table4 filter view"/>
    <customWorkbookView activeSheetId="0" maximized="1" windowHeight="0" windowWidth="0" guid="{E140DE36-FAE0-410E-961A-7CA9FFF7FC5D}" name="Table1 filter view"/>
  </customWorkbookViews>
  <pivotCaches>
    <pivotCache cacheId="0" r:id="rId16"/>
    <pivotCache cacheId="1" r:id="rId17"/>
  </pivotCaches>
  <extLst>
    <ext uri="GoogleSheetsCustomDataVersion2">
      <go:sheetsCustomData xmlns:go="http://customooxmlschemas.google.com/" r:id="rId18" roundtripDataChecksum="OQ3y7OlISsq/2/LrF23ZyukYKBdMOP1ZtHypqui2RxU="/>
    </ext>
  </extLst>
</workbook>
</file>

<file path=xl/sharedStrings.xml><?xml version="1.0" encoding="utf-8"?>
<sst xmlns="http://schemas.openxmlformats.org/spreadsheetml/2006/main" count="1050" uniqueCount="341">
  <si>
    <r>
      <rPr>
        <rFont val="Calibri"/>
        <b/>
        <color rgb="FF595959"/>
        <sz val="20.0"/>
      </rPr>
      <t xml:space="preserve">Sales | </t>
    </r>
    <r>
      <rPr>
        <rFont val="Calibri"/>
        <b/>
        <color rgb="FF212A40"/>
        <sz val="20.0"/>
      </rPr>
      <t>Weekly Summary</t>
    </r>
  </si>
  <si>
    <t>Prime Item Nbr</t>
  </si>
  <si>
    <t>Prime Item Desc</t>
  </si>
  <si>
    <t>Vendor Stk Nbr</t>
  </si>
  <si>
    <t xml:space="preserve"> Curr Repl Instock %</t>
  </si>
  <si>
    <t xml:space="preserve"> LW U/S/W</t>
  </si>
  <si>
    <t xml:space="preserve"> LW $/S/W</t>
  </si>
  <si>
    <t>YTD $/P/W</t>
  </si>
  <si>
    <t xml:space="preserve"> Wkly Sell Thru %</t>
  </si>
  <si>
    <t xml:space="preserve"> Unit Cost</t>
  </si>
  <si>
    <t xml:space="preserve"> Unit Retail</t>
  </si>
  <si>
    <t xml:space="preserve"> Avg Retail</t>
  </si>
  <si>
    <t>YTD AUR</t>
  </si>
  <si>
    <t xml:space="preserve"> MU %</t>
  </si>
  <si>
    <t xml:space="preserve"> Curr Traited Store/Item Comb</t>
  </si>
  <si>
    <t>Traited Store LY</t>
  </si>
  <si>
    <t>LW Store Count Chg %</t>
  </si>
  <si>
    <t xml:space="preserve"> LW POS Qty</t>
  </si>
  <si>
    <t xml:space="preserve"> LY LW POS Qty</t>
  </si>
  <si>
    <t xml:space="preserve"> LW Sales Qty Chng</t>
  </si>
  <si>
    <t>LW POS Cost</t>
  </si>
  <si>
    <t xml:space="preserve"> LW POS Sales</t>
  </si>
  <si>
    <t xml:space="preserve"> LY LW POS Sales</t>
  </si>
  <si>
    <t xml:space="preserve"> LW Sales Chng</t>
  </si>
  <si>
    <t xml:space="preserve"> YTD POS Qty</t>
  </si>
  <si>
    <t xml:space="preserve"> LY YTD POS Qty</t>
  </si>
  <si>
    <t xml:space="preserve"> YTD Sales Qty Chng</t>
  </si>
  <si>
    <t xml:space="preserve"> YTD POS Sales</t>
  </si>
  <si>
    <t xml:space="preserve"> LY YTD POS Sales</t>
  </si>
  <si>
    <t xml:space="preserve"> YTD Sales Chng</t>
  </si>
  <si>
    <t xml:space="preserve"> YTD Sell Thru %</t>
  </si>
  <si>
    <t xml:space="preserve"> LW Gross Ship Qty</t>
  </si>
  <si>
    <t xml:space="preserve"> YTD Gross Ship Qty</t>
  </si>
  <si>
    <t xml:space="preserve"> LW Total Customer Item Return</t>
  </si>
  <si>
    <t xml:space="preserve"> LW Total Return Rate</t>
  </si>
  <si>
    <t xml:space="preserve"> YTD Def Rate (sales)</t>
  </si>
  <si>
    <t xml:space="preserve"> YTD Total Customer Item Return</t>
  </si>
  <si>
    <t xml:space="preserve"> YTD Total Return Rate</t>
  </si>
  <si>
    <t xml:space="preserve"> LW SI Total MUMD $</t>
  </si>
  <si>
    <t xml:space="preserve"> YTD SI Total MUMD $</t>
  </si>
  <si>
    <t xml:space="preserve"> 52/53 WK FC Units</t>
  </si>
  <si>
    <t xml:space="preserve"> Frcst WOS</t>
  </si>
  <si>
    <t xml:space="preserve"> Curr Str On Hand Qty</t>
  </si>
  <si>
    <t xml:space="preserve"> Curr Str In Transit Qty</t>
  </si>
  <si>
    <t xml:space="preserve"> Curr Str In Whse Qty</t>
  </si>
  <si>
    <t xml:space="preserve"> Curr Str On Order Qty</t>
  </si>
  <si>
    <t xml:space="preserve"> Curr Whse On Hand Qty</t>
  </si>
  <si>
    <t xml:space="preserve"> Curr Whse SS Order Qty</t>
  </si>
  <si>
    <t>UPC</t>
  </si>
  <si>
    <t>Effective Date</t>
  </si>
  <si>
    <t>AQUASONIC WFLS PREC</t>
  </si>
  <si>
    <t>AS TOOTHBRUSH</t>
  </si>
  <si>
    <t>Grand Totals</t>
  </si>
  <si>
    <r>
      <rPr>
        <rFont val="Calibri"/>
        <b/>
        <color rgb="FF595959"/>
        <sz val="20.0"/>
      </rPr>
      <t xml:space="preserve">Replenishment | </t>
    </r>
    <r>
      <rPr>
        <rFont val="Calibri"/>
        <b/>
        <color rgb="FF212A40"/>
        <sz val="20.0"/>
      </rPr>
      <t>All Item Detail</t>
    </r>
  </si>
  <si>
    <t>WOW Increase/Decrease</t>
  </si>
  <si>
    <t>Total Sales Units per Week</t>
  </si>
  <si>
    <t>Total Sales $</t>
  </si>
  <si>
    <t>Total TSC</t>
  </si>
  <si>
    <t>Acct Dept Nbr</t>
  </si>
  <si>
    <t xml:space="preserve">Unique </t>
  </si>
  <si>
    <t>Data Type</t>
  </si>
  <si>
    <t>AS-PREC-FLOS-BK</t>
  </si>
  <si>
    <t>573415018POS Sales</t>
  </si>
  <si>
    <t>POS Sales $</t>
  </si>
  <si>
    <t>573415018POS Qty</t>
  </si>
  <si>
    <t>POS Qty</t>
  </si>
  <si>
    <t>573415018POS Qty if Instock</t>
  </si>
  <si>
    <t>POS Qty if Instock</t>
  </si>
  <si>
    <t>573415018USW</t>
  </si>
  <si>
    <t>Units per Store per Week (w/zeros)</t>
  </si>
  <si>
    <t>573415018Avg Price</t>
  </si>
  <si>
    <t>Avg Price</t>
  </si>
  <si>
    <t>573415018Avg Traited Store/Item Comb.</t>
  </si>
  <si>
    <t>Traited Stores</t>
  </si>
  <si>
    <t>573415018Avg Instock %</t>
  </si>
  <si>
    <t>Instock</t>
  </si>
  <si>
    <t>573415018Forecast</t>
  </si>
  <si>
    <t>Forecast</t>
  </si>
  <si>
    <t>573415019Variance</t>
  </si>
  <si>
    <t>Variance</t>
  </si>
  <si>
    <t>AS-PREC-TB-BK</t>
  </si>
  <si>
    <t>Last Week</t>
  </si>
  <si>
    <t>Current Month</t>
  </si>
  <si>
    <t>Last Month</t>
  </si>
  <si>
    <t>Year</t>
  </si>
  <si>
    <t>Q1</t>
  </si>
  <si>
    <t>Q2</t>
  </si>
  <si>
    <t>Q3</t>
  </si>
  <si>
    <t>Q4</t>
  </si>
  <si>
    <t>(202540-202540/202441-202441)</t>
  </si>
  <si>
    <t>(202540-202541/202441-202442)</t>
  </si>
  <si>
    <t>(202536-202539/202437-202440)</t>
  </si>
  <si>
    <t>(202501-202541/202402-202442)</t>
  </si>
  <si>
    <t>(202501-202513/202401-202413)</t>
  </si>
  <si>
    <t>(202514-202526/202414-202426)</t>
  </si>
  <si>
    <t>(202527-202539/202427-202439)</t>
  </si>
  <si>
    <t>(202540-202552/202440-202452)</t>
  </si>
  <si>
    <t>TY</t>
  </si>
  <si>
    <t>LY</t>
  </si>
  <si>
    <t>Diff</t>
  </si>
  <si>
    <t>Vendor Scorecard  - Vendor 122289 / AQUASONIC LLC</t>
  </si>
  <si>
    <t>Store Sales</t>
  </si>
  <si>
    <t>POS Sales in dollars</t>
  </si>
  <si>
    <t>Comp Sales in dollars</t>
  </si>
  <si>
    <t>POS Sales in Units</t>
  </si>
  <si>
    <t>AUR (Avg Unit Retail)</t>
  </si>
  <si>
    <t>Store Returns in dollars</t>
  </si>
  <si>
    <t>Store Returns as % of POS Sales</t>
  </si>
  <si>
    <t>Store Inventory</t>
  </si>
  <si>
    <t>Retail Dollar Inventory</t>
  </si>
  <si>
    <t>Cost Dollar Inventory</t>
  </si>
  <si>
    <t>Cost On Order</t>
  </si>
  <si>
    <t>Repl Instock %</t>
  </si>
  <si>
    <t>Unit Turns</t>
  </si>
  <si>
    <t>Retail turns</t>
  </si>
  <si>
    <t>Store Weeks of Supply/ Weeks on Hand</t>
  </si>
  <si>
    <t>Ships at Retail</t>
  </si>
  <si>
    <t>Ships at cost</t>
  </si>
  <si>
    <t>DC Inventory</t>
  </si>
  <si>
    <t>Ships At Cost WHSE</t>
  </si>
  <si>
    <t>Warehouse Weeks of Supply/Weeks on Hand</t>
  </si>
  <si>
    <t>Cost On Hand</t>
  </si>
  <si>
    <t>Warehouse Turns</t>
  </si>
  <si>
    <t>Margins and Markdowns</t>
  </si>
  <si>
    <t>Gross Initial Margin %</t>
  </si>
  <si>
    <t>Maintain Margin %</t>
  </si>
  <si>
    <t>Net Maintain Margin %</t>
  </si>
  <si>
    <t>Net Maintained Margin $</t>
  </si>
  <si>
    <t>GMROII</t>
  </si>
  <si>
    <t>MUMD Dollars</t>
  </si>
  <si>
    <t>MUMD Percent To Sales</t>
  </si>
  <si>
    <r>
      <rPr>
        <rFont val="Calibri"/>
        <b/>
        <color rgb="FF595959"/>
        <sz val="20.0"/>
      </rPr>
      <t xml:space="preserve">Replenishment | </t>
    </r>
    <r>
      <rPr>
        <rFont val="Calibri"/>
        <b/>
        <color rgb="FF212A40"/>
        <sz val="20.0"/>
      </rPr>
      <t>All Item Detail</t>
    </r>
  </si>
  <si>
    <t>pos_sales_this_year</t>
  </si>
  <si>
    <t>pos_quantity_this_year</t>
  </si>
  <si>
    <t>traited_store_count_this_year</t>
  </si>
  <si>
    <t>repl_instock_percentage_this_year_eop</t>
  </si>
  <si>
    <t>prime_item_number</t>
  </si>
  <si>
    <t>all_links_item_description</t>
  </si>
  <si>
    <t>LW_pos_quantity_this_year</t>
  </si>
  <si>
    <t>LW_pos_quantity_last_year</t>
  </si>
  <si>
    <t>LW_pos_sales_this_year</t>
  </si>
  <si>
    <t>LW_pos_sales_last_year</t>
  </si>
  <si>
    <t>LW_units_per_str_with_sales_per_week_or_per_day_ty</t>
  </si>
  <si>
    <t>LW_units_per_str_with_sales_per_week_or_per_day_ly</t>
  </si>
  <si>
    <t>LW_dollar_per_str_with_sales_per_week_or_per_day_ty</t>
  </si>
  <si>
    <t>LW_dollar_per_str_with_sales_per_week_or_per_day_ly</t>
  </si>
  <si>
    <t>LW_gross_receipt_quantity_this_year</t>
  </si>
  <si>
    <t>LW_gross_receipt_quantity_last_year</t>
  </si>
  <si>
    <t>LW_total_store_customer_returns_amount_defective_this_year</t>
  </si>
  <si>
    <t>LW_total_store_customer_returns_amount_defective_last_year</t>
  </si>
  <si>
    <t>LW_total_store_customer_returns_quantity_defective_this_year</t>
  </si>
  <si>
    <t>LW_total_store_customer_returns_quantity_defective_last_year</t>
  </si>
  <si>
    <t>LW_total_store_customer_returns_quantity_this_year</t>
  </si>
  <si>
    <t>LW_total_store_customer_returns_quantity_last_year</t>
  </si>
  <si>
    <t>LW_total_store_customer_returns_amount_this_year</t>
  </si>
  <si>
    <t>LW_total_store_customer_returns_amount_last_year</t>
  </si>
  <si>
    <t>YTD_pos_quantity_this_year</t>
  </si>
  <si>
    <t>YTD_pos_quantity_last_year</t>
  </si>
  <si>
    <t>YTD_pos_sales_this_year</t>
  </si>
  <si>
    <t>YTD_pos_sales_last_year</t>
  </si>
  <si>
    <t>YTD_units_per_str_with_sales_per_week_or_per_day_ty</t>
  </si>
  <si>
    <t>YTD_units_per_str_with_sales_per_week_or_per_day_ly</t>
  </si>
  <si>
    <t>YTD_dollar_per_str_with_sales_per_week_or_per_day_ty</t>
  </si>
  <si>
    <t>YTD_dollar_per_str_with_sales_per_week_or_per_day_ly</t>
  </si>
  <si>
    <t>YTD_gross_receipt_quantity_this_year</t>
  </si>
  <si>
    <t>YTD_gross_receipt_quantity_last_year</t>
  </si>
  <si>
    <t>YTD_total_store_customer_returns_amount_defective_this_year</t>
  </si>
  <si>
    <t>YTD_total_store_customer_returns_amount_defective_last_year</t>
  </si>
  <si>
    <t>YTD_total_store_customer_returns_quantity_defective_this_year</t>
  </si>
  <si>
    <t>YTD_total_store_customer_returns_quantity_defective_last_year</t>
  </si>
  <si>
    <t>YTD_total_store_customer_returns_quantity_this_year</t>
  </si>
  <si>
    <t>YTD_total_store_customer_returns_quantity_last_year</t>
  </si>
  <si>
    <t>YTD_total_store_customer_returns_amount_this_year</t>
  </si>
  <si>
    <t>YTD_total_store_customer_returns_amount_last_year</t>
  </si>
  <si>
    <t>consumer_item_description</t>
  </si>
  <si>
    <t>LW_mumd_amount_this_year</t>
  </si>
  <si>
    <t>LW_mumd_amount_last_year</t>
  </si>
  <si>
    <t>YTD_mumd_amount_this_year</t>
  </si>
  <si>
    <t>YTD_mumd_amount_last_year</t>
  </si>
  <si>
    <t>AQUASONIC PRECISION</t>
  </si>
  <si>
    <t>warehouse_pack_quantity</t>
  </si>
  <si>
    <t>warehouse_pack_quantity_this_year</t>
  </si>
  <si>
    <t>warehouse_packs_on_order_this_year</t>
  </si>
  <si>
    <t>Eaches On Order</t>
  </si>
  <si>
    <t>vendor_stock_id</t>
  </si>
  <si>
    <t>walmart_upc_number</t>
  </si>
  <si>
    <t>item_start_date</t>
  </si>
  <si>
    <t>item_order_effective_date</t>
  </si>
  <si>
    <t>unit_cost_amount</t>
  </si>
  <si>
    <t>base_unit_retail_amount</t>
  </si>
  <si>
    <t>warehouse_alignment_type_code</t>
  </si>
  <si>
    <t>item_type_code</t>
  </si>
  <si>
    <t>item_status_code</t>
  </si>
  <si>
    <t>item_replenishment_indicator</t>
  </si>
  <si>
    <t>cancel_when_out_indicator</t>
  </si>
  <si>
    <t>color_description</t>
  </si>
  <si>
    <t>size_description</t>
  </si>
  <si>
    <t>brand_name</t>
  </si>
  <si>
    <t>vendor_pack_quantity</t>
  </si>
  <si>
    <t>vendor_pack_cost_amount</t>
  </si>
  <si>
    <t>vendor_number</t>
  </si>
  <si>
    <t>vendor_name</t>
  </si>
  <si>
    <t>vendor_sequence_number</t>
  </si>
  <si>
    <t>buyer_name</t>
  </si>
  <si>
    <t>accounting_department_number</t>
  </si>
  <si>
    <t>omni_department_description</t>
  </si>
  <si>
    <t>omni_category_group_description</t>
  </si>
  <si>
    <t>omni_subcategory_description</t>
  </si>
  <si>
    <t>fineline_description</t>
  </si>
  <si>
    <t>fineline_number</t>
  </si>
  <si>
    <t>consumer_id</t>
  </si>
  <si>
    <t>item_cube_quantity</t>
  </si>
  <si>
    <t>item_weight_quantity</t>
  </si>
  <si>
    <t>item_height_quantity</t>
  </si>
  <si>
    <t>item_length_quantity</t>
  </si>
  <si>
    <t>item_width_quantity</t>
  </si>
  <si>
    <t>vendor_pack_weight_quantity</t>
  </si>
  <si>
    <t>vendor_pack_height_quantity</t>
  </si>
  <si>
    <t>vendor_pack_length_quantity</t>
  </si>
  <si>
    <t>vendor_pack_width_quantity</t>
  </si>
  <si>
    <t>warehouse_pack_weight_quantity</t>
  </si>
  <si>
    <t>warehouse_pack_height_quantity</t>
  </si>
  <si>
    <t>warehouse_pack_length_quantity</t>
  </si>
  <si>
    <t>warehouse_pack_width_quantity</t>
  </si>
  <si>
    <t>202532_traited_store_count_this_year</t>
  </si>
  <si>
    <t>202532_repl_instock_percentage_this_year_eop</t>
  </si>
  <si>
    <t>202532_store_on_hand_quantity_this_year_eop</t>
  </si>
  <si>
    <t>202532_store_in_transit_quantity_this_year</t>
  </si>
  <si>
    <t>202532_store_in_warehouse_quantity_this_year</t>
  </si>
  <si>
    <t>202532_store_on_order_quantity_this_year</t>
  </si>
  <si>
    <t>202532_traited_store_count_last_year</t>
  </si>
  <si>
    <t>store_on_hand_quantity_this_year_eop</t>
  </si>
  <si>
    <t>store_in_transit_quantity_this_year</t>
  </si>
  <si>
    <t>store_in_warehouse_quantity_this_year</t>
  </si>
  <si>
    <t>store_on_order_quantity_this_year</t>
  </si>
  <si>
    <t>traited_store_count_last_year</t>
  </si>
  <si>
    <t>WH</t>
  </si>
  <si>
    <t>A</t>
  </si>
  <si>
    <t>BLACK</t>
  </si>
  <si>
    <t>NA</t>
  </si>
  <si>
    <t>AquaSonic</t>
  </si>
  <si>
    <t>AQUASONIC LLC</t>
  </si>
  <si>
    <t>Jared Pinkerton</t>
  </si>
  <si>
    <t>PERSONAL CARE</t>
  </si>
  <si>
    <t>ORAL CARE</t>
  </si>
  <si>
    <t>WATER FLOSSERS</t>
  </si>
  <si>
    <t>BASE WATER FLOSSERS</t>
  </si>
  <si>
    <t>PORTABLE WATER FLOSSERS</t>
  </si>
  <si>
    <t>AS-PREC-TB-RG</t>
  </si>
  <si>
    <t>G1</t>
  </si>
  <si>
    <t>GOLD</t>
  </si>
  <si>
    <t>Aquasonic LLC</t>
  </si>
  <si>
    <t>Invalid</t>
  </si>
  <si>
    <t>BATTERY TOOTHBRUSHES</t>
  </si>
  <si>
    <t>DOTCOM ONLY</t>
  </si>
  <si>
    <t>AS-PREC-FLOS-WH</t>
  </si>
  <si>
    <t>WHITE</t>
  </si>
  <si>
    <t>For last week</t>
  </si>
  <si>
    <t>For last 4 weeks</t>
  </si>
  <si>
    <t>Year to Date</t>
  </si>
  <si>
    <t>LW</t>
  </si>
  <si>
    <t>Change</t>
  </si>
  <si>
    <t>$ sales</t>
  </si>
  <si>
    <t>Units</t>
  </si>
  <si>
    <t>AUR</t>
  </si>
  <si>
    <t>BIS sales</t>
  </si>
  <si>
    <t>Digital</t>
  </si>
  <si>
    <t>Prime Item Number</t>
  </si>
  <si>
    <t>Item Desc</t>
  </si>
  <si>
    <t>Content Score</t>
  </si>
  <si>
    <t>677410826</t>
  </si>
  <si>
    <t>AquaSonic Precision Rechargeable Cordless Water Flosser with Travel Bag and 2 Standard Flossing Tips - Black</t>
  </si>
  <si>
    <t>0085007565805</t>
  </si>
  <si>
    <t>677536463</t>
  </si>
  <si>
    <t>Aquasonic Precision Ultra Whitening Rechargeable Toothbrush with 4 ProFlex Brush Heads &amp; Travel Case, ADA Accepted, 5 Modes, Wireless Charging, 50,000 VPM Power, Rose Gold</t>
  </si>
  <si>
    <t>0085007565801</t>
  </si>
  <si>
    <t>679250386</t>
  </si>
  <si>
    <t>Aquasonic Precision Flosser, Rechargeable Cordless Water Flosser with 4 Modes, 8 Pressure Levels, 2 Tips &amp; Travel Bag, White</t>
  </si>
  <si>
    <t>0085007565803</t>
  </si>
  <si>
    <t>679250397</t>
  </si>
  <si>
    <t>AquaSonic Precision Ultra-Whitening Rechargeable Electric Toothbrush, 5 Modes, 30-day Battery, Travel case + 4 ProFlex Brush Heads - Black</t>
  </si>
  <si>
    <t>0085007565821</t>
  </si>
  <si>
    <t>all_links_item_desc_1</t>
  </si>
  <si>
    <t>walmart_calendar_week</t>
  </si>
  <si>
    <t>final_fcst_each_qty</t>
  </si>
  <si>
    <t>Frcst Wk</t>
  </si>
  <si>
    <t>Sum of final_fcst_each_qty</t>
  </si>
  <si>
    <t/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</si>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</sst>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.00"/>
    <numFmt numFmtId="165" formatCode="&quot;$&quot;#,##0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0.0%"/>
    <numFmt numFmtId="169" formatCode="&quot;$&quot;#,##0_);[Red]\(&quot;$&quot;#,##0\)"/>
    <numFmt numFmtId="170" formatCode="_(* #,##0_);_(* \(#,##0\);_(* &quot;-&quot;??_);_(@_)"/>
    <numFmt numFmtId="171" formatCode="\$#,##0.00"/>
    <numFmt numFmtId="172" formatCode="0.00%;[Red]0.00%"/>
    <numFmt numFmtId="173" formatCode="yyyy\-mm\-dd"/>
    <numFmt numFmtId="174" formatCode="&quot;$&quot;#,##0.00_);[Red]\(&quot;$&quot;#,##0.00\)"/>
  </numFmts>
  <fonts count="29">
    <font>
      <sz val="12.0"/>
      <color theme="1"/>
      <name val="Calibri"/>
      <scheme val="minor"/>
    </font>
    <font>
      <b/>
      <sz val="20.0"/>
      <color rgb="FF595959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theme="0"/>
      <name val="Calibri"/>
    </font>
    <font>
      <sz val="12.0"/>
      <color rgb="FFFFFFFF"/>
      <name val="Calibri"/>
    </font>
    <font>
      <sz val="10.0"/>
      <color theme="1"/>
      <name val="Arial"/>
    </font>
    <font>
      <b/>
      <sz val="12.0"/>
      <color theme="0"/>
      <name val="Calibri"/>
    </font>
    <font>
      <sz val="12.0"/>
      <color theme="9"/>
      <name val="Calibri"/>
    </font>
    <font>
      <sz val="12.0"/>
      <color rgb="FFFF0000"/>
      <name val="Calibri"/>
    </font>
    <font>
      <sz val="12.0"/>
      <color rgb="FF00B050"/>
      <name val="Calibri"/>
    </font>
    <font>
      <b/>
      <sz val="10.0"/>
      <color theme="0"/>
      <name val="Calibri"/>
    </font>
    <font>
      <sz val="11.0"/>
      <color rgb="FFD8D8D8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0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  <font>
      <sz val="10.0"/>
      <color rgb="FF000000"/>
      <name val="Arial"/>
    </font>
    <font>
      <b/>
      <sz val="11.0"/>
      <color rgb="FFFA7D00"/>
      <name val="Calibri"/>
    </font>
    <font>
      <sz val="9.0"/>
      <color rgb="FF242424"/>
      <name val="Quattrocento Sans"/>
    </font>
    <font>
      <b/>
      <i/>
      <sz val="12.0"/>
      <color rgb="FF000000"/>
      <name val="Inherit"/>
    </font>
    <font>
      <sz val="12.0"/>
      <color rgb="FF000000"/>
      <name val="Aptos"/>
    </font>
    <font>
      <b/>
      <sz val="12.0"/>
      <color rgb="FF000000"/>
      <name val="Inherit"/>
    </font>
    <font>
      <color rgb="FFFFFFFF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  <fill>
      <patternFill patternType="solid">
        <fgColor rgb="FFFBE2D5"/>
        <bgColor rgb="FFFBE2D5"/>
      </patternFill>
    </fill>
    <fill>
      <patternFill patternType="solid">
        <fgColor rgb="FFF2CEEF"/>
        <bgColor rgb="FFF2CEEF"/>
      </patternFill>
    </fill>
    <fill>
      <patternFill patternType="solid">
        <fgColor rgb="FF95B3D7"/>
        <bgColor rgb="FF95B3D7"/>
      </patternFill>
    </fill>
  </fills>
  <borders count="33">
    <border/>
    <border>
      <left/>
      <right/>
      <top/>
      <bottom/>
    </border>
    <border>
      <left style="thin">
        <color rgb="FF000000"/>
      </left>
      <right style="thin">
        <color rgb="FFFFFFFF"/>
      </right>
      <top style="thin">
        <color rgb="FF000000"/>
      </top>
      <bottom/>
    </border>
    <border>
      <left style="thin">
        <color rgb="FFFFFFFF"/>
      </left>
      <right style="thin">
        <color rgb="FFFFFFFF"/>
      </right>
      <top style="thin">
        <color rgb="FF000000"/>
      </top>
      <bottom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left/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thick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10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37" xfId="0" applyAlignment="1" applyFont="1" applyNumberFormat="1">
      <alignment horizontal="center"/>
    </xf>
    <xf borderId="0" fillId="0" fontId="3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9" xfId="0" applyAlignment="1" applyBorder="1" applyFont="1" applyNumberForma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4" numFmtId="164" xfId="0" applyAlignment="1" applyBorder="1" applyFont="1" applyNumberFormat="1">
      <alignment horizontal="center" readingOrder="0" shrinkToFit="0" vertical="center" wrapText="1"/>
    </xf>
    <xf borderId="1" fillId="2" fontId="4" numFmtId="10" xfId="0" applyAlignment="1" applyBorder="1" applyFont="1" applyNumberFormat="1">
      <alignment horizontal="center" readingOrder="0" shrinkToFit="0" vertical="center" wrapText="1"/>
    </xf>
    <xf borderId="1" fillId="2" fontId="4" numFmtId="3" xfId="0" applyAlignment="1" applyBorder="1" applyFont="1" applyNumberFormat="1">
      <alignment horizontal="center" readingOrder="0" shrinkToFit="0" vertical="center" wrapText="1"/>
    </xf>
    <xf borderId="1" fillId="2" fontId="4" numFmtId="165" xfId="0" applyAlignment="1" applyBorder="1" applyFont="1" applyNumberFormat="1">
      <alignment horizontal="center" readingOrder="0" shrinkToFit="0" vertical="center" wrapText="1"/>
    </xf>
    <xf borderId="1" fillId="2" fontId="4" numFmtId="168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0" xfId="0" applyAlignment="1" applyFont="1" applyNumberFormat="1">
      <alignment horizontal="center" shrinkToFit="0" vertical="center" wrapText="0"/>
    </xf>
    <xf borderId="0" fillId="0" fontId="3" numFmtId="2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3" xfId="0" applyAlignment="1" applyFont="1" applyNumberFormat="1">
      <alignment horizontal="center" shrinkToFit="0" vertical="center" wrapText="0"/>
    </xf>
    <xf borderId="0" fillId="0" fontId="3" numFmtId="9" xfId="0" applyAlignment="1" applyFont="1" applyNumberForma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169" xfId="0" applyAlignment="1" applyFont="1" applyNumberFormat="1">
      <alignment horizontal="center" shrinkToFit="0" vertical="center" wrapText="0"/>
    </xf>
    <xf borderId="0" fillId="0" fontId="3" numFmtId="168" xfId="0" applyAlignment="1" applyFont="1" applyNumberFormat="1">
      <alignment horizontal="center" shrinkToFit="0" vertical="center" wrapText="0"/>
    </xf>
    <xf borderId="0" fillId="0" fontId="3" numFmtId="1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/>
    </xf>
    <xf borderId="1" fillId="2" fontId="7" numFmtId="0" xfId="0" applyAlignment="1" applyBorder="1" applyFont="1">
      <alignment horizontal="center"/>
    </xf>
    <xf borderId="1" fillId="2" fontId="2" numFmtId="10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horizontal="center"/>
    </xf>
    <xf borderId="1" fillId="2" fontId="2" numFmtId="9" xfId="0" applyAlignment="1" applyBorder="1" applyFont="1" applyNumberFormat="1">
      <alignment horizontal="center"/>
    </xf>
    <xf borderId="1" fillId="2" fontId="3" numFmtId="164" xfId="0" applyAlignment="1" applyBorder="1" applyFont="1" applyNumberFormat="1">
      <alignment horizontal="center"/>
    </xf>
    <xf borderId="1" fillId="2" fontId="3" numFmtId="9" xfId="0" applyAlignment="1" applyBorder="1" applyFont="1" applyNumberFormat="1">
      <alignment horizontal="center"/>
    </xf>
    <xf borderId="1" fillId="2" fontId="3" numFmtId="1" xfId="0" applyAlignment="1" applyBorder="1" applyFont="1" applyNumberFormat="1">
      <alignment horizontal="center"/>
    </xf>
    <xf borderId="1" fillId="2" fontId="3" numFmtId="3" xfId="0" applyAlignment="1" applyBorder="1" applyFont="1" applyNumberFormat="1">
      <alignment horizontal="center"/>
    </xf>
    <xf borderId="1" fillId="2" fontId="3" numFmtId="165" xfId="0" applyAlignment="1" applyBorder="1" applyFont="1" applyNumberFormat="1">
      <alignment horizontal="center"/>
    </xf>
    <xf borderId="1" fillId="2" fontId="3" numFmtId="166" xfId="0" applyAlignment="1" applyBorder="1" applyFont="1" applyNumberFormat="1">
      <alignment horizontal="center"/>
    </xf>
    <xf borderId="1" fillId="2" fontId="3" numFmtId="10" xfId="0" applyAlignment="1" applyBorder="1" applyFont="1" applyNumberFormat="1">
      <alignment horizontal="center"/>
    </xf>
    <xf borderId="1" fillId="2" fontId="3" numFmtId="167" xfId="0" applyAlignment="1" applyBorder="1" applyFont="1" applyNumberFormat="1">
      <alignment horizontal="center"/>
    </xf>
    <xf borderId="1" fillId="2" fontId="3" numFmtId="37" xfId="0" applyAlignment="1" applyBorder="1" applyFont="1" applyNumberFormat="1">
      <alignment horizontal="center"/>
    </xf>
    <xf borderId="0" fillId="0" fontId="3" numFmtId="164" xfId="0" applyFont="1" applyNumberFormat="1"/>
    <xf borderId="0" fillId="0" fontId="3" numFmtId="10" xfId="0" applyFont="1" applyNumberFormat="1"/>
    <xf borderId="0" fillId="0" fontId="3" numFmtId="3" xfId="0" applyFont="1" applyNumberFormat="1"/>
    <xf borderId="0" fillId="0" fontId="3" numFmtId="9" xfId="0" applyFont="1" applyNumberFormat="1"/>
    <xf borderId="0" fillId="0" fontId="3" numFmtId="168" xfId="0" applyFont="1" applyNumberFormat="1"/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3" fontId="4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1" fillId="4" fontId="3" numFmtId="10" xfId="0" applyAlignment="1" applyBorder="1" applyFill="1" applyFont="1" applyNumberFormat="1">
      <alignment vertical="center"/>
    </xf>
    <xf borderId="1" fillId="4" fontId="8" numFmtId="10" xfId="0" applyAlignment="1" applyBorder="1" applyFont="1" applyNumberFormat="1">
      <alignment vertical="center"/>
    </xf>
    <xf borderId="1" fillId="4" fontId="9" numFmtId="10" xfId="0" applyAlignment="1" applyBorder="1" applyFont="1" applyNumberFormat="1">
      <alignment vertical="center"/>
    </xf>
    <xf borderId="1" fillId="4" fontId="10" numFmtId="10" xfId="0" applyAlignment="1" applyBorder="1" applyFont="1" applyNumberFormat="1">
      <alignment vertical="center"/>
    </xf>
    <xf borderId="1" fillId="4" fontId="3" numFmtId="170" xfId="0" applyAlignment="1" applyBorder="1" applyFont="1" applyNumberFormat="1">
      <alignment vertical="center"/>
    </xf>
    <xf borderId="1" fillId="4" fontId="3" numFmtId="166" xfId="0" applyAlignment="1" applyBorder="1" applyFont="1" applyNumberFormat="1">
      <alignment vertical="center"/>
    </xf>
    <xf borderId="2" fillId="2" fontId="11" numFmtId="0" xfId="0" applyAlignment="1" applyBorder="1" applyFont="1">
      <alignment horizontal="center" shrinkToFit="0" vertical="top" wrapText="1"/>
    </xf>
    <xf borderId="3" fillId="2" fontId="11" numFmtId="0" xfId="0" applyAlignment="1" applyBorder="1" applyFont="1">
      <alignment horizontal="center" shrinkToFit="0" vertical="top" wrapText="1"/>
    </xf>
    <xf borderId="4" fillId="2" fontId="11" numFmtId="0" xfId="0" applyAlignment="1" applyBorder="1" applyFont="1">
      <alignment horizontal="left" shrinkToFit="0" vertical="top" wrapText="1"/>
    </xf>
    <xf borderId="4" fillId="2" fontId="11" numFmtId="0" xfId="0" applyAlignment="1" applyBorder="1" applyFont="1">
      <alignment horizontal="center" shrinkToFit="0" vertical="top" wrapText="1"/>
    </xf>
    <xf borderId="0" fillId="0" fontId="7" numFmtId="0" xfId="0" applyFont="1"/>
    <xf borderId="1" fillId="5" fontId="12" numFmtId="0" xfId="0" applyAlignment="1" applyBorder="1" applyFill="1" applyFont="1">
      <alignment horizontal="center"/>
    </xf>
    <xf borderId="1" fillId="3" fontId="13" numFmtId="0" xfId="0" applyAlignment="1" applyBorder="1" applyFont="1">
      <alignment horizontal="center"/>
    </xf>
    <xf borderId="5" fillId="3" fontId="14" numFmtId="0" xfId="0" applyAlignment="1" applyBorder="1" applyFont="1">
      <alignment horizontal="left"/>
    </xf>
    <xf borderId="5" fillId="3" fontId="15" numFmtId="0" xfId="0" applyAlignment="1" applyBorder="1" applyFont="1">
      <alignment horizontal="left"/>
    </xf>
    <xf borderId="6" fillId="0" fontId="16" numFmtId="164" xfId="0" applyAlignment="1" applyBorder="1" applyFont="1" applyNumberFormat="1">
      <alignment horizontal="center"/>
    </xf>
    <xf borderId="1" fillId="3" fontId="17" numFmtId="0" xfId="0" applyAlignment="1" applyBorder="1" applyFont="1">
      <alignment horizontal="center"/>
    </xf>
    <xf borderId="7" fillId="3" fontId="14" numFmtId="0" xfId="0" applyAlignment="1" applyBorder="1" applyFont="1">
      <alignment horizontal="left"/>
    </xf>
    <xf borderId="7" fillId="6" fontId="15" numFmtId="0" xfId="0" applyAlignment="1" applyBorder="1" applyFill="1" applyFont="1">
      <alignment horizontal="left"/>
    </xf>
    <xf borderId="1" fillId="6" fontId="16" numFmtId="3" xfId="0" applyAlignment="1" applyBorder="1" applyFont="1" applyNumberFormat="1">
      <alignment horizontal="center"/>
    </xf>
    <xf borderId="7" fillId="7" fontId="15" numFmtId="0" xfId="0" applyAlignment="1" applyBorder="1" applyFill="1" applyFont="1">
      <alignment horizontal="left"/>
    </xf>
    <xf borderId="1" fillId="7" fontId="15" numFmtId="3" xfId="0" applyAlignment="1" applyBorder="1" applyFont="1" applyNumberFormat="1">
      <alignment horizontal="center" vertical="center"/>
    </xf>
    <xf borderId="7" fillId="3" fontId="15" numFmtId="0" xfId="0" applyAlignment="1" applyBorder="1" applyFont="1">
      <alignment horizontal="left"/>
    </xf>
    <xf borderId="0" fillId="0" fontId="16" numFmtId="4" xfId="0" applyAlignment="1" applyFont="1" applyNumberFormat="1">
      <alignment horizontal="center"/>
    </xf>
    <xf borderId="0" fillId="0" fontId="16" numFmtId="164" xfId="0" applyAlignment="1" applyFont="1" applyNumberFormat="1">
      <alignment horizontal="center"/>
    </xf>
    <xf borderId="0" fillId="0" fontId="16" numFmtId="3" xfId="0" applyAlignment="1" applyFont="1" applyNumberFormat="1">
      <alignment horizontal="center"/>
    </xf>
    <xf borderId="0" fillId="0" fontId="16" numFmtId="9" xfId="0" applyAlignment="1" applyFont="1" applyNumberFormat="1">
      <alignment horizontal="center"/>
    </xf>
    <xf borderId="7" fillId="5" fontId="15" numFmtId="0" xfId="0" applyAlignment="1" applyBorder="1" applyFont="1">
      <alignment horizontal="left"/>
    </xf>
    <xf borderId="1" fillId="5" fontId="16" numFmtId="3" xfId="0" applyAlignment="1" applyBorder="1" applyFont="1" applyNumberFormat="1">
      <alignment horizontal="center"/>
    </xf>
    <xf borderId="8" fillId="3" fontId="17" numFmtId="0" xfId="0" applyAlignment="1" applyBorder="1" applyFont="1">
      <alignment horizontal="center"/>
    </xf>
    <xf borderId="9" fillId="3" fontId="14" numFmtId="0" xfId="0" applyAlignment="1" applyBorder="1" applyFont="1">
      <alignment horizontal="left"/>
    </xf>
    <xf borderId="10" fillId="8" fontId="15" numFmtId="0" xfId="0" applyAlignment="1" applyBorder="1" applyFill="1" applyFont="1">
      <alignment horizontal="left"/>
    </xf>
    <xf borderId="11" fillId="8" fontId="18" numFmtId="10" xfId="0" applyAlignment="1" applyBorder="1" applyFont="1" applyNumberFormat="1">
      <alignment horizontal="center"/>
    </xf>
    <xf borderId="12" fillId="0" fontId="3" numFmtId="0" xfId="0" applyBorder="1" applyFont="1"/>
    <xf borderId="13" fillId="0" fontId="19" numFmtId="0" xfId="0" applyAlignment="1" applyBorder="1" applyFont="1">
      <alignment horizontal="center"/>
    </xf>
    <xf borderId="13" fillId="0" fontId="20" numFmtId="0" xfId="0" applyBorder="1" applyFont="1"/>
    <xf borderId="14" fillId="0" fontId="20" numFmtId="0" xfId="0" applyBorder="1" applyFont="1"/>
    <xf borderId="15" fillId="0" fontId="3" numFmtId="0" xfId="0" applyBorder="1" applyFont="1"/>
    <xf borderId="0" fillId="0" fontId="19" numFmtId="0" xfId="0" applyAlignment="1" applyFont="1">
      <alignment horizontal="center"/>
    </xf>
    <xf borderId="16" fillId="0" fontId="20" numFmtId="0" xfId="0" applyBorder="1" applyFont="1"/>
    <xf borderId="17" fillId="0" fontId="3" numFmtId="0" xfId="0" applyBorder="1" applyFont="1"/>
    <xf borderId="18" fillId="0" fontId="19" numFmtId="0" xfId="0" applyAlignment="1" applyBorder="1" applyFont="1">
      <alignment horizontal="center"/>
    </xf>
    <xf borderId="19" fillId="0" fontId="19" numFmtId="0" xfId="0" applyAlignment="1" applyBorder="1" applyFont="1">
      <alignment horizontal="center"/>
    </xf>
    <xf borderId="15" fillId="0" fontId="19" numFmtId="0" xfId="0" applyAlignment="1" applyBorder="1" applyFont="1">
      <alignment horizontal="center"/>
    </xf>
    <xf borderId="16" fillId="0" fontId="3" numFmtId="0" xfId="0" applyBorder="1" applyFont="1"/>
    <xf borderId="0" fillId="0" fontId="3" numFmtId="171" xfId="0" applyAlignment="1" applyFont="1" applyNumberFormat="1">
      <alignment horizontal="right"/>
    </xf>
    <xf borderId="0" fillId="0" fontId="3" numFmtId="172" xfId="0" applyAlignment="1" applyFont="1" applyNumberFormat="1">
      <alignment horizontal="right"/>
    </xf>
    <xf borderId="16" fillId="0" fontId="3" numFmtId="172" xfId="0" applyAlignment="1" applyBorder="1" applyFont="1" applyNumberFormat="1">
      <alignment horizontal="right"/>
    </xf>
    <xf borderId="0" fillId="0" fontId="3" numFmtId="3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18" fillId="0" fontId="3" numFmtId="0" xfId="0" applyBorder="1" applyFont="1"/>
    <xf borderId="19" fillId="0" fontId="3" numFmtId="0" xfId="0" applyBorder="1" applyFont="1"/>
    <xf borderId="0" fillId="0" fontId="18" numFmtId="0" xfId="0" applyFont="1"/>
    <xf borderId="0" fillId="0" fontId="18" numFmtId="0" xfId="0" applyAlignment="1" applyFont="1">
      <alignment horizontal="center"/>
    </xf>
    <xf borderId="20" fillId="0" fontId="13" numFmtId="0" xfId="0" applyAlignment="1" applyBorder="1" applyFont="1">
      <alignment horizontal="center" shrinkToFit="0" vertical="top" wrapText="1"/>
    </xf>
    <xf borderId="4" fillId="0" fontId="13" numFmtId="0" xfId="0" applyAlignment="1" applyBorder="1" applyFont="1">
      <alignment horizontal="center" shrinkToFit="0" vertical="top" wrapText="1"/>
    </xf>
    <xf borderId="21" fillId="0" fontId="13" numFmtId="0" xfId="0" applyAlignment="1" applyBorder="1" applyFont="1">
      <alignment horizontal="center" shrinkToFit="0" vertical="top" wrapText="1"/>
    </xf>
    <xf borderId="0" fillId="0" fontId="21" numFmtId="0" xfId="0" applyFont="1"/>
    <xf borderId="0" fillId="0" fontId="14" numFmtId="0" xfId="0" applyAlignment="1" applyFont="1">
      <alignment horizontal="center"/>
    </xf>
    <xf borderId="0" fillId="0" fontId="22" numFmtId="0" xfId="0" applyFont="1"/>
    <xf borderId="22" fillId="0" fontId="19" numFmtId="0" xfId="0" applyAlignment="1" applyBorder="1" applyFont="1">
      <alignment horizontal="center" vertical="top"/>
    </xf>
    <xf borderId="0" fillId="0" fontId="3" numFmtId="171" xfId="0" applyAlignment="1" applyFont="1" applyNumberFormat="1">
      <alignment horizontal="center"/>
    </xf>
    <xf borderId="0" fillId="0" fontId="3" numFmtId="0" xfId="0" applyAlignment="1" applyFont="1">
      <alignment shrinkToFit="0" wrapText="1"/>
    </xf>
    <xf borderId="0" fillId="0" fontId="3" numFmtId="171" xfId="0" applyFont="1" applyNumberFormat="1"/>
    <xf borderId="23" fillId="9" fontId="23" numFmtId="0" xfId="0" applyAlignment="1" applyBorder="1" applyFill="1" applyFont="1">
      <alignment horizontal="center" vertical="top"/>
    </xf>
    <xf borderId="0" fillId="0" fontId="3" numFmtId="173" xfId="0" applyFont="1" applyNumberFormat="1"/>
    <xf borderId="1" fillId="10" fontId="24" numFmtId="0" xfId="0" applyBorder="1" applyFill="1" applyFont="1"/>
    <xf borderId="24" fillId="11" fontId="25" numFmtId="0" xfId="0" applyAlignment="1" applyBorder="1" applyFill="1" applyFont="1">
      <alignment horizontal="center" readingOrder="1" shrinkToFit="0" vertical="center" wrapText="1"/>
    </xf>
    <xf borderId="25" fillId="0" fontId="20" numFmtId="0" xfId="0" applyBorder="1" applyFont="1"/>
    <xf borderId="26" fillId="12" fontId="25" numFmtId="0" xfId="0" applyAlignment="1" applyBorder="1" applyFill="1" applyFont="1">
      <alignment horizontal="center" readingOrder="1" shrinkToFit="0" vertical="center" wrapText="1"/>
    </xf>
    <xf borderId="26" fillId="13" fontId="25" numFmtId="0" xfId="0" applyAlignment="1" applyBorder="1" applyFill="1" applyFont="1">
      <alignment horizontal="center" readingOrder="1" shrinkToFit="0" vertical="center" wrapText="1"/>
    </xf>
    <xf borderId="27" fillId="0" fontId="20" numFmtId="0" xfId="0" applyBorder="1" applyFont="1"/>
    <xf borderId="18" fillId="0" fontId="20" numFmtId="0" xfId="0" applyBorder="1" applyFont="1"/>
    <xf borderId="28" fillId="0" fontId="20" numFmtId="0" xfId="0" applyBorder="1" applyFont="1"/>
    <xf borderId="29" fillId="0" fontId="20" numFmtId="0" xfId="0" applyBorder="1" applyFont="1"/>
    <xf borderId="19" fillId="0" fontId="20" numFmtId="0" xfId="0" applyBorder="1" applyFont="1"/>
    <xf borderId="30" fillId="10" fontId="26" numFmtId="0" xfId="0" applyAlignment="1" applyBorder="1" applyFont="1">
      <alignment horizontal="left" readingOrder="1" shrinkToFit="0" vertical="center" wrapText="1"/>
    </xf>
    <xf borderId="31" fillId="11" fontId="27" numFmtId="0" xfId="0" applyAlignment="1" applyBorder="1" applyFont="1">
      <alignment horizontal="center" readingOrder="1" shrinkToFit="0" vertical="center" wrapText="1"/>
    </xf>
    <xf borderId="32" fillId="11" fontId="27" numFmtId="0" xfId="0" applyAlignment="1" applyBorder="1" applyFont="1">
      <alignment horizontal="center" readingOrder="1" shrinkToFit="0" vertical="center" wrapText="1"/>
    </xf>
    <xf borderId="31" fillId="12" fontId="27" numFmtId="0" xfId="0" applyAlignment="1" applyBorder="1" applyFont="1">
      <alignment horizontal="center" readingOrder="1" shrinkToFit="0" vertical="center" wrapText="1"/>
    </xf>
    <xf borderId="32" fillId="12" fontId="27" numFmtId="0" xfId="0" applyAlignment="1" applyBorder="1" applyFont="1">
      <alignment horizontal="center" readingOrder="1" shrinkToFit="0" vertical="center" wrapText="1"/>
    </xf>
    <xf borderId="31" fillId="13" fontId="27" numFmtId="0" xfId="0" applyAlignment="1" applyBorder="1" applyFont="1">
      <alignment horizontal="center" readingOrder="1" shrinkToFit="0" vertical="center" wrapText="1"/>
    </xf>
    <xf borderId="30" fillId="14" fontId="27" numFmtId="0" xfId="0" applyAlignment="1" applyBorder="1" applyFill="1" applyFont="1">
      <alignment horizontal="left" readingOrder="1" shrinkToFit="0" vertical="center" wrapText="1"/>
    </xf>
    <xf borderId="31" fillId="10" fontId="26" numFmtId="174" xfId="0" applyAlignment="1" applyBorder="1" applyFont="1" applyNumberFormat="1">
      <alignment horizontal="center" readingOrder="1" shrinkToFit="0" vertical="center" wrapText="1"/>
    </xf>
    <xf borderId="31" fillId="10" fontId="26" numFmtId="9" xfId="0" applyAlignment="1" applyBorder="1" applyFont="1" applyNumberFormat="1">
      <alignment horizontal="center" readingOrder="1" shrinkToFit="0" vertical="center" wrapText="1"/>
    </xf>
    <xf borderId="31" fillId="10" fontId="26" numFmtId="0" xfId="0" applyAlignment="1" applyBorder="1" applyFont="1">
      <alignment horizontal="center" readingOrder="1" shrinkToFit="0" vertical="center" wrapText="1"/>
    </xf>
    <xf borderId="31" fillId="10" fontId="26" numFmtId="3" xfId="0" applyAlignment="1" applyBorder="1" applyFont="1" applyNumberFormat="1">
      <alignment horizontal="center" readingOrder="1" shrinkToFit="0" vertical="center" wrapText="1"/>
    </xf>
    <xf borderId="31" fillId="10" fontId="26" numFmtId="164" xfId="0" applyAlignment="1" applyBorder="1" applyFont="1" applyNumberFormat="1">
      <alignment horizontal="center" readingOrder="1" shrinkToFit="0" vertical="center" wrapText="1"/>
    </xf>
    <xf borderId="0" fillId="0" fontId="28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9" xfId="0" applyAlignment="1" applyFont="1" applyNumberForma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2">
    <tableStyle count="4" pivot="0" name="Sales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ent Scores-style">
      <tableStyleElement dxfId="1" type="headerRow"/>
      <tableStyleElement dxfId="3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257175</xdr:colOff>
      <xdr:row>0</xdr:row>
      <xdr:rowOff>95250</xdr:rowOff>
    </xdr:from>
    <xdr:ext cx="2867025" cy="5267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0</xdr:row>
      <xdr:rowOff>152400</xdr:rowOff>
    </xdr:from>
    <xdr:ext cx="3209925" cy="53149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47625</xdr:rowOff>
    </xdr:from>
    <xdr:ext cx="2962275" cy="31527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1</xdr:row>
      <xdr:rowOff>38100</xdr:rowOff>
    </xdr:from>
    <xdr:ext cx="2886075" cy="2857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048000" cy="64674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180975</xdr:rowOff>
    </xdr:from>
    <xdr:ext cx="3143250" cy="26289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9:E7632" sheet="Luminate Forecast"/>
  </cacheSource>
  <cacheFields>
    <cacheField name="vendor_stock_id" numFmtId="0">
      <sharedItems containsBlank="1">
        <s v="AS-PREC-FLOS-BK"/>
        <s v="AS-PREC-TB-BK"/>
        <m/>
      </sharedItems>
    </cacheField>
    <cacheField name="prime_item_number" numFmtId="0">
      <sharedItems containsString="0" containsBlank="1" containsNumber="1" containsInteger="1">
        <n v="6.77410826E8"/>
        <n v="6.77536463E8"/>
        <m/>
      </sharedItems>
    </cacheField>
    <cacheField name="all_links_item_desc_1" numFmtId="0">
      <sharedItems containsBlank="1">
        <s v="AQUASONIC WFLS PREC"/>
        <s v="AS TOOTHBRUSH"/>
        <m/>
      </sharedItems>
    </cacheField>
    <cacheField name="walmart_calendar_week" numFmtId="0">
      <sharedItems containsString="0" containsBlank="1" containsNumber="1" containsInteger="1">
        <n v="202629.0"/>
        <n v="202617.0"/>
        <n v="202722.0"/>
        <n v="202539.0"/>
        <n v="202704.0"/>
        <n v="202702.0"/>
        <n v="202548.0"/>
        <n v="202533.0"/>
        <n v="202625.0"/>
        <n v="202703.0"/>
        <n v="202552.0"/>
        <n v="202726.0"/>
        <n v="202601.0"/>
        <n v="202711.0"/>
        <n v="202622.0"/>
        <n v="202636.0"/>
        <n v="202645.0"/>
        <n v="202717.0"/>
        <n v="202647.0"/>
        <n v="202637.0"/>
        <n v="202642.0"/>
        <n v="202720.0"/>
        <n v="202602.0"/>
        <n v="202618.0"/>
        <n v="202650.0"/>
        <n v="202538.0"/>
        <n v="202640.0"/>
        <n v="202705.0"/>
        <n v="202708.0"/>
        <n v="202543.0"/>
        <n v="202632.0"/>
        <n v="202709.0"/>
        <n v="202713.0"/>
        <n v="202643.0"/>
        <n v="202715.0"/>
        <n v="202719.0"/>
        <n v="202649.0"/>
        <n v="202537.0"/>
        <n v="202549.0"/>
        <n v="202701.0"/>
        <n v="202547.0"/>
        <n v="202604.0"/>
        <n v="202721.0"/>
        <n v="202535.0"/>
        <n v="202616.0"/>
        <n v="202716.0"/>
        <n v="202608.0"/>
        <n v="202614.0"/>
        <n v="202644.0"/>
        <n v="202718.0"/>
        <n v="202630.0"/>
        <n v="202648.0"/>
        <n v="202626.0"/>
        <n v="202651.0"/>
        <n v="202613.0"/>
        <n v="202611.0"/>
        <n v="202624.0"/>
        <n v="202714.0"/>
        <n v="202641.0"/>
        <n v="202732.0"/>
        <n v="202550.0"/>
        <n v="202712.0"/>
        <n v="202638.0"/>
        <n v="202634.0"/>
        <n v="202541.0"/>
        <n v="202534.0"/>
        <n v="202627.0"/>
        <n v="202606.0"/>
        <n v="202542.0"/>
        <n v="202725.0"/>
        <n v="202536.0"/>
        <n v="202544.0"/>
        <n v="202607.0"/>
        <n v="202727.0"/>
        <n v="202546.0"/>
        <n v="202610.0"/>
        <n v="202652.0"/>
        <n v="202631.0"/>
        <n v="202621.0"/>
        <n v="202619.0"/>
        <n v="202612.0"/>
        <n v="202724.0"/>
        <n v="202639.0"/>
        <n v="202728.0"/>
        <n v="202551.0"/>
        <n v="202540.0"/>
        <n v="202635.0"/>
        <n v="202706.0"/>
        <n v="202615.0"/>
        <n v="202623.0"/>
        <n v="202609.0"/>
        <n v="202710.0"/>
        <n v="202707.0"/>
        <n v="202633.0"/>
        <n v="202628.0"/>
        <n v="202545.0"/>
        <n v="202605.0"/>
        <n v="202723.0"/>
        <n v="202730.0"/>
        <n v="202603.0"/>
        <n v="202620.0"/>
        <n v="202731.0"/>
        <n v="202729.0"/>
        <n v="202646.0"/>
        <m/>
      </sharedItems>
    </cacheField>
    <cacheField name="final_fcst_each_qty" numFmtId="0">
      <sharedItems containsString="0" containsBlank="1" containsNumber="1">
        <n v="678.77"/>
        <n v="620.19"/>
        <n v="651.82"/>
        <n v="737.0"/>
        <n v="914.67"/>
        <n v="666.85"/>
        <n v="766.33"/>
        <n v="740.07"/>
        <n v="648.6"/>
        <n v="801.92"/>
        <n v="588.3"/>
        <n v="668.51"/>
        <n v="580.77"/>
        <n v="730.64"/>
        <n v="652.28"/>
        <n v="693.34"/>
        <n v="849.93"/>
        <n v="619.93"/>
        <n v="1100.58"/>
        <n v="711.09"/>
        <n v="703.73"/>
        <n v="678.96"/>
        <n v="664.42"/>
        <n v="669.63"/>
        <n v="642.8"/>
        <n v="717.61"/>
        <n v="748.8"/>
        <n v="915.95"/>
        <n v="789.49"/>
        <n v="622.02"/>
        <n v="618.35"/>
        <n v="781.63"/>
        <n v="705.95"/>
        <n v="621.51"/>
        <n v="642.96"/>
        <n v="652.86"/>
        <n v="724.61"/>
        <n v="712.69"/>
        <n v="726.04"/>
        <n v="579.61"/>
        <n v="1102.58"/>
        <n v="913.55"/>
        <n v="769.15"/>
        <n v="639.06"/>
        <n v="638.59"/>
        <n v="789.6"/>
        <n v="657.35"/>
        <n v="771.92"/>
        <n v="669.25"/>
        <n v="765.2"/>
        <n v="669.01"/>
        <n v="520.91"/>
        <n v="705.2"/>
        <n v="729.54"/>
        <n v="650.44"/>
        <n v="657.03"/>
        <n v="752.08"/>
        <n v="730.19"/>
        <n v="644.68"/>
        <n v="685.96"/>
        <n v="716.31"/>
        <n v="695.51"/>
        <n v="752.76"/>
        <n v="700.31"/>
        <n v="665.29"/>
        <n v="812.76"/>
        <n v="704.49"/>
        <n v="648.08"/>
        <n v="697.01"/>
        <n v="771.94"/>
        <n v="802.9"/>
        <n v="665.12"/>
        <n v="1107.21"/>
        <n v="746.44"/>
        <n v="587.43"/>
        <n v="641.64"/>
        <n v="679.65"/>
        <n v="653.4"/>
        <n v="685.46"/>
        <n v="650.18"/>
        <n v="736.25"/>
        <n v="687.31"/>
        <n v="522.61"/>
        <n v="749.44"/>
        <n v="764.4"/>
        <n v="813.15"/>
        <n v="643.26"/>
        <n v="650.07"/>
        <n v="781.29"/>
        <n v="746.41"/>
        <n v="802.75"/>
        <n v="732.65"/>
        <n v="687.55"/>
        <n v="850.21"/>
        <n v="914.4"/>
        <n v="649.82"/>
        <n v="641.21"/>
        <n v="801.73"/>
        <n v="603.47"/>
        <n v="678.07"/>
        <n v="1107.35"/>
        <n v="606.67"/>
        <n v="602.64"/>
        <n v="676.03"/>
        <n v="822.5"/>
        <n v="1265.56"/>
        <n v="583.6"/>
        <n v="634.13"/>
        <n v="607.27"/>
        <n v="740.61"/>
        <n v="1231.73"/>
        <n v="633.63"/>
        <n v="730.93"/>
        <n v="876.48"/>
        <n v="589.4"/>
        <n v="686.02"/>
        <n v="624.25"/>
        <n v="787.75"/>
        <n v="728.72"/>
        <n v="623.54"/>
        <n v="754.93"/>
        <n v="727.94"/>
        <n v="812.8"/>
        <n v="730.58"/>
        <n v="818.06"/>
        <n v="768.85"/>
        <n v="557.29"/>
        <n v="699.55"/>
        <n v="530.53"/>
        <n v="932.18"/>
        <n v="541.99"/>
        <n v="630.8"/>
        <n v="841.22"/>
        <n v="745.65"/>
        <n v="740.43"/>
        <n v="1268.89"/>
        <n v="730.97"/>
        <n v="579.53"/>
        <n v="629.09"/>
        <n v="731.65"/>
        <n v="757.1"/>
        <n v="578.75"/>
        <n v="822.19"/>
        <n v="582.91"/>
        <n v="931.42"/>
        <n v="636.25"/>
        <n v="584.81"/>
        <n v="931.67"/>
        <n v="669.88"/>
        <n v="669.34"/>
        <n v="754.61"/>
        <n v="759.64"/>
        <n v="749.35"/>
        <n v="792.69"/>
        <n v="600.65"/>
        <n v="729.84"/>
        <n v="635.64"/>
        <n v="617.39"/>
        <n v="588.73"/>
        <n v="750.0"/>
        <n v="668.72"/>
        <n v="928.77"/>
        <n v="698.86"/>
        <n v="772.17"/>
        <n v="748.35"/>
        <n v="634.7"/>
        <n v="617.75"/>
        <n v="601.32"/>
        <n v="705.26"/>
        <n v="837.92"/>
        <n v="606.07"/>
        <n v="759.0"/>
        <n v="877.31"/>
        <n v="616.88"/>
        <n v="668.63"/>
        <n v="531.53"/>
        <n v="772.03"/>
        <n v="1228.6"/>
        <n v="556.51"/>
        <n v="579.46"/>
        <n v="728.12"/>
        <n v="603.23"/>
        <n v="785.44"/>
        <n v="774.03"/>
        <n v="705.81"/>
        <n v="687.7"/>
        <n v="817.39"/>
        <n v="542.75"/>
        <n v="757.3"/>
        <n v="618.89"/>
        <n v="638.08"/>
        <n v="535.43"/>
        <n v="675.2"/>
        <n v="819.01"/>
        <n v="772.18"/>
        <n v="813.02"/>
        <n v="793.07"/>
        <n v="741.08"/>
        <n v="821.41"/>
        <n v="536.41"/>
        <n v="774.2"/>
        <n v="606.63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9:F7632" sheet="Luminate Forecast"/>
  </cacheSource>
  <cacheFields>
    <cacheField name="vendor_stock_id" numFmtId="0">
      <sharedItems containsBlank="1">
        <s v="AS-PREC-FLOS-BK"/>
        <s v="AS-PREC-TB-BK"/>
        <m/>
      </sharedItems>
    </cacheField>
    <cacheField name="prime_item_number" numFmtId="0">
      <sharedItems containsString="0" containsBlank="1" containsNumber="1" containsInteger="1">
        <n v="6.77410826E8"/>
        <n v="6.77536463E8"/>
        <m/>
      </sharedItems>
    </cacheField>
    <cacheField name="all_links_item_desc_1" numFmtId="0">
      <sharedItems containsBlank="1">
        <s v="AQUASONIC WFLS PREC"/>
        <s v="AS TOOTHBRUSH"/>
        <m/>
      </sharedItems>
    </cacheField>
    <cacheField name="walmart_calendar_week" numFmtId="0">
      <sharedItems containsString="0" containsBlank="1" containsNumber="1" containsInteger="1">
        <n v="202629.0"/>
        <n v="202617.0"/>
        <n v="202722.0"/>
        <n v="202539.0"/>
        <n v="202704.0"/>
        <n v="202702.0"/>
        <n v="202548.0"/>
        <n v="202533.0"/>
        <n v="202625.0"/>
        <n v="202703.0"/>
        <n v="202552.0"/>
        <n v="202726.0"/>
        <n v="202601.0"/>
        <n v="202711.0"/>
        <n v="202622.0"/>
        <n v="202636.0"/>
        <n v="202645.0"/>
        <n v="202717.0"/>
        <n v="202647.0"/>
        <n v="202637.0"/>
        <n v="202642.0"/>
        <n v="202720.0"/>
        <n v="202602.0"/>
        <n v="202618.0"/>
        <n v="202650.0"/>
        <n v="202538.0"/>
        <n v="202640.0"/>
        <n v="202705.0"/>
        <n v="202708.0"/>
        <n v="202543.0"/>
        <n v="202632.0"/>
        <n v="202709.0"/>
        <n v="202713.0"/>
        <n v="202643.0"/>
        <n v="202715.0"/>
        <n v="202719.0"/>
        <n v="202649.0"/>
        <n v="202537.0"/>
        <n v="202549.0"/>
        <n v="202701.0"/>
        <n v="202547.0"/>
        <n v="202604.0"/>
        <n v="202721.0"/>
        <n v="202535.0"/>
        <n v="202616.0"/>
        <n v="202716.0"/>
        <n v="202608.0"/>
        <n v="202614.0"/>
        <n v="202644.0"/>
        <n v="202718.0"/>
        <n v="202630.0"/>
        <n v="202648.0"/>
        <n v="202626.0"/>
        <n v="202651.0"/>
        <n v="202613.0"/>
        <n v="202611.0"/>
        <n v="202624.0"/>
        <n v="202714.0"/>
        <n v="202641.0"/>
        <n v="202732.0"/>
        <n v="202550.0"/>
        <n v="202712.0"/>
        <n v="202638.0"/>
        <n v="202634.0"/>
        <n v="202541.0"/>
        <n v="202534.0"/>
        <n v="202627.0"/>
        <n v="202606.0"/>
        <n v="202542.0"/>
        <n v="202725.0"/>
        <n v="202536.0"/>
        <n v="202544.0"/>
        <n v="202607.0"/>
        <n v="202727.0"/>
        <n v="202546.0"/>
        <n v="202610.0"/>
        <n v="202652.0"/>
        <n v="202631.0"/>
        <n v="202621.0"/>
        <n v="202619.0"/>
        <n v="202612.0"/>
        <n v="202724.0"/>
        <n v="202639.0"/>
        <n v="202728.0"/>
        <n v="202551.0"/>
        <n v="202540.0"/>
        <n v="202635.0"/>
        <n v="202706.0"/>
        <n v="202615.0"/>
        <n v="202623.0"/>
        <n v="202609.0"/>
        <n v="202710.0"/>
        <n v="202707.0"/>
        <n v="202633.0"/>
        <n v="202628.0"/>
        <n v="202545.0"/>
        <n v="202605.0"/>
        <n v="202723.0"/>
        <n v="202730.0"/>
        <n v="202603.0"/>
        <n v="202620.0"/>
        <n v="202731.0"/>
        <n v="202729.0"/>
        <n v="202646.0"/>
        <m/>
      </sharedItems>
    </cacheField>
    <cacheField name="final_fcst_each_qty" numFmtId="0">
      <sharedItems containsString="0" containsBlank="1" containsNumber="1">
        <n v="678.77"/>
        <n v="620.19"/>
        <n v="651.82"/>
        <n v="737.0"/>
        <n v="914.67"/>
        <n v="666.85"/>
        <n v="766.33"/>
        <n v="740.07"/>
        <n v="648.6"/>
        <n v="801.92"/>
        <n v="588.3"/>
        <n v="668.51"/>
        <n v="580.77"/>
        <n v="730.64"/>
        <n v="652.28"/>
        <n v="693.34"/>
        <n v="849.93"/>
        <n v="619.93"/>
        <n v="1100.58"/>
        <n v="711.09"/>
        <n v="703.73"/>
        <n v="678.96"/>
        <n v="664.42"/>
        <n v="669.63"/>
        <n v="642.8"/>
        <n v="717.61"/>
        <n v="748.8"/>
        <n v="915.95"/>
        <n v="789.49"/>
        <n v="622.02"/>
        <n v="618.35"/>
        <n v="781.63"/>
        <n v="705.95"/>
        <n v="621.51"/>
        <n v="642.96"/>
        <n v="652.86"/>
        <n v="724.61"/>
        <n v="712.69"/>
        <n v="726.04"/>
        <n v="579.61"/>
        <n v="1102.58"/>
        <n v="913.55"/>
        <n v="769.15"/>
        <n v="639.06"/>
        <n v="638.59"/>
        <n v="789.6"/>
        <n v="657.35"/>
        <n v="771.92"/>
        <n v="669.25"/>
        <n v="765.2"/>
        <n v="669.01"/>
        <n v="520.91"/>
        <n v="705.2"/>
        <n v="729.54"/>
        <n v="650.44"/>
        <n v="657.03"/>
        <n v="752.08"/>
        <n v="730.19"/>
        <n v="644.68"/>
        <n v="685.96"/>
        <n v="716.31"/>
        <n v="695.51"/>
        <n v="752.76"/>
        <n v="700.31"/>
        <n v="665.29"/>
        <n v="812.76"/>
        <n v="704.49"/>
        <n v="648.08"/>
        <n v="697.01"/>
        <n v="771.94"/>
        <n v="802.9"/>
        <n v="665.12"/>
        <n v="1107.21"/>
        <n v="746.44"/>
        <n v="587.43"/>
        <n v="641.64"/>
        <n v="679.65"/>
        <n v="653.4"/>
        <n v="685.46"/>
        <n v="650.18"/>
        <n v="736.25"/>
        <n v="687.31"/>
        <n v="522.61"/>
        <n v="749.44"/>
        <n v="764.4"/>
        <n v="813.15"/>
        <n v="643.26"/>
        <n v="650.07"/>
        <n v="781.29"/>
        <n v="746.41"/>
        <n v="802.75"/>
        <n v="732.65"/>
        <n v="687.55"/>
        <n v="850.21"/>
        <n v="914.4"/>
        <n v="649.82"/>
        <n v="641.21"/>
        <n v="801.73"/>
        <n v="603.47"/>
        <n v="678.07"/>
        <n v="1107.35"/>
        <n v="606.67"/>
        <n v="602.64"/>
        <n v="676.03"/>
        <n v="822.5"/>
        <n v="1265.56"/>
        <n v="583.6"/>
        <n v="634.13"/>
        <n v="607.27"/>
        <n v="740.61"/>
        <n v="1231.73"/>
        <n v="633.63"/>
        <n v="730.93"/>
        <n v="876.48"/>
        <n v="589.4"/>
        <n v="686.02"/>
        <n v="624.25"/>
        <n v="787.75"/>
        <n v="728.72"/>
        <n v="623.54"/>
        <n v="754.93"/>
        <n v="727.94"/>
        <n v="812.8"/>
        <n v="730.58"/>
        <n v="818.06"/>
        <n v="768.85"/>
        <n v="557.29"/>
        <n v="699.55"/>
        <n v="530.53"/>
        <n v="932.18"/>
        <n v="541.99"/>
        <n v="630.8"/>
        <n v="841.22"/>
        <n v="745.65"/>
        <n v="740.43"/>
        <n v="1268.89"/>
        <n v="730.97"/>
        <n v="579.53"/>
        <n v="629.09"/>
        <n v="731.65"/>
        <n v="757.1"/>
        <n v="578.75"/>
        <n v="822.19"/>
        <n v="582.91"/>
        <n v="931.42"/>
        <n v="636.25"/>
        <n v="584.81"/>
        <n v="931.67"/>
        <n v="669.88"/>
        <n v="669.34"/>
        <n v="754.61"/>
        <n v="759.64"/>
        <n v="749.35"/>
        <n v="792.69"/>
        <n v="600.65"/>
        <n v="729.84"/>
        <n v="635.64"/>
        <n v="617.39"/>
        <n v="588.73"/>
        <n v="750.0"/>
        <n v="668.72"/>
        <n v="928.77"/>
        <n v="698.86"/>
        <n v="772.17"/>
        <n v="748.35"/>
        <n v="634.7"/>
        <n v="617.75"/>
        <n v="601.32"/>
        <n v="705.26"/>
        <n v="837.92"/>
        <n v="606.07"/>
        <n v="759.0"/>
        <n v="877.31"/>
        <n v="616.88"/>
        <n v="668.63"/>
        <n v="531.53"/>
        <n v="772.03"/>
        <n v="1228.6"/>
        <n v="556.51"/>
        <n v="579.46"/>
        <n v="728.12"/>
        <n v="603.23"/>
        <n v="785.44"/>
        <n v="774.03"/>
        <n v="705.81"/>
        <n v="687.7"/>
        <n v="817.39"/>
        <n v="542.75"/>
        <n v="757.3"/>
        <n v="618.89"/>
        <n v="638.08"/>
        <n v="535.43"/>
        <n v="675.2"/>
        <n v="819.01"/>
        <n v="772.18"/>
        <n v="813.02"/>
        <n v="793.07"/>
        <n v="741.08"/>
        <n v="821.41"/>
        <n v="536.41"/>
        <n v="774.2"/>
        <n v="606.63"/>
        <m/>
      </sharedItems>
    </cacheField>
    <cacheField name="Frcst Wk" numFmtId="0">
      <sharedItems>
        <s v="29"/>
        <s v="17"/>
        <s v="22"/>
        <s v="39"/>
        <s v="04"/>
        <s v="02"/>
        <s v="48"/>
        <s v="33"/>
        <s v="25"/>
        <s v="03"/>
        <s v="52"/>
        <s v="26"/>
        <s v="01"/>
        <s v="11"/>
        <s v="36"/>
        <s v="45"/>
        <s v="47"/>
        <s v="37"/>
        <s v="42"/>
        <s v="20"/>
        <s v="18"/>
        <s v="50"/>
        <s v="38"/>
        <s v="40"/>
        <s v="05"/>
        <s v="08"/>
        <s v="43"/>
        <s v="32"/>
        <s v="09"/>
        <s v="13"/>
        <s v="15"/>
        <s v="19"/>
        <s v="49"/>
        <s v="21"/>
        <s v="35"/>
        <s v="16"/>
        <s v="14"/>
        <s v="44"/>
        <s v="30"/>
        <s v="51"/>
        <s v="24"/>
        <s v="41"/>
        <s v="12"/>
        <s v="34"/>
        <s v="27"/>
        <s v="06"/>
        <s v="07"/>
        <s v="46"/>
        <s v="10"/>
        <s v="31"/>
        <s v="28"/>
        <s v="23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Luminate Forecast" cacheId="0" dataCaption="" compact="0" compactData="0">
  <location ref="M19:P23" firstHeaderRow="0" firstDataRow="3" firstDataCol="0"/>
  <pivotFields>
    <pivotField name="vendor_stock_id" axis="axisRow" compact="0" outline="0" multipleItemSelectionAllowed="1" showAll="0" sortType="ascending" defaultSubtotal="0">
      <items>
        <item x="2"/>
        <item x="0"/>
        <item x="1"/>
      </items>
    </pivotField>
    <pivotField name="prime_item_number" axis="axisRow" compact="0" outline="0" multipleItemSelectionAllowed="1" showAll="0" sortType="ascending" defaultSubtotal="0">
      <items>
        <item x="2"/>
        <item x="0"/>
        <item x="1"/>
      </items>
    </pivotField>
    <pivotField name="all_links_item_desc_1" axis="axisRow" compact="0" outline="0" multipleItemSelectionAllowed="1" showAll="0" sortType="ascending">
      <items>
        <item x="2"/>
        <item x="0"/>
        <item x="1"/>
        <item t="default"/>
      </items>
    </pivotField>
    <pivotField name="walmart_calendar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final_fcst_each_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</pivotFields>
  <rowFields>
    <field x="0"/>
    <field x="1"/>
    <field x="2"/>
  </rowFields>
  <dataFields>
    <dataField name="Sum of final_fcst_each_qty" fld="4" baseField="0"/>
  </dataFields>
</pivotTableDefinition>
</file>

<file path=xl/pivotTables/pivotTable2.xml><?xml version="1.0" encoding="utf-8"?>
<pivotTableDefinition xmlns="http://schemas.openxmlformats.org/spreadsheetml/2006/main" name="Luminate Forecast 2" cacheId="1" dataCaption="" compact="0" compactData="0">
  <location ref="U20:BW25" firstHeaderRow="0" firstDataRow="1" firstDataCol="1"/>
  <pivotFields>
    <pivotField name="vendor_stock_id" compact="0" outline="0" multipleItemSelectionAllowed="1" showAll="0">
      <items>
        <item x="0"/>
        <item x="1"/>
        <item x="2"/>
        <item t="default"/>
      </items>
    </pivotField>
    <pivotField name="prime_item_number" axis="axisRow" compact="0" outline="0" multipleItemSelectionAllowed="1" showAll="0" sortType="ascending">
      <items>
        <item x="2"/>
        <item x="0"/>
        <item x="1"/>
        <item t="default"/>
      </items>
    </pivotField>
    <pivotField name="all_links_item_desc_1" compact="0" outline="0" multipleItemSelectionAllowed="1" showAll="0">
      <items>
        <item x="0"/>
        <item x="1"/>
        <item x="2"/>
        <item t="default"/>
      </items>
    </pivotField>
    <pivotField name="walmart_calendar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final_fcst_each_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Frcst Wk" axis="axisCol" compact="0" outline="0" multipleItemSelectionAllowed="1" showAll="0" sortType="ascending">
      <items>
        <item x="52"/>
        <item x="12"/>
        <item x="5"/>
        <item x="9"/>
        <item x="4"/>
        <item x="24"/>
        <item x="45"/>
        <item x="46"/>
        <item x="25"/>
        <item x="28"/>
        <item x="48"/>
        <item x="13"/>
        <item x="42"/>
        <item x="29"/>
        <item x="36"/>
        <item x="30"/>
        <item x="35"/>
        <item x="1"/>
        <item x="20"/>
        <item x="31"/>
        <item x="19"/>
        <item x="33"/>
        <item x="2"/>
        <item x="51"/>
        <item x="40"/>
        <item x="8"/>
        <item x="11"/>
        <item x="44"/>
        <item x="50"/>
        <item x="0"/>
        <item x="38"/>
        <item x="49"/>
        <item x="27"/>
        <item x="7"/>
        <item x="43"/>
        <item x="34"/>
        <item x="14"/>
        <item x="17"/>
        <item x="22"/>
        <item x="3"/>
        <item x="23"/>
        <item x="41"/>
        <item x="18"/>
        <item x="26"/>
        <item x="37"/>
        <item x="15"/>
        <item x="47"/>
        <item x="16"/>
        <item x="6"/>
        <item x="32"/>
        <item x="21"/>
        <item x="39"/>
        <item x="10"/>
        <item t="default"/>
      </items>
    </pivotField>
  </pivotFields>
  <rowFields>
    <field x="1"/>
  </rowFields>
  <colFields>
    <field x="5"/>
  </colFields>
  <dataFields>
    <dataField name="Sum of final_fcst_each_qty" fld="4" baseField="0"/>
  </dataFields>
</pivotTableDefinition>
</file>

<file path=xl/tables/table1.xml><?xml version="1.0" encoding="utf-8"?>
<table xmlns="http://schemas.openxmlformats.org/spreadsheetml/2006/main" ref="B2:AX4" displayName="Table4" name="Table4" id="1">
  <tableColumns count="49">
    <tableColumn name="Prime Item Nbr" id="1"/>
    <tableColumn name="Prime Item Desc" id="2"/>
    <tableColumn name="Vendor Stk Nbr" id="3"/>
    <tableColumn name=" Curr Repl Instock %" id="4"/>
    <tableColumn name=" LW U/S/W" id="5"/>
    <tableColumn name=" LW $/S/W" id="6"/>
    <tableColumn name="YTD $/P/W" id="7"/>
    <tableColumn name=" Wkly Sell Thru %" id="8"/>
    <tableColumn name=" Unit Cost" id="9"/>
    <tableColumn name=" Unit Retail" id="10"/>
    <tableColumn name=" Avg Retail" id="11"/>
    <tableColumn name="YTD AUR" id="12"/>
    <tableColumn name=" MU %" id="13"/>
    <tableColumn name=" Curr Traited Store/Item Comb" id="14"/>
    <tableColumn name="Traited Store LY" id="15"/>
    <tableColumn name="LW Store Count Chg %" id="16"/>
    <tableColumn name=" LW POS Qty" id="17"/>
    <tableColumn name=" LY LW POS Qty" id="18"/>
    <tableColumn name=" LW Sales Qty Chng" id="19"/>
    <tableColumn name="LW POS Cost" id="20"/>
    <tableColumn name=" LW POS Sales" id="21"/>
    <tableColumn name=" LY LW POS Sales" id="22"/>
    <tableColumn name=" LW Sales Chng" id="23"/>
    <tableColumn name=" YTD POS Qty" id="24"/>
    <tableColumn name=" LY YTD POS Qty" id="25"/>
    <tableColumn name=" YTD Sales Qty Chng" id="26"/>
    <tableColumn name=" YTD POS Sales" id="27"/>
    <tableColumn name=" LY YTD POS Sales" id="28"/>
    <tableColumn name=" YTD Sales Chng" id="29"/>
    <tableColumn name=" YTD Sell Thru %" id="30"/>
    <tableColumn name=" LW Gross Ship Qty" id="31"/>
    <tableColumn name=" YTD Gross Ship Qty" id="32"/>
    <tableColumn name=" LW Total Customer Item Return" id="33"/>
    <tableColumn name=" LW Total Return Rate" id="34"/>
    <tableColumn name=" YTD Def Rate (sales)" id="35"/>
    <tableColumn name=" YTD Total Customer Item Return" id="36"/>
    <tableColumn name=" YTD Total Return Rate" id="37"/>
    <tableColumn name=" LW SI Total MUMD $" id="38"/>
    <tableColumn name=" YTD SI Total MUMD $" id="39"/>
    <tableColumn name=" 52/53 WK FC Units" id="40"/>
    <tableColumn name=" Frcst WOS" id="41"/>
    <tableColumn name=" Curr Str On Hand Qty" id="42"/>
    <tableColumn name=" Curr Str In Transit Qty" id="43"/>
    <tableColumn name=" Curr Str In Whse Qty" id="44"/>
    <tableColumn name=" Curr Str On Order Qty" id="45"/>
    <tableColumn name=" Curr Whse On Hand Qty" id="46"/>
    <tableColumn name=" Curr Whse SS Order Qty" id="47"/>
    <tableColumn name="UPC" id="48"/>
    <tableColumn name="Effective Date" id="49"/>
  </tableColumns>
  <tableStyleInfo name="Sales Summary-style" showColumnStripes="0" showFirstColumn="1" showLastColumn="1" showRowStripes="1"/>
</table>
</file>

<file path=xl/tables/table2.xml><?xml version="1.0" encoding="utf-8"?>
<table xmlns="http://schemas.openxmlformats.org/spreadsheetml/2006/main" ref="A1:D5" displayName="Table1" name="Table1" id="2">
  <tableColumns count="4">
    <tableColumn name="Prime Item Number" id="1"/>
    <tableColumn name="Item Desc" id="2"/>
    <tableColumn name="UPC" id="3"/>
    <tableColumn name="Content Score" id="4"/>
  </tableColumns>
  <tableStyleInfo name="Content Sc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1.22" defaultRowHeight="15.0"/>
  <cols>
    <col customWidth="1" min="1" max="1" width="2.89"/>
    <col customWidth="1" min="2" max="2" width="15.67"/>
    <col customWidth="1" min="3" max="3" width="24.67"/>
    <col customWidth="1" min="4" max="4" width="15.44"/>
    <col customWidth="1" min="5" max="5" width="16.89"/>
    <col customWidth="1" min="6" max="6" width="12.0"/>
    <col customWidth="1" min="7" max="7" width="14.89"/>
    <col customWidth="1" min="8" max="8" width="14.0"/>
    <col customWidth="1" min="9" max="9" width="14.44"/>
    <col customWidth="1" min="10" max="10" width="11.44"/>
    <col customWidth="1" min="11" max="11" width="14.44"/>
    <col customWidth="1" min="12" max="12" width="16.22"/>
    <col customWidth="1" min="13" max="13" width="13.11"/>
    <col customWidth="1" min="14" max="14" width="15.44"/>
    <col customWidth="1" min="15" max="15" width="12.44"/>
    <col customWidth="1" min="16" max="16" width="11.11"/>
    <col customWidth="1" min="17" max="17" width="14.22"/>
    <col customWidth="1" min="18" max="18" width="15.67"/>
    <col customWidth="1" min="19" max="19" width="17.11"/>
    <col customWidth="1" min="20" max="20" width="16.22"/>
    <col customWidth="1" min="21" max="21" width="12.22"/>
    <col customWidth="1" min="22" max="22" width="13.67"/>
    <col customWidth="1" min="23" max="23" width="14.89"/>
    <col customWidth="1" min="24" max="24" width="18.44"/>
    <col customWidth="1" min="25" max="25" width="19.22"/>
    <col customWidth="1" min="26" max="26" width="29.56"/>
    <col customWidth="1" min="27" max="27" width="30.22"/>
    <col customWidth="1" min="28" max="28" width="21.67"/>
    <col customWidth="1" min="29" max="29" width="20.44"/>
    <col customWidth="1" min="30" max="30" width="21.11"/>
    <col customWidth="1" min="31" max="31" width="11.67"/>
    <col customWidth="1" min="32" max="32" width="21.0"/>
    <col customWidth="1" min="33" max="33" width="21.44"/>
    <col customWidth="1" min="34" max="34" width="20.22"/>
    <col customWidth="1" min="35" max="35" width="21.44"/>
    <col customWidth="1" min="36" max="36" width="23.44"/>
    <col customWidth="1" min="37" max="51" width="11.67"/>
  </cols>
  <sheetData>
    <row r="1" ht="42.0" customHeight="1">
      <c r="B1" s="1" t="s">
        <v>0</v>
      </c>
      <c r="E1" s="2">
        <v>0.9891</v>
      </c>
      <c r="F1" s="3">
        <v>0.25163656874465007</v>
      </c>
      <c r="G1" s="4">
        <v>9.762376001726734</v>
      </c>
      <c r="H1" s="5">
        <v>2.03532175449993</v>
      </c>
      <c r="I1" s="6">
        <v>0.04395488723971993</v>
      </c>
      <c r="J1" s="7">
        <v>23.38</v>
      </c>
      <c r="K1" s="7">
        <v>38.96</v>
      </c>
      <c r="L1" s="7">
        <v>38.80331994888139</v>
      </c>
      <c r="M1" s="7">
        <v>38.71820715245666</v>
      </c>
      <c r="N1" s="7">
        <v>0.3998973305954826</v>
      </c>
      <c r="O1" s="8">
        <v>2945.0</v>
      </c>
      <c r="P1" s="8">
        <v>0.0</v>
      </c>
      <c r="Q1" s="6">
        <v>1.0</v>
      </c>
      <c r="R1" s="8">
        <v>741.0</v>
      </c>
      <c r="S1" s="8">
        <v>0.0</v>
      </c>
      <c r="T1" s="6" t="e">
        <v>#DIV/0!</v>
      </c>
      <c r="U1" s="9">
        <v>17324.58</v>
      </c>
      <c r="V1" s="9">
        <v>28747.5</v>
      </c>
      <c r="W1" s="9">
        <v>0.0</v>
      </c>
      <c r="X1" s="6" t="e">
        <v>#DIV/0!</v>
      </c>
      <c r="Y1" s="8">
        <v>6191.0</v>
      </c>
      <c r="Z1" s="8">
        <v>0.0</v>
      </c>
      <c r="AA1" s="6" t="e">
        <v>#DIV/0!</v>
      </c>
      <c r="AB1" s="10">
        <v>239737.28999999998</v>
      </c>
      <c r="AC1" s="10">
        <v>0.0</v>
      </c>
      <c r="AD1" s="11" t="e">
        <v>#DIV/0!</v>
      </c>
      <c r="AE1" s="6">
        <v>0.27165372980880464</v>
      </c>
      <c r="AF1" s="8">
        <v>501.0</v>
      </c>
      <c r="AG1" s="8">
        <v>22431.0</v>
      </c>
      <c r="AH1" s="8">
        <v>-27.0</v>
      </c>
      <c r="AI1" s="6">
        <v>-0.034201350541163106</v>
      </c>
      <c r="AJ1" s="6">
        <v>-0.6460401494271201</v>
      </c>
      <c r="AK1" s="8">
        <v>-200.0</v>
      </c>
      <c r="AL1" s="6">
        <v>-0.030461891528666775</v>
      </c>
      <c r="AM1" s="12">
        <v>766.23</v>
      </c>
      <c r="AN1" s="12">
        <v>6607.44</v>
      </c>
      <c r="AO1" s="8">
        <v>149627.77000000002</v>
      </c>
      <c r="AP1" s="13"/>
      <c r="AQ1" s="13">
        <v>16438.0</v>
      </c>
      <c r="AR1" s="13">
        <v>93.0</v>
      </c>
      <c r="AS1" s="13">
        <v>93.0</v>
      </c>
      <c r="AT1" s="13">
        <v>1061.0</v>
      </c>
      <c r="AU1" s="13">
        <v>0.0</v>
      </c>
      <c r="AV1" s="13">
        <v>1059.0</v>
      </c>
    </row>
    <row r="2">
      <c r="A2" s="14"/>
      <c r="B2" s="15" t="s">
        <v>1</v>
      </c>
      <c r="C2" s="15" t="s">
        <v>2</v>
      </c>
      <c r="D2" s="15" t="s">
        <v>3</v>
      </c>
      <c r="E2" s="16" t="s">
        <v>4</v>
      </c>
      <c r="F2" s="15" t="s">
        <v>5</v>
      </c>
      <c r="G2" s="17" t="s">
        <v>6</v>
      </c>
      <c r="H2" s="15" t="s">
        <v>7</v>
      </c>
      <c r="I2" s="15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9" t="s">
        <v>13</v>
      </c>
      <c r="O2" s="20" t="s">
        <v>14</v>
      </c>
      <c r="P2" s="20" t="s">
        <v>15</v>
      </c>
      <c r="Q2" s="20" t="s">
        <v>16</v>
      </c>
      <c r="R2" s="15" t="s">
        <v>17</v>
      </c>
      <c r="S2" s="15" t="s">
        <v>18</v>
      </c>
      <c r="T2" s="16" t="s">
        <v>19</v>
      </c>
      <c r="U2" s="16" t="s">
        <v>20</v>
      </c>
      <c r="V2" s="21" t="s">
        <v>21</v>
      </c>
      <c r="W2" s="21" t="s">
        <v>22</v>
      </c>
      <c r="X2" s="15" t="s">
        <v>23</v>
      </c>
      <c r="Y2" s="15" t="s">
        <v>24</v>
      </c>
      <c r="Z2" s="15" t="s">
        <v>25</v>
      </c>
      <c r="AA2" s="15" t="s">
        <v>26</v>
      </c>
      <c r="AB2" s="21" t="s">
        <v>27</v>
      </c>
      <c r="AC2" s="15" t="s">
        <v>28</v>
      </c>
      <c r="AD2" s="15" t="s">
        <v>29</v>
      </c>
      <c r="AE2" s="22" t="s">
        <v>30</v>
      </c>
      <c r="AF2" s="15" t="s">
        <v>31</v>
      </c>
      <c r="AG2" s="15" t="s">
        <v>32</v>
      </c>
      <c r="AH2" s="15" t="s">
        <v>33</v>
      </c>
      <c r="AI2" s="15" t="s">
        <v>34</v>
      </c>
      <c r="AJ2" s="15" t="s">
        <v>35</v>
      </c>
      <c r="AK2" s="15" t="s">
        <v>36</v>
      </c>
      <c r="AL2" s="15" t="s">
        <v>37</v>
      </c>
      <c r="AM2" s="15" t="s">
        <v>38</v>
      </c>
      <c r="AN2" s="15" t="s">
        <v>39</v>
      </c>
      <c r="AO2" s="20" t="s">
        <v>40</v>
      </c>
      <c r="AP2" s="15" t="s">
        <v>41</v>
      </c>
      <c r="AQ2" s="15" t="s">
        <v>42</v>
      </c>
      <c r="AR2" s="15" t="s">
        <v>43</v>
      </c>
      <c r="AS2" s="15" t="s">
        <v>44</v>
      </c>
      <c r="AT2" s="15" t="s">
        <v>45</v>
      </c>
      <c r="AU2" s="15" t="s">
        <v>46</v>
      </c>
      <c r="AV2" s="15" t="s">
        <v>47</v>
      </c>
      <c r="AW2" s="15" t="s">
        <v>48</v>
      </c>
      <c r="AX2" s="15" t="s">
        <v>49</v>
      </c>
    </row>
    <row r="3" ht="17.25" customHeight="1">
      <c r="A3" s="23"/>
      <c r="B3" s="24">
        <v>6.77410826E8</v>
      </c>
      <c r="C3" s="24" t="s">
        <v>50</v>
      </c>
      <c r="D3" s="25" t="str">
        <f>VLOOKUP($B3,'Luminate Item Data'!A:C,3,FALSE)</f>
        <v>AS-PREC-FLOS-BK</v>
      </c>
      <c r="E3" s="26">
        <f>VLOOKUP($B3,'Luminate Item Data'!$A:$AS,45,FALSE)</f>
        <v>0.9871</v>
      </c>
      <c r="F3" s="27">
        <f t="shared" ref="F3:F4" si="1">IFERROR(($R3/$O3),"-")</f>
        <v>0.3213315217</v>
      </c>
      <c r="G3" s="28">
        <f t="shared" ref="G3:G4" si="2">IFERROR(($V3/$O3),"-")</f>
        <v>12.45970109</v>
      </c>
      <c r="H3" s="28">
        <f t="shared" ref="H3:H4" si="3">IFERROR(($AB3/$O3)/40,"-")</f>
        <v>2.625638757</v>
      </c>
      <c r="I3" s="26">
        <f t="shared" ref="I3:I4" si="4">IFERROR($R3/($AQ3+$R3),0)</f>
        <v>0.05838785335</v>
      </c>
      <c r="J3" s="28">
        <f>IFNA(VLOOKUP(B3,'Luminate Item Data'!A:G,7,0),0)</f>
        <v>23.38</v>
      </c>
      <c r="K3" s="28">
        <f>VLOOKUP($B3,'Luminate Item Data'!A:H,8,FALSE)</f>
        <v>38.96</v>
      </c>
      <c r="L3" s="28">
        <f>IFERROR('Sales Summary'!$V3/'Sales Summary'!$R3,"-")</f>
        <v>38.77522199</v>
      </c>
      <c r="M3" s="28">
        <f>IFERROR('Sales Summary'!$AB3/'Sales Summary'!$Y3,"0")</f>
        <v>38.73655976</v>
      </c>
      <c r="N3" s="26">
        <f t="shared" ref="N3:N4" si="5">(K3-J3)/K3</f>
        <v>0.3998973306</v>
      </c>
      <c r="O3" s="29">
        <f>VLOOKUP($B3,'Luminate Item Data'!A:AR,44,FALSE)</f>
        <v>1472</v>
      </c>
      <c r="P3" s="29">
        <f>IFNA(VLOOKUP('Sales Summary'!$B3,'Luminate Item Data'!A:AX,50,0),0)</f>
        <v>0</v>
      </c>
      <c r="Q3" s="30">
        <f>IFERROR(('Sales Summary'!$O3-'Sales Summary'!$P3)/'Sales Summary'!$P3,1)</f>
        <v>1</v>
      </c>
      <c r="R3" s="29">
        <f>IFNA(VLOOKUP($B3,'Luminate Sales Data'!A:C,3,FALSE),0)</f>
        <v>473</v>
      </c>
      <c r="S3" s="29">
        <f>IFNA(VLOOKUP($B3,'Luminate Sales Data'!A:D,4,FALSE),0)</f>
        <v>0</v>
      </c>
      <c r="T3" s="30" t="str">
        <f t="shared" ref="T3:T4" si="6">IFERROR(($R3-$S3)/$S3,"-")</f>
        <v>-</v>
      </c>
      <c r="U3" s="31">
        <f t="shared" ref="U3:U4" si="7">$R3*$J3</f>
        <v>11058.74</v>
      </c>
      <c r="V3" s="31">
        <f>IFNA(VLOOKUP($B3,'Luminate Sales Data'!A:E,5,FALSE),0)</f>
        <v>18340.68</v>
      </c>
      <c r="W3" s="31">
        <f>IFNA(VLOOKUP($B3,'Luminate Sales Data'!A:F,6,FALSE),0)</f>
        <v>0</v>
      </c>
      <c r="X3" s="30" t="str">
        <f t="shared" ref="X3:X4" si="8">IFERROR(($V3-$W3)/$W3,"-")</f>
        <v>-</v>
      </c>
      <c r="Y3" s="29">
        <f>IFNA(VLOOKUP($B3,'Luminate Sales Data'!A:U,21,FALSE),0)</f>
        <v>3991</v>
      </c>
      <c r="Z3" s="29">
        <f>IFNA(VLOOKUP($B3,'Luminate Sales Data'!A:V,22,FALSE),0)</f>
        <v>0</v>
      </c>
      <c r="AA3" s="30" t="str">
        <f t="shared" ref="AA3:AA4" si="9">IFERROR(($Y3-$Z3)/$Z3,"-")</f>
        <v>-</v>
      </c>
      <c r="AB3" s="31">
        <f>IFNA(VLOOKUP($B3,'Luminate Sales Data'!A:W,23,FALSE),0)</f>
        <v>154597.61</v>
      </c>
      <c r="AC3" s="32">
        <f>IFNA(VLOOKUP($B3,'Luminate Sales Data'!A:X,24,FALSE),0)</f>
        <v>0</v>
      </c>
      <c r="AD3" s="30" t="str">
        <f t="shared" ref="AD3:AD4" si="10">IFERROR(($AB3-$AC3)/$AC3,"-")</f>
        <v>-</v>
      </c>
      <c r="AE3" s="26">
        <f t="shared" ref="AE3:AE4" si="11">IFERROR($Y3/($Y3+$AQ3),0)</f>
        <v>0.3434891127</v>
      </c>
      <c r="AF3" s="29">
        <f>IFNA(VLOOKUP($B3,'Luminate Sales Data'!A:K,11,FALSE),0)</f>
        <v>255</v>
      </c>
      <c r="AG3" s="29">
        <f>IFNA(VLOOKUP($B3,'Luminate Sales Data'!A:AC,29,FALSE),0)</f>
        <v>11589</v>
      </c>
      <c r="AH3" s="25">
        <f>IFNA(VLOOKUP($B3,'Luminate Sales Data'!A:Q,17,FALSE),0)</f>
        <v>-20</v>
      </c>
      <c r="AI3" s="33">
        <f t="shared" ref="AI3:AI4" si="12">IFERROR(($AH3/$R3),"-")</f>
        <v>-0.0422832981</v>
      </c>
      <c r="AJ3" s="33">
        <f>IFERROR(VLOOKUP($B3,'Luminate Sales Data'!$A:$AG,31,0)/'Sales Summary'!$Y3,0)</f>
        <v>-0.7785166625</v>
      </c>
      <c r="AK3" s="29">
        <f>IFNA(VLOOKUP($B3,'Luminate Sales Data'!A:AI,35,FALSE),0)</f>
        <v>-147</v>
      </c>
      <c r="AL3" s="33">
        <f t="shared" ref="AL3:AL4" si="13">IFERROR($AK3/$Y3,0)</f>
        <v>-0.03683287397</v>
      </c>
      <c r="AM3" s="32">
        <f>IFNA(VLOOKUP($B3,'Luminate Markdown'!A:C,3,FALSE),0)</f>
        <v>539.49</v>
      </c>
      <c r="AN3" s="32">
        <f>IFNA(VLOOKUP($B3,'Luminate Markdown'!A:E,5,FALSE),0)</f>
        <v>4589.44</v>
      </c>
      <c r="AO3" s="29">
        <f>IFNA(VLOOKUP($B3,'Luminate Forecast'!N:P,3,FALSE),0)</f>
        <v>74787.17</v>
      </c>
      <c r="AP3" s="27">
        <f t="shared" ref="AP3:AP4" si="14">IFERROR(($AQ3/$R3),"-")</f>
        <v>16.12684989</v>
      </c>
      <c r="AQ3" s="29">
        <f>VLOOKUP($B3,'Luminate Item Data'!A:AT,46,FALSE)</f>
        <v>7628</v>
      </c>
      <c r="AR3" s="29">
        <f>VLOOKUP($B3,'Luminate Item Data'!A:AU,47,FALSE)</f>
        <v>42</v>
      </c>
      <c r="AS3" s="29">
        <f>VLOOKUP($B3,'Luminate Item Data'!A:AV,48,FALSE)</f>
        <v>39</v>
      </c>
      <c r="AT3" s="29">
        <f>VLOOKUP($B3,'Luminate Item Data'!A:AW,49,FALSE)</f>
        <v>800</v>
      </c>
      <c r="AU3" s="29">
        <f>IFERROR(VLOOKUP($B3,'Luminate Warehouse Inv'!B:E,4,FALSE),0)</f>
        <v>0</v>
      </c>
      <c r="AV3" s="29">
        <f>IFERROR(VLOOKUP($B3,'Luminate Warehouse Inv'!B:G,6,FALSE),0)</f>
        <v>789</v>
      </c>
      <c r="AW3" s="25">
        <f>VLOOKUP($B3,'Luminate Item Data'!$A:$D,4,FALSE)</f>
        <v>85007565805</v>
      </c>
      <c r="AX3" s="34">
        <f>VLOOKUP($B3,'Luminate Item Data'!$A:$E,5,FALSE)</f>
        <v>45796</v>
      </c>
      <c r="AY3" s="35"/>
    </row>
    <row r="4" ht="17.25" customHeight="1">
      <c r="A4" s="23"/>
      <c r="B4" s="24">
        <v>6.77536463E8</v>
      </c>
      <c r="C4" s="24" t="s">
        <v>51</v>
      </c>
      <c r="D4" s="25" t="str">
        <f>VLOOKUP($B4,'Luminate Item Data'!A:C,3,FALSE)</f>
        <v>AS-PREC-TB-BK</v>
      </c>
      <c r="E4" s="26">
        <f>VLOOKUP($B4,'Luminate Item Data'!$A:$AS,45,FALSE)</f>
        <v>0.9911</v>
      </c>
      <c r="F4" s="27">
        <f t="shared" si="1"/>
        <v>0.1819416158</v>
      </c>
      <c r="G4" s="28">
        <f t="shared" si="2"/>
        <v>7.065050916</v>
      </c>
      <c r="H4" s="28">
        <f t="shared" si="3"/>
        <v>1.445004752</v>
      </c>
      <c r="I4" s="26">
        <f t="shared" si="4"/>
        <v>0.02952192113</v>
      </c>
      <c r="J4" s="28">
        <f>IFNA(VLOOKUP(B4,'Luminate Item Data'!A:G,7,0),0)</f>
        <v>23.38</v>
      </c>
      <c r="K4" s="28">
        <f>VLOOKUP($B4,'Luminate Item Data'!A:H,8,FALSE)</f>
        <v>38.96</v>
      </c>
      <c r="L4" s="28">
        <f>IFERROR('Sales Summary'!$V4/'Sales Summary'!$R4,"-")</f>
        <v>38.83141791</v>
      </c>
      <c r="M4" s="28">
        <f>IFERROR('Sales Summary'!$AB4/'Sales Summary'!$Y4,"0")</f>
        <v>38.69985455</v>
      </c>
      <c r="N4" s="26">
        <f t="shared" si="5"/>
        <v>0.3998973306</v>
      </c>
      <c r="O4" s="29">
        <f>VLOOKUP($B4,'Luminate Item Data'!A:AR,44,FALSE)</f>
        <v>1473</v>
      </c>
      <c r="P4" s="29">
        <f>IFNA(VLOOKUP('Sales Summary'!$B4,'Luminate Item Data'!A:AX,50,0),0)</f>
        <v>0</v>
      </c>
      <c r="Q4" s="30">
        <f>IFERROR(('Sales Summary'!$O4-'Sales Summary'!$P4)/'Sales Summary'!$P4,1)</f>
        <v>1</v>
      </c>
      <c r="R4" s="29">
        <f>IFNA(VLOOKUP($B4,'Luminate Sales Data'!A:C,3,FALSE),0)</f>
        <v>268</v>
      </c>
      <c r="S4" s="29">
        <f>IFNA(VLOOKUP($B4,'Luminate Sales Data'!A:D,4,FALSE),0)</f>
        <v>0</v>
      </c>
      <c r="T4" s="30" t="str">
        <f t="shared" si="6"/>
        <v>-</v>
      </c>
      <c r="U4" s="31">
        <f t="shared" si="7"/>
        <v>6265.84</v>
      </c>
      <c r="V4" s="31">
        <f>IFNA(VLOOKUP($B4,'Luminate Sales Data'!A:E,5,FALSE),0)</f>
        <v>10406.82</v>
      </c>
      <c r="W4" s="31">
        <f>IFNA(VLOOKUP($B4,'Luminate Sales Data'!A:F,6,FALSE),0)</f>
        <v>0</v>
      </c>
      <c r="X4" s="30" t="str">
        <f t="shared" si="8"/>
        <v>-</v>
      </c>
      <c r="Y4" s="29">
        <f>IFNA(VLOOKUP($B4,'Luminate Sales Data'!A:U,21,FALSE),0)</f>
        <v>2200</v>
      </c>
      <c r="Z4" s="29">
        <f>IFNA(VLOOKUP($B4,'Luminate Sales Data'!A:V,22,FALSE),0)</f>
        <v>0</v>
      </c>
      <c r="AA4" s="30" t="str">
        <f t="shared" si="9"/>
        <v>-</v>
      </c>
      <c r="AB4" s="31">
        <f>IFNA(VLOOKUP($B4,'Luminate Sales Data'!A:W,23,FALSE),0)</f>
        <v>85139.68</v>
      </c>
      <c r="AC4" s="32">
        <f>IFNA(VLOOKUP($B4,'Luminate Sales Data'!A:X,24,FALSE),0)</f>
        <v>0</v>
      </c>
      <c r="AD4" s="30" t="str">
        <f t="shared" si="10"/>
        <v>-</v>
      </c>
      <c r="AE4" s="26">
        <f t="shared" si="11"/>
        <v>0.199818347</v>
      </c>
      <c r="AF4" s="29">
        <f>IFNA(VLOOKUP($B4,'Luminate Sales Data'!A:K,11,FALSE),0)</f>
        <v>246</v>
      </c>
      <c r="AG4" s="29">
        <f>IFNA(VLOOKUP($B4,'Luminate Sales Data'!A:AC,29,FALSE),0)</f>
        <v>10842</v>
      </c>
      <c r="AH4" s="25">
        <f>IFNA(VLOOKUP($B4,'Luminate Sales Data'!A:Q,17,FALSE),0)</f>
        <v>-7</v>
      </c>
      <c r="AI4" s="33">
        <f t="shared" si="12"/>
        <v>-0.02611940299</v>
      </c>
      <c r="AJ4" s="33">
        <f>IFERROR(VLOOKUP($B4,'Luminate Sales Data'!$A:$AG,31,0)/'Sales Summary'!$Y4,0)</f>
        <v>-0.5135636364</v>
      </c>
      <c r="AK4" s="29">
        <f>IFNA(VLOOKUP($B4,'Luminate Sales Data'!A:AI,35,FALSE),0)</f>
        <v>-53</v>
      </c>
      <c r="AL4" s="33">
        <f t="shared" si="13"/>
        <v>-0.02409090909</v>
      </c>
      <c r="AM4" s="32">
        <f>IFNA(VLOOKUP($B4,'Luminate Markdown'!A:C,3,FALSE),0)</f>
        <v>226.74</v>
      </c>
      <c r="AN4" s="32">
        <f>IFNA(VLOOKUP($B4,'Luminate Markdown'!A:E,5,FALSE),0)</f>
        <v>2018</v>
      </c>
      <c r="AO4" s="29">
        <f>IFNA(VLOOKUP($B4,'Luminate Forecast'!N:P,3,FALSE),0)</f>
        <v>74840.6</v>
      </c>
      <c r="AP4" s="27">
        <f t="shared" si="14"/>
        <v>32.87313433</v>
      </c>
      <c r="AQ4" s="29">
        <f>VLOOKUP($B4,'Luminate Item Data'!A:AT,46,FALSE)</f>
        <v>8810</v>
      </c>
      <c r="AR4" s="29">
        <f>VLOOKUP($B4,'Luminate Item Data'!A:AU,47,FALSE)</f>
        <v>51</v>
      </c>
      <c r="AS4" s="29">
        <f>VLOOKUP($B4,'Luminate Item Data'!A:AV,48,FALSE)</f>
        <v>54</v>
      </c>
      <c r="AT4" s="29">
        <f>VLOOKUP($B4,'Luminate Item Data'!A:AW,49,FALSE)</f>
        <v>261</v>
      </c>
      <c r="AU4" s="29">
        <f>IFERROR(VLOOKUP($B4,'Luminate Warehouse Inv'!B:E,4,FALSE),0)</f>
        <v>0</v>
      </c>
      <c r="AV4" s="29">
        <f>IFERROR(VLOOKUP($B4,'Luminate Warehouse Inv'!B:G,6,FALSE),0)</f>
        <v>270</v>
      </c>
      <c r="AW4" s="25">
        <f>VLOOKUP($B4,'Luminate Item Data'!$A:$D,4,FALSE)</f>
        <v>85007565801</v>
      </c>
      <c r="AX4" s="34">
        <f>VLOOKUP($B4,'Luminate Item Data'!$A:$E,5,FALSE)</f>
        <v>45803</v>
      </c>
      <c r="AY4" s="35"/>
    </row>
    <row r="5">
      <c r="B5" s="36" t="s">
        <v>52</v>
      </c>
      <c r="C5" s="36"/>
      <c r="D5" s="36"/>
      <c r="E5" s="37">
        <f t="shared" ref="E5:G5" si="15">AVERAGE(E3:E4)</f>
        <v>0.9891</v>
      </c>
      <c r="F5" s="38">
        <f t="shared" si="15"/>
        <v>0.2516365687</v>
      </c>
      <c r="G5" s="39">
        <f t="shared" si="15"/>
        <v>9.762376002</v>
      </c>
      <c r="H5" s="39">
        <f>AVERAGE(Table4[YTD $/P/W])</f>
        <v>2.035321754</v>
      </c>
      <c r="I5" s="40">
        <f>AVERAGE(Table4[ Wkly Sell Thru %])</f>
        <v>0.04395488724</v>
      </c>
      <c r="J5" s="41">
        <f>AVERAGE(Table4[ Unit Cost])</f>
        <v>23.38</v>
      </c>
      <c r="K5" s="41">
        <f>AVERAGE(Table4[ Unit Retail])</f>
        <v>38.96</v>
      </c>
      <c r="L5" s="41">
        <f>AVERAGE(Table4[ Avg Retail])</f>
        <v>38.80331995</v>
      </c>
      <c r="M5" s="41">
        <f>AVERAGE(Table4[YTD AUR])</f>
        <v>38.71820715</v>
      </c>
      <c r="N5" s="42">
        <f>AVERAGE(Table4[ MU %])</f>
        <v>0.3998973306</v>
      </c>
      <c r="O5" s="43">
        <f>SUBTOTAL(9,Table4[ Curr Traited Store/Item Comb]  )</f>
        <v>2945</v>
      </c>
      <c r="P5" s="44">
        <f>SUM(Table4[Traited Store LY])</f>
        <v>0</v>
      </c>
      <c r="Q5" s="42">
        <f>SUBTOTAL(1,Table4[LW Store Count Chg %])</f>
        <v>1</v>
      </c>
      <c r="R5" s="44">
        <f>SUM(Table4[ LW POS Qty])</f>
        <v>741</v>
      </c>
      <c r="S5" s="44">
        <f>SUM(Table4[ LY LW POS Qty])</f>
        <v>0</v>
      </c>
      <c r="T5" s="42" t="str">
        <f>($R5-$S5)/$S5</f>
        <v>#DIV/0!</v>
      </c>
      <c r="U5" s="45">
        <f>SUM(Table4[LW POS Cost])</f>
        <v>17324.58</v>
      </c>
      <c r="V5" s="45">
        <f>SUM(Table4[ LW POS Sales])</f>
        <v>28747.5</v>
      </c>
      <c r="W5" s="45">
        <f>SUM(Table4[ LY LW POS Sales])</f>
        <v>0</v>
      </c>
      <c r="X5" s="42" t="str">
        <f>($V5-$W5)/$W5</f>
        <v>#DIV/0!</v>
      </c>
      <c r="Y5" s="44">
        <f>SUM(Table4[ YTD POS Qty])</f>
        <v>6191</v>
      </c>
      <c r="Z5" s="44">
        <f>SUM(Table4[ LY YTD POS Qty])</f>
        <v>0</v>
      </c>
      <c r="AA5" s="42" t="str">
        <f>(Y5-Z5)/Z5</f>
        <v>#DIV/0!</v>
      </c>
      <c r="AB5" s="46">
        <f>SUM(Table4[ YTD POS Sales])</f>
        <v>239737.29</v>
      </c>
      <c r="AC5" s="46">
        <f>SUM(Table4[ LY YTD POS Sales])</f>
        <v>0</v>
      </c>
      <c r="AD5" s="47" t="str">
        <f>(AB5-AC5)/AC5</f>
        <v>#DIV/0!</v>
      </c>
      <c r="AE5" s="42">
        <f>AVERAGE(Table4[ YTD Sell Thru %])</f>
        <v>0.2716537298</v>
      </c>
      <c r="AF5" s="44">
        <f>SUM(Table4[ LW Gross Ship Qty])</f>
        <v>501</v>
      </c>
      <c r="AG5" s="44">
        <f>SUM(Table4[ YTD Gross Ship Qty])</f>
        <v>22431</v>
      </c>
      <c r="AH5" s="44">
        <f>SUM(Table4[ LW Total Customer Item Return])</f>
        <v>-27</v>
      </c>
      <c r="AI5" s="42">
        <f>AVERAGE(Table4[ LW Total Return Rate])</f>
        <v>-0.03420135054</v>
      </c>
      <c r="AJ5" s="42">
        <f>AVERAGE(Table4[ YTD Def Rate (sales)])</f>
        <v>-0.6460401494</v>
      </c>
      <c r="AK5" s="44">
        <f>SUM(Table4[ YTD Total Customer Item Return])</f>
        <v>-200</v>
      </c>
      <c r="AL5" s="42">
        <f>AVERAGE(Table4[ YTD Total Return Rate])</f>
        <v>-0.03046189153</v>
      </c>
      <c r="AM5" s="48">
        <f>SUM(Table4[ LW SI Total MUMD $])</f>
        <v>766.23</v>
      </c>
      <c r="AN5" s="48">
        <f>SUM(Table4[ YTD SI Total MUMD $])</f>
        <v>6607.44</v>
      </c>
      <c r="AO5" s="49">
        <f>SUM(Table4[ 52/53 WK FC Units])</f>
        <v>149627.77</v>
      </c>
      <c r="AP5" s="49"/>
      <c r="AQ5" s="49">
        <f>SUM(Table4[ Curr Str On Hand Qty])</f>
        <v>16438</v>
      </c>
      <c r="AR5" s="49">
        <f>SUM(Table4[ Curr Str In Transit Qty])</f>
        <v>93</v>
      </c>
      <c r="AS5" s="49">
        <f>SUM(Table4[ Curr Str In Whse Qty])</f>
        <v>93</v>
      </c>
      <c r="AT5" s="49">
        <f>SUM(Table4[ Curr Str On Order Qty])</f>
        <v>1061</v>
      </c>
      <c r="AU5" s="49">
        <f>SUM(Table4[ Curr Whse On Hand Qty])</f>
        <v>0</v>
      </c>
      <c r="AV5" s="49">
        <f>SUM(Table4[ Curr Whse SS Order Qty])</f>
        <v>1059</v>
      </c>
      <c r="AW5" s="49"/>
      <c r="AX5" s="49"/>
    </row>
    <row r="6">
      <c r="E6" s="50"/>
      <c r="F6" s="50"/>
      <c r="G6" s="50"/>
      <c r="H6" s="51"/>
      <c r="I6" s="52"/>
      <c r="J6" s="52"/>
      <c r="K6" s="52"/>
      <c r="L6" s="53"/>
      <c r="O6" s="6"/>
      <c r="P6" s="6"/>
      <c r="Q6" s="9"/>
      <c r="S6" s="54"/>
      <c r="T6" s="54"/>
    </row>
    <row r="7">
      <c r="E7" s="50"/>
      <c r="F7" s="50"/>
      <c r="G7" s="50"/>
      <c r="H7" s="51"/>
      <c r="I7" s="52"/>
      <c r="J7" s="52"/>
      <c r="K7" s="52"/>
      <c r="L7" s="53"/>
      <c r="O7" s="6"/>
      <c r="P7" s="6"/>
      <c r="Q7" s="9"/>
      <c r="S7" s="54"/>
      <c r="T7" s="54"/>
    </row>
    <row r="8">
      <c r="E8" s="50"/>
      <c r="F8" s="50"/>
      <c r="G8" s="50"/>
      <c r="H8" s="51"/>
      <c r="I8" s="52"/>
      <c r="J8" s="52"/>
      <c r="K8" s="52"/>
      <c r="L8" s="53"/>
      <c r="O8" s="6"/>
      <c r="P8" s="6"/>
      <c r="Q8" s="9"/>
      <c r="S8" s="54"/>
      <c r="T8" s="54"/>
    </row>
    <row r="9">
      <c r="E9" s="50"/>
      <c r="F9" s="50"/>
      <c r="G9" s="50"/>
      <c r="H9" s="51"/>
      <c r="I9" s="52"/>
      <c r="J9" s="52"/>
      <c r="K9" s="52"/>
      <c r="L9" s="53"/>
      <c r="O9" s="6"/>
      <c r="P9" s="6"/>
      <c r="Q9" s="9"/>
      <c r="S9" s="54"/>
      <c r="T9" s="54"/>
    </row>
    <row r="10">
      <c r="E10" s="50"/>
      <c r="F10" s="50"/>
      <c r="G10" s="50"/>
      <c r="H10" s="51"/>
      <c r="I10" s="52"/>
      <c r="J10" s="52"/>
      <c r="K10" s="52"/>
      <c r="L10" s="53"/>
      <c r="O10" s="6"/>
      <c r="P10" s="6"/>
      <c r="Q10" s="9"/>
      <c r="S10" s="54"/>
      <c r="T10" s="54"/>
    </row>
    <row r="11">
      <c r="E11" s="50"/>
      <c r="F11" s="50"/>
      <c r="G11" s="50"/>
      <c r="H11" s="51"/>
      <c r="I11" s="52"/>
      <c r="J11" s="52"/>
      <c r="K11" s="52"/>
      <c r="L11" s="53"/>
      <c r="O11" s="6"/>
      <c r="P11" s="6"/>
      <c r="Q11" s="9"/>
      <c r="S11" s="54"/>
      <c r="T11" s="54"/>
    </row>
    <row r="12">
      <c r="E12" s="50"/>
      <c r="F12" s="50"/>
      <c r="G12" s="50"/>
      <c r="H12" s="51"/>
      <c r="I12" s="52"/>
      <c r="J12" s="52"/>
      <c r="K12" s="52"/>
      <c r="L12" s="53"/>
      <c r="O12" s="6"/>
      <c r="P12" s="6"/>
      <c r="Q12" s="9"/>
      <c r="S12" s="54"/>
      <c r="T12" s="54"/>
    </row>
    <row r="13">
      <c r="E13" s="50"/>
      <c r="F13" s="50"/>
      <c r="G13" s="50"/>
      <c r="H13" s="51"/>
      <c r="I13" s="52"/>
      <c r="J13" s="52"/>
      <c r="K13" s="52"/>
      <c r="L13" s="53"/>
      <c r="O13" s="6"/>
      <c r="P13" s="6"/>
      <c r="Q13" s="9"/>
      <c r="S13" s="54"/>
      <c r="T13" s="54"/>
    </row>
    <row r="14">
      <c r="E14" s="50"/>
      <c r="F14" s="50"/>
      <c r="G14" s="50"/>
      <c r="H14" s="51"/>
      <c r="I14" s="52"/>
      <c r="J14" s="52"/>
      <c r="K14" s="52"/>
      <c r="L14" s="53"/>
      <c r="O14" s="6"/>
      <c r="P14" s="6"/>
      <c r="Q14" s="9"/>
      <c r="S14" s="54"/>
      <c r="T14" s="54"/>
    </row>
    <row r="15">
      <c r="E15" s="50"/>
      <c r="F15" s="50"/>
      <c r="G15" s="50"/>
      <c r="H15" s="51"/>
      <c r="I15" s="52"/>
      <c r="J15" s="52"/>
      <c r="K15" s="52"/>
      <c r="L15" s="53"/>
      <c r="O15" s="6"/>
      <c r="P15" s="6"/>
      <c r="Q15" s="9"/>
      <c r="S15" s="54"/>
      <c r="T15" s="54"/>
    </row>
    <row r="16">
      <c r="E16" s="50"/>
      <c r="F16" s="50"/>
      <c r="G16" s="50"/>
      <c r="H16" s="51"/>
      <c r="I16" s="52"/>
      <c r="J16" s="52"/>
      <c r="K16" s="52"/>
      <c r="L16" s="53"/>
      <c r="O16" s="6"/>
      <c r="P16" s="6"/>
      <c r="Q16" s="9"/>
      <c r="S16" s="54"/>
      <c r="T16" s="54"/>
    </row>
    <row r="17">
      <c r="E17" s="50"/>
      <c r="F17" s="50"/>
      <c r="G17" s="50"/>
      <c r="H17" s="51"/>
      <c r="I17" s="52"/>
      <c r="J17" s="52"/>
      <c r="K17" s="52"/>
      <c r="L17" s="53"/>
      <c r="O17" s="6"/>
      <c r="P17" s="6"/>
      <c r="Q17" s="9"/>
      <c r="S17" s="54"/>
      <c r="T17" s="54"/>
    </row>
    <row r="18">
      <c r="E18" s="50"/>
      <c r="F18" s="50"/>
      <c r="G18" s="50"/>
      <c r="H18" s="51"/>
      <c r="I18" s="52"/>
      <c r="J18" s="52"/>
      <c r="K18" s="52"/>
      <c r="L18" s="53"/>
      <c r="O18" s="6"/>
      <c r="P18" s="6"/>
      <c r="Q18" s="9"/>
      <c r="S18" s="54"/>
      <c r="T18" s="54"/>
    </row>
    <row r="19">
      <c r="E19" s="50"/>
      <c r="F19" s="50"/>
      <c r="G19" s="50"/>
      <c r="H19" s="51"/>
      <c r="I19" s="52"/>
      <c r="J19" s="52"/>
      <c r="K19" s="52"/>
      <c r="L19" s="53"/>
      <c r="O19" s="6"/>
      <c r="P19" s="6"/>
      <c r="Q19" s="9"/>
      <c r="S19" s="54"/>
      <c r="T19" s="54"/>
    </row>
    <row r="20">
      <c r="E20" s="50"/>
      <c r="F20" s="50"/>
      <c r="G20" s="50"/>
      <c r="H20" s="51"/>
      <c r="I20" s="52"/>
      <c r="J20" s="52"/>
      <c r="K20" s="52"/>
      <c r="L20" s="53"/>
      <c r="O20" s="6"/>
      <c r="P20" s="6"/>
      <c r="Q20" s="9"/>
      <c r="S20" s="54"/>
      <c r="T20" s="54"/>
    </row>
    <row r="21">
      <c r="E21" s="50"/>
      <c r="F21" s="50"/>
      <c r="G21" s="50"/>
      <c r="H21" s="51"/>
      <c r="I21" s="52"/>
      <c r="J21" s="52"/>
      <c r="K21" s="52"/>
      <c r="L21" s="53"/>
      <c r="O21" s="6"/>
      <c r="P21" s="6"/>
      <c r="Q21" s="9"/>
      <c r="S21" s="54"/>
      <c r="T21" s="54"/>
    </row>
    <row r="22">
      <c r="E22" s="50"/>
      <c r="F22" s="50"/>
      <c r="G22" s="50"/>
      <c r="H22" s="51"/>
      <c r="I22" s="52"/>
      <c r="J22" s="52"/>
      <c r="K22" s="52"/>
      <c r="L22" s="53"/>
      <c r="O22" s="6"/>
      <c r="P22" s="6"/>
      <c r="Q22" s="9"/>
      <c r="S22" s="54"/>
      <c r="T22" s="54"/>
    </row>
    <row r="23">
      <c r="E23" s="50"/>
      <c r="F23" s="50"/>
      <c r="G23" s="50"/>
      <c r="H23" s="51"/>
      <c r="I23" s="52"/>
      <c r="J23" s="52"/>
      <c r="K23" s="52"/>
      <c r="L23" s="53"/>
      <c r="O23" s="6"/>
      <c r="P23" s="6"/>
      <c r="Q23" s="9"/>
      <c r="S23" s="54"/>
      <c r="T23" s="54"/>
    </row>
    <row r="24">
      <c r="E24" s="50"/>
      <c r="F24" s="50"/>
      <c r="G24" s="50"/>
      <c r="H24" s="51"/>
      <c r="I24" s="52"/>
      <c r="J24" s="52"/>
      <c r="K24" s="52"/>
      <c r="L24" s="53"/>
      <c r="O24" s="6"/>
      <c r="P24" s="6"/>
      <c r="Q24" s="9"/>
      <c r="S24" s="54"/>
      <c r="T24" s="54"/>
    </row>
    <row r="25">
      <c r="E25" s="50"/>
      <c r="F25" s="50"/>
      <c r="G25" s="50"/>
      <c r="H25" s="51"/>
      <c r="I25" s="52"/>
      <c r="J25" s="52"/>
      <c r="K25" s="52"/>
      <c r="L25" s="53"/>
      <c r="O25" s="6"/>
      <c r="P25" s="6"/>
      <c r="Q25" s="9"/>
      <c r="S25" s="54"/>
      <c r="T25" s="54"/>
    </row>
    <row r="26">
      <c r="E26" s="50"/>
      <c r="F26" s="50"/>
      <c r="G26" s="50"/>
      <c r="H26" s="51"/>
      <c r="I26" s="52"/>
      <c r="J26" s="52"/>
      <c r="K26" s="52"/>
      <c r="L26" s="53"/>
      <c r="O26" s="6"/>
      <c r="P26" s="6"/>
      <c r="Q26" s="9"/>
      <c r="S26" s="54"/>
      <c r="T26" s="54"/>
    </row>
    <row r="27">
      <c r="E27" s="50"/>
      <c r="F27" s="50"/>
      <c r="G27" s="50"/>
      <c r="H27" s="51"/>
      <c r="I27" s="52"/>
      <c r="J27" s="52"/>
      <c r="K27" s="52"/>
      <c r="L27" s="53"/>
      <c r="O27" s="6"/>
      <c r="P27" s="6"/>
      <c r="Q27" s="9"/>
      <c r="S27" s="54"/>
      <c r="T27" s="54"/>
    </row>
    <row r="28">
      <c r="E28" s="50"/>
      <c r="F28" s="50"/>
      <c r="G28" s="50"/>
      <c r="H28" s="51"/>
      <c r="I28" s="52"/>
      <c r="J28" s="52"/>
      <c r="K28" s="52"/>
      <c r="L28" s="53"/>
      <c r="O28" s="6"/>
      <c r="P28" s="6"/>
      <c r="Q28" s="9"/>
      <c r="S28" s="54"/>
      <c r="T28" s="54"/>
    </row>
    <row r="29">
      <c r="E29" s="50"/>
      <c r="F29" s="50"/>
      <c r="G29" s="50"/>
      <c r="H29" s="51"/>
      <c r="I29" s="52"/>
      <c r="J29" s="52"/>
      <c r="K29" s="52"/>
      <c r="L29" s="53"/>
      <c r="O29" s="6"/>
      <c r="P29" s="6"/>
      <c r="Q29" s="9"/>
      <c r="S29" s="54"/>
      <c r="T29" s="54"/>
    </row>
    <row r="30">
      <c r="E30" s="50"/>
      <c r="F30" s="50"/>
      <c r="G30" s="50"/>
      <c r="H30" s="51"/>
      <c r="I30" s="52"/>
      <c r="J30" s="52"/>
      <c r="K30" s="52"/>
      <c r="L30" s="53"/>
      <c r="O30" s="6"/>
      <c r="P30" s="6"/>
      <c r="Q30" s="9"/>
      <c r="S30" s="54"/>
      <c r="T30" s="54"/>
    </row>
    <row r="31">
      <c r="E31" s="50"/>
      <c r="F31" s="50"/>
      <c r="G31" s="50"/>
      <c r="H31" s="51"/>
      <c r="I31" s="52"/>
      <c r="J31" s="52"/>
      <c r="K31" s="52"/>
      <c r="L31" s="53"/>
      <c r="O31" s="6"/>
      <c r="P31" s="6"/>
      <c r="Q31" s="9"/>
      <c r="S31" s="54"/>
      <c r="T31" s="54"/>
    </row>
    <row r="32">
      <c r="E32" s="50"/>
      <c r="F32" s="50"/>
      <c r="G32" s="50"/>
      <c r="H32" s="51"/>
      <c r="I32" s="52"/>
      <c r="J32" s="52"/>
      <c r="K32" s="52"/>
      <c r="L32" s="53"/>
      <c r="O32" s="6"/>
      <c r="P32" s="6"/>
      <c r="Q32" s="9"/>
      <c r="S32" s="54"/>
      <c r="T32" s="54"/>
    </row>
    <row r="33">
      <c r="E33" s="50"/>
      <c r="F33" s="50"/>
      <c r="G33" s="50"/>
      <c r="H33" s="51"/>
      <c r="I33" s="52"/>
      <c r="J33" s="52"/>
      <c r="K33" s="52"/>
      <c r="L33" s="53"/>
      <c r="O33" s="6"/>
      <c r="P33" s="6"/>
      <c r="Q33" s="9"/>
      <c r="S33" s="54"/>
      <c r="T33" s="54"/>
    </row>
    <row r="34">
      <c r="E34" s="50"/>
      <c r="F34" s="50"/>
      <c r="G34" s="50"/>
      <c r="H34" s="51"/>
      <c r="I34" s="52"/>
      <c r="J34" s="52"/>
      <c r="K34" s="52"/>
      <c r="L34" s="53"/>
      <c r="O34" s="6"/>
      <c r="P34" s="6"/>
      <c r="Q34" s="9"/>
      <c r="S34" s="54"/>
      <c r="T34" s="54"/>
    </row>
    <row r="35">
      <c r="E35" s="50"/>
      <c r="F35" s="50"/>
      <c r="G35" s="50"/>
      <c r="H35" s="51"/>
      <c r="I35" s="52"/>
      <c r="J35" s="52"/>
      <c r="K35" s="52"/>
      <c r="L35" s="53"/>
      <c r="O35" s="6"/>
      <c r="P35" s="6"/>
      <c r="Q35" s="9"/>
      <c r="S35" s="54"/>
      <c r="T35" s="54"/>
    </row>
    <row r="36">
      <c r="E36" s="50"/>
      <c r="F36" s="50"/>
      <c r="G36" s="50"/>
      <c r="H36" s="51"/>
      <c r="I36" s="52"/>
      <c r="J36" s="52"/>
      <c r="K36" s="52"/>
      <c r="L36" s="53"/>
      <c r="O36" s="6"/>
      <c r="P36" s="6"/>
      <c r="Q36" s="9"/>
      <c r="S36" s="54"/>
      <c r="T36" s="54"/>
    </row>
    <row r="37">
      <c r="E37" s="50"/>
      <c r="F37" s="50"/>
      <c r="G37" s="50"/>
      <c r="H37" s="51"/>
      <c r="I37" s="52"/>
      <c r="J37" s="52"/>
      <c r="K37" s="52"/>
      <c r="L37" s="53"/>
      <c r="O37" s="6"/>
      <c r="P37" s="6"/>
      <c r="Q37" s="9"/>
      <c r="S37" s="54"/>
      <c r="T37" s="54"/>
    </row>
    <row r="38">
      <c r="E38" s="50"/>
      <c r="F38" s="50"/>
      <c r="G38" s="50"/>
      <c r="H38" s="51"/>
      <c r="I38" s="52"/>
      <c r="J38" s="52"/>
      <c r="K38" s="52"/>
      <c r="L38" s="53"/>
      <c r="O38" s="6"/>
      <c r="P38" s="6"/>
      <c r="Q38" s="9"/>
      <c r="S38" s="54"/>
      <c r="T38" s="54"/>
    </row>
    <row r="39">
      <c r="E39" s="50"/>
      <c r="F39" s="50"/>
      <c r="G39" s="50"/>
      <c r="H39" s="51"/>
      <c r="I39" s="52"/>
      <c r="J39" s="52"/>
      <c r="K39" s="52"/>
      <c r="L39" s="53"/>
      <c r="O39" s="6"/>
      <c r="P39" s="6"/>
      <c r="Q39" s="9"/>
      <c r="S39" s="54"/>
      <c r="T39" s="54"/>
    </row>
    <row r="40">
      <c r="E40" s="50"/>
      <c r="F40" s="50"/>
      <c r="G40" s="50"/>
      <c r="H40" s="51"/>
      <c r="I40" s="52"/>
      <c r="J40" s="52"/>
      <c r="K40" s="52"/>
      <c r="L40" s="53"/>
      <c r="O40" s="6"/>
      <c r="P40" s="6"/>
      <c r="Q40" s="9"/>
      <c r="S40" s="54"/>
      <c r="T40" s="54"/>
    </row>
    <row r="41">
      <c r="E41" s="50"/>
      <c r="F41" s="50"/>
      <c r="G41" s="50"/>
      <c r="H41" s="51"/>
      <c r="I41" s="52"/>
      <c r="J41" s="52"/>
      <c r="K41" s="52"/>
      <c r="L41" s="53"/>
      <c r="O41" s="6"/>
      <c r="P41" s="6"/>
      <c r="Q41" s="9"/>
      <c r="S41" s="54"/>
      <c r="T41" s="54"/>
    </row>
    <row r="42">
      <c r="E42" s="50"/>
      <c r="F42" s="50"/>
      <c r="G42" s="50"/>
      <c r="H42" s="51"/>
      <c r="I42" s="52"/>
      <c r="J42" s="52"/>
      <c r="K42" s="52"/>
      <c r="L42" s="53"/>
      <c r="O42" s="6"/>
      <c r="P42" s="6"/>
      <c r="Q42" s="9"/>
      <c r="S42" s="54"/>
      <c r="T42" s="54"/>
    </row>
    <row r="43">
      <c r="E43" s="50"/>
      <c r="F43" s="50"/>
      <c r="G43" s="50"/>
      <c r="H43" s="51"/>
      <c r="I43" s="52"/>
      <c r="J43" s="52"/>
      <c r="K43" s="52"/>
      <c r="L43" s="53"/>
      <c r="O43" s="6"/>
      <c r="P43" s="6"/>
      <c r="Q43" s="9"/>
      <c r="S43" s="54"/>
      <c r="T43" s="54"/>
    </row>
    <row r="44">
      <c r="E44" s="50"/>
      <c r="F44" s="50"/>
      <c r="G44" s="50"/>
      <c r="H44" s="51"/>
      <c r="I44" s="52"/>
      <c r="J44" s="52"/>
      <c r="K44" s="52"/>
      <c r="L44" s="53"/>
      <c r="O44" s="6"/>
      <c r="P44" s="6"/>
      <c r="Q44" s="9"/>
      <c r="S44" s="54"/>
      <c r="T44" s="54"/>
    </row>
    <row r="45">
      <c r="E45" s="50"/>
      <c r="F45" s="50"/>
      <c r="G45" s="50"/>
      <c r="H45" s="51"/>
      <c r="I45" s="52"/>
      <c r="J45" s="52"/>
      <c r="K45" s="52"/>
      <c r="L45" s="53"/>
      <c r="O45" s="6"/>
      <c r="P45" s="6"/>
      <c r="Q45" s="9"/>
      <c r="S45" s="54"/>
      <c r="T45" s="54"/>
    </row>
    <row r="46">
      <c r="E46" s="50"/>
      <c r="F46" s="50"/>
      <c r="G46" s="50"/>
      <c r="H46" s="51"/>
      <c r="I46" s="52"/>
      <c r="J46" s="52"/>
      <c r="K46" s="52"/>
      <c r="L46" s="53"/>
      <c r="O46" s="6"/>
      <c r="P46" s="6"/>
      <c r="Q46" s="9"/>
      <c r="S46" s="54"/>
      <c r="T46" s="54"/>
    </row>
    <row r="47">
      <c r="E47" s="50"/>
      <c r="F47" s="50"/>
      <c r="G47" s="50"/>
      <c r="H47" s="51"/>
      <c r="I47" s="52"/>
      <c r="J47" s="52"/>
      <c r="K47" s="52"/>
      <c r="L47" s="53"/>
      <c r="O47" s="6"/>
      <c r="P47" s="6"/>
      <c r="Q47" s="9"/>
      <c r="S47" s="54"/>
      <c r="T47" s="54"/>
    </row>
    <row r="48">
      <c r="E48" s="50"/>
      <c r="F48" s="50"/>
      <c r="G48" s="50"/>
      <c r="H48" s="51"/>
      <c r="I48" s="52"/>
      <c r="J48" s="52"/>
      <c r="K48" s="52"/>
      <c r="L48" s="53"/>
      <c r="O48" s="6"/>
      <c r="P48" s="6"/>
      <c r="Q48" s="9"/>
      <c r="S48" s="54"/>
      <c r="T48" s="54"/>
    </row>
    <row r="49">
      <c r="E49" s="50"/>
      <c r="F49" s="50"/>
      <c r="G49" s="50"/>
      <c r="H49" s="51"/>
      <c r="I49" s="52"/>
      <c r="J49" s="52"/>
      <c r="K49" s="52"/>
      <c r="L49" s="53"/>
      <c r="O49" s="6"/>
      <c r="P49" s="6"/>
      <c r="Q49" s="9"/>
      <c r="S49" s="54"/>
      <c r="T49" s="54"/>
    </row>
    <row r="50">
      <c r="E50" s="50"/>
      <c r="F50" s="50"/>
      <c r="G50" s="50"/>
      <c r="H50" s="51"/>
      <c r="I50" s="52"/>
      <c r="J50" s="52"/>
      <c r="K50" s="52"/>
      <c r="L50" s="53"/>
      <c r="O50" s="6"/>
      <c r="P50" s="6"/>
      <c r="Q50" s="9"/>
      <c r="S50" s="54"/>
      <c r="T50" s="54"/>
    </row>
    <row r="51">
      <c r="E51" s="50"/>
      <c r="F51" s="50"/>
      <c r="G51" s="50"/>
      <c r="H51" s="51"/>
      <c r="I51" s="52"/>
      <c r="J51" s="52"/>
      <c r="K51" s="52"/>
      <c r="L51" s="53"/>
      <c r="O51" s="6"/>
      <c r="P51" s="6"/>
      <c r="Q51" s="9"/>
      <c r="S51" s="54"/>
      <c r="T51" s="54"/>
    </row>
    <row r="52">
      <c r="E52" s="50"/>
      <c r="F52" s="50"/>
      <c r="G52" s="50"/>
      <c r="H52" s="51"/>
      <c r="I52" s="52"/>
      <c r="J52" s="52"/>
      <c r="K52" s="52"/>
      <c r="L52" s="53"/>
      <c r="O52" s="6"/>
      <c r="P52" s="6"/>
      <c r="Q52" s="9"/>
      <c r="S52" s="54"/>
      <c r="T52" s="54"/>
    </row>
    <row r="53">
      <c r="E53" s="50"/>
      <c r="F53" s="50"/>
      <c r="G53" s="50"/>
      <c r="H53" s="51"/>
      <c r="I53" s="52"/>
      <c r="J53" s="52"/>
      <c r="K53" s="52"/>
      <c r="L53" s="53"/>
      <c r="O53" s="6"/>
      <c r="P53" s="6"/>
      <c r="Q53" s="9"/>
      <c r="S53" s="54"/>
      <c r="T53" s="54"/>
    </row>
    <row r="54">
      <c r="E54" s="50"/>
      <c r="F54" s="50"/>
      <c r="G54" s="50"/>
      <c r="H54" s="51"/>
      <c r="I54" s="52"/>
      <c r="J54" s="52"/>
      <c r="K54" s="52"/>
      <c r="L54" s="53"/>
      <c r="O54" s="6"/>
      <c r="P54" s="6"/>
      <c r="Q54" s="9"/>
      <c r="S54" s="54"/>
      <c r="T54" s="54"/>
    </row>
    <row r="55">
      <c r="E55" s="50"/>
      <c r="F55" s="50"/>
      <c r="G55" s="50"/>
      <c r="H55" s="51"/>
      <c r="I55" s="52"/>
      <c r="J55" s="52"/>
      <c r="K55" s="52"/>
      <c r="L55" s="53"/>
      <c r="O55" s="6"/>
      <c r="P55" s="6"/>
      <c r="Q55" s="9"/>
      <c r="S55" s="54"/>
      <c r="T55" s="54"/>
    </row>
    <row r="56">
      <c r="E56" s="50"/>
      <c r="F56" s="50"/>
      <c r="G56" s="50"/>
      <c r="H56" s="51"/>
      <c r="I56" s="52"/>
      <c r="J56" s="52"/>
      <c r="K56" s="52"/>
      <c r="L56" s="53"/>
      <c r="O56" s="6"/>
      <c r="P56" s="6"/>
      <c r="Q56" s="9"/>
      <c r="S56" s="54"/>
      <c r="T56" s="54"/>
    </row>
    <row r="57">
      <c r="E57" s="50"/>
      <c r="F57" s="50"/>
      <c r="G57" s="50"/>
      <c r="H57" s="51"/>
      <c r="I57" s="52"/>
      <c r="J57" s="52"/>
      <c r="K57" s="52"/>
      <c r="L57" s="53"/>
      <c r="O57" s="6"/>
      <c r="P57" s="6"/>
      <c r="Q57" s="9"/>
      <c r="S57" s="54"/>
      <c r="T57" s="54"/>
    </row>
    <row r="58">
      <c r="E58" s="50"/>
      <c r="F58" s="50"/>
      <c r="G58" s="50"/>
      <c r="H58" s="51"/>
      <c r="I58" s="52"/>
      <c r="J58" s="52"/>
      <c r="K58" s="52"/>
      <c r="L58" s="53"/>
      <c r="O58" s="6"/>
      <c r="P58" s="6"/>
      <c r="Q58" s="9"/>
      <c r="S58" s="54"/>
      <c r="T58" s="54"/>
    </row>
    <row r="59">
      <c r="E59" s="50"/>
      <c r="F59" s="50"/>
      <c r="G59" s="50"/>
      <c r="H59" s="51"/>
      <c r="I59" s="52"/>
      <c r="J59" s="52"/>
      <c r="K59" s="52"/>
      <c r="L59" s="53"/>
      <c r="O59" s="6"/>
      <c r="P59" s="6"/>
      <c r="Q59" s="9"/>
      <c r="S59" s="54"/>
      <c r="T59" s="54"/>
    </row>
    <row r="60">
      <c r="E60" s="50"/>
      <c r="F60" s="50"/>
      <c r="G60" s="50"/>
      <c r="H60" s="51"/>
      <c r="I60" s="52"/>
      <c r="J60" s="52"/>
      <c r="K60" s="52"/>
      <c r="L60" s="53"/>
      <c r="O60" s="6"/>
      <c r="P60" s="6"/>
      <c r="Q60" s="9"/>
      <c r="S60" s="54"/>
      <c r="T60" s="54"/>
    </row>
    <row r="61">
      <c r="E61" s="50"/>
      <c r="F61" s="50"/>
      <c r="G61" s="50"/>
      <c r="H61" s="51"/>
      <c r="I61" s="52"/>
      <c r="J61" s="52"/>
      <c r="K61" s="52"/>
      <c r="L61" s="53"/>
      <c r="O61" s="6"/>
      <c r="P61" s="6"/>
      <c r="Q61" s="9"/>
      <c r="S61" s="54"/>
      <c r="T61" s="54"/>
    </row>
    <row r="62">
      <c r="E62" s="50"/>
      <c r="F62" s="50"/>
      <c r="G62" s="50"/>
      <c r="H62" s="51"/>
      <c r="I62" s="52"/>
      <c r="J62" s="52"/>
      <c r="K62" s="52"/>
      <c r="L62" s="53"/>
      <c r="O62" s="6"/>
      <c r="P62" s="6"/>
      <c r="Q62" s="9"/>
      <c r="S62" s="54"/>
      <c r="T62" s="54"/>
    </row>
    <row r="63">
      <c r="E63" s="50"/>
      <c r="F63" s="50"/>
      <c r="G63" s="50"/>
      <c r="H63" s="51"/>
      <c r="I63" s="52"/>
      <c r="J63" s="52"/>
      <c r="K63" s="52"/>
      <c r="L63" s="53"/>
      <c r="O63" s="6"/>
      <c r="P63" s="6"/>
      <c r="Q63" s="9"/>
      <c r="S63" s="54"/>
      <c r="T63" s="54"/>
    </row>
    <row r="64">
      <c r="E64" s="50"/>
      <c r="F64" s="50"/>
      <c r="G64" s="50"/>
      <c r="H64" s="51"/>
      <c r="I64" s="52"/>
      <c r="J64" s="52"/>
      <c r="K64" s="52"/>
      <c r="L64" s="53"/>
      <c r="O64" s="6"/>
      <c r="P64" s="6"/>
      <c r="Q64" s="9"/>
      <c r="S64" s="54"/>
      <c r="T64" s="54"/>
    </row>
    <row r="65">
      <c r="E65" s="50"/>
      <c r="F65" s="50"/>
      <c r="G65" s="50"/>
      <c r="H65" s="51"/>
      <c r="I65" s="52"/>
      <c r="J65" s="52"/>
      <c r="K65" s="52"/>
      <c r="L65" s="53"/>
      <c r="O65" s="6"/>
      <c r="P65" s="6"/>
      <c r="Q65" s="9"/>
      <c r="S65" s="54"/>
      <c r="T65" s="54"/>
    </row>
    <row r="66">
      <c r="E66" s="50"/>
      <c r="F66" s="50"/>
      <c r="G66" s="50"/>
      <c r="H66" s="51"/>
      <c r="I66" s="52"/>
      <c r="J66" s="52"/>
      <c r="K66" s="52"/>
      <c r="L66" s="53"/>
      <c r="O66" s="6"/>
      <c r="P66" s="6"/>
      <c r="Q66" s="9"/>
      <c r="S66" s="54"/>
      <c r="T66" s="54"/>
    </row>
    <row r="67">
      <c r="E67" s="50"/>
      <c r="F67" s="50"/>
      <c r="G67" s="50"/>
      <c r="H67" s="51"/>
      <c r="I67" s="52"/>
      <c r="J67" s="52"/>
      <c r="K67" s="52"/>
      <c r="L67" s="53"/>
      <c r="O67" s="6"/>
      <c r="P67" s="6"/>
      <c r="Q67" s="9"/>
      <c r="S67" s="54"/>
      <c r="T67" s="54"/>
    </row>
    <row r="68">
      <c r="E68" s="50"/>
      <c r="F68" s="50"/>
      <c r="G68" s="50"/>
      <c r="H68" s="51"/>
      <c r="I68" s="52"/>
      <c r="J68" s="52"/>
      <c r="K68" s="52"/>
      <c r="L68" s="53"/>
      <c r="O68" s="6"/>
      <c r="P68" s="6"/>
      <c r="Q68" s="9"/>
      <c r="S68" s="54"/>
      <c r="T68" s="54"/>
    </row>
    <row r="69">
      <c r="E69" s="50"/>
      <c r="F69" s="50"/>
      <c r="G69" s="50"/>
      <c r="H69" s="51"/>
      <c r="I69" s="52"/>
      <c r="J69" s="52"/>
      <c r="K69" s="52"/>
      <c r="L69" s="53"/>
      <c r="O69" s="6"/>
      <c r="P69" s="6"/>
      <c r="Q69" s="9"/>
      <c r="S69" s="54"/>
      <c r="T69" s="54"/>
    </row>
    <row r="70">
      <c r="E70" s="50"/>
      <c r="F70" s="50"/>
      <c r="G70" s="50"/>
      <c r="H70" s="51"/>
      <c r="I70" s="52"/>
      <c r="J70" s="52"/>
      <c r="K70" s="52"/>
      <c r="L70" s="53"/>
      <c r="O70" s="6"/>
      <c r="P70" s="6"/>
      <c r="Q70" s="9"/>
      <c r="S70" s="54"/>
      <c r="T70" s="54"/>
    </row>
    <row r="71">
      <c r="E71" s="50"/>
      <c r="F71" s="50"/>
      <c r="G71" s="50"/>
      <c r="H71" s="51"/>
      <c r="I71" s="52"/>
      <c r="J71" s="52"/>
      <c r="K71" s="52"/>
      <c r="L71" s="53"/>
      <c r="O71" s="6"/>
      <c r="P71" s="6"/>
      <c r="Q71" s="9"/>
      <c r="S71" s="54"/>
      <c r="T71" s="54"/>
    </row>
    <row r="72">
      <c r="E72" s="50"/>
      <c r="F72" s="50"/>
      <c r="G72" s="50"/>
      <c r="H72" s="51"/>
      <c r="I72" s="52"/>
      <c r="J72" s="52"/>
      <c r="K72" s="52"/>
      <c r="L72" s="53"/>
      <c r="O72" s="6"/>
      <c r="P72" s="6"/>
      <c r="Q72" s="9"/>
      <c r="S72" s="54"/>
      <c r="T72" s="54"/>
    </row>
    <row r="73">
      <c r="E73" s="50"/>
      <c r="F73" s="50"/>
      <c r="G73" s="50"/>
      <c r="H73" s="51"/>
      <c r="I73" s="52"/>
      <c r="J73" s="52"/>
      <c r="K73" s="52"/>
      <c r="L73" s="53"/>
      <c r="O73" s="6"/>
      <c r="P73" s="6"/>
      <c r="Q73" s="9"/>
      <c r="S73" s="54"/>
      <c r="T73" s="54"/>
    </row>
    <row r="74">
      <c r="E74" s="50"/>
      <c r="F74" s="50"/>
      <c r="G74" s="50"/>
      <c r="H74" s="51"/>
      <c r="I74" s="52"/>
      <c r="J74" s="52"/>
      <c r="K74" s="52"/>
      <c r="L74" s="53"/>
      <c r="O74" s="6"/>
      <c r="P74" s="6"/>
      <c r="Q74" s="9"/>
      <c r="S74" s="54"/>
      <c r="T74" s="54"/>
    </row>
    <row r="75">
      <c r="E75" s="50"/>
      <c r="F75" s="50"/>
      <c r="G75" s="50"/>
      <c r="H75" s="51"/>
      <c r="I75" s="52"/>
      <c r="J75" s="52"/>
      <c r="K75" s="52"/>
      <c r="L75" s="53"/>
      <c r="O75" s="6"/>
      <c r="P75" s="6"/>
      <c r="Q75" s="9"/>
      <c r="S75" s="54"/>
      <c r="T75" s="54"/>
    </row>
    <row r="76">
      <c r="E76" s="50"/>
      <c r="F76" s="50"/>
      <c r="G76" s="50"/>
      <c r="H76" s="51"/>
      <c r="I76" s="52"/>
      <c r="J76" s="52"/>
      <c r="K76" s="52"/>
      <c r="L76" s="53"/>
      <c r="O76" s="6"/>
      <c r="P76" s="6"/>
      <c r="Q76" s="9"/>
      <c r="S76" s="54"/>
      <c r="T76" s="54"/>
    </row>
    <row r="77">
      <c r="E77" s="50"/>
      <c r="F77" s="50"/>
      <c r="G77" s="50"/>
      <c r="H77" s="51"/>
      <c r="I77" s="52"/>
      <c r="J77" s="52"/>
      <c r="K77" s="52"/>
      <c r="L77" s="53"/>
      <c r="O77" s="6"/>
      <c r="P77" s="6"/>
      <c r="Q77" s="9"/>
      <c r="S77" s="54"/>
      <c r="T77" s="54"/>
    </row>
    <row r="78">
      <c r="E78" s="50"/>
      <c r="F78" s="50"/>
      <c r="G78" s="50"/>
      <c r="H78" s="51"/>
      <c r="I78" s="52"/>
      <c r="J78" s="52"/>
      <c r="K78" s="52"/>
      <c r="L78" s="53"/>
      <c r="O78" s="6"/>
      <c r="P78" s="6"/>
      <c r="Q78" s="9"/>
      <c r="S78" s="54"/>
      <c r="T78" s="54"/>
    </row>
    <row r="79">
      <c r="E79" s="50"/>
      <c r="F79" s="50"/>
      <c r="G79" s="50"/>
      <c r="H79" s="51"/>
      <c r="I79" s="52"/>
      <c r="J79" s="52"/>
      <c r="K79" s="52"/>
      <c r="L79" s="53"/>
      <c r="O79" s="6"/>
      <c r="P79" s="6"/>
      <c r="Q79" s="9"/>
      <c r="S79" s="54"/>
      <c r="T79" s="54"/>
    </row>
    <row r="80">
      <c r="E80" s="50"/>
      <c r="F80" s="50"/>
      <c r="G80" s="50"/>
      <c r="H80" s="51"/>
      <c r="I80" s="52"/>
      <c r="J80" s="52"/>
      <c r="K80" s="52"/>
      <c r="L80" s="53"/>
      <c r="O80" s="6"/>
      <c r="P80" s="6"/>
      <c r="Q80" s="9"/>
      <c r="S80" s="54"/>
      <c r="T80" s="54"/>
    </row>
    <row r="81">
      <c r="E81" s="50"/>
      <c r="F81" s="50"/>
      <c r="G81" s="50"/>
      <c r="H81" s="51"/>
      <c r="I81" s="52"/>
      <c r="J81" s="52"/>
      <c r="K81" s="52"/>
      <c r="L81" s="53"/>
      <c r="O81" s="6"/>
      <c r="P81" s="6"/>
      <c r="Q81" s="9"/>
      <c r="S81" s="54"/>
      <c r="T81" s="54"/>
    </row>
    <row r="82">
      <c r="E82" s="50"/>
      <c r="F82" s="50"/>
      <c r="G82" s="50"/>
      <c r="H82" s="51"/>
      <c r="I82" s="52"/>
      <c r="J82" s="52"/>
      <c r="K82" s="52"/>
      <c r="L82" s="53"/>
      <c r="O82" s="6"/>
      <c r="P82" s="6"/>
      <c r="Q82" s="9"/>
      <c r="S82" s="54"/>
      <c r="T82" s="54"/>
    </row>
    <row r="83">
      <c r="E83" s="50"/>
      <c r="F83" s="50"/>
      <c r="G83" s="50"/>
      <c r="H83" s="51"/>
      <c r="I83" s="52"/>
      <c r="J83" s="52"/>
      <c r="K83" s="52"/>
      <c r="L83" s="53"/>
      <c r="O83" s="6"/>
      <c r="P83" s="6"/>
      <c r="Q83" s="9"/>
      <c r="S83" s="54"/>
      <c r="T83" s="54"/>
    </row>
    <row r="84">
      <c r="E84" s="50"/>
      <c r="F84" s="50"/>
      <c r="G84" s="50"/>
      <c r="H84" s="51"/>
      <c r="I84" s="52"/>
      <c r="J84" s="52"/>
      <c r="K84" s="52"/>
      <c r="L84" s="53"/>
      <c r="O84" s="6"/>
      <c r="P84" s="6"/>
      <c r="Q84" s="9"/>
      <c r="S84" s="54"/>
      <c r="T84" s="54"/>
    </row>
    <row r="85">
      <c r="E85" s="50"/>
      <c r="F85" s="50"/>
      <c r="G85" s="50"/>
      <c r="H85" s="51"/>
      <c r="I85" s="52"/>
      <c r="J85" s="52"/>
      <c r="K85" s="52"/>
      <c r="L85" s="53"/>
      <c r="O85" s="6"/>
      <c r="P85" s="6"/>
      <c r="Q85" s="9"/>
      <c r="S85" s="54"/>
      <c r="T85" s="54"/>
    </row>
    <row r="86">
      <c r="E86" s="50"/>
      <c r="F86" s="50"/>
      <c r="G86" s="50"/>
      <c r="H86" s="51"/>
      <c r="I86" s="52"/>
      <c r="J86" s="52"/>
      <c r="K86" s="52"/>
      <c r="L86" s="53"/>
      <c r="O86" s="6"/>
      <c r="P86" s="6"/>
      <c r="Q86" s="9"/>
      <c r="S86" s="54"/>
      <c r="T86" s="54"/>
    </row>
    <row r="87">
      <c r="E87" s="50"/>
      <c r="F87" s="50"/>
      <c r="G87" s="50"/>
      <c r="H87" s="51"/>
      <c r="I87" s="52"/>
      <c r="J87" s="52"/>
      <c r="K87" s="52"/>
      <c r="L87" s="53"/>
      <c r="O87" s="6"/>
      <c r="P87" s="6"/>
      <c r="Q87" s="9"/>
      <c r="S87" s="54"/>
      <c r="T87" s="54"/>
    </row>
    <row r="88">
      <c r="E88" s="50"/>
      <c r="F88" s="50"/>
      <c r="G88" s="50"/>
      <c r="H88" s="51"/>
      <c r="I88" s="52"/>
      <c r="J88" s="52"/>
      <c r="K88" s="52"/>
      <c r="L88" s="53"/>
      <c r="O88" s="6"/>
      <c r="P88" s="6"/>
      <c r="Q88" s="9"/>
      <c r="S88" s="54"/>
      <c r="T88" s="54"/>
    </row>
    <row r="89">
      <c r="E89" s="50"/>
      <c r="F89" s="50"/>
      <c r="G89" s="50"/>
      <c r="H89" s="51"/>
      <c r="I89" s="52"/>
      <c r="J89" s="52"/>
      <c r="K89" s="52"/>
      <c r="L89" s="53"/>
      <c r="O89" s="6"/>
      <c r="P89" s="6"/>
      <c r="Q89" s="9"/>
      <c r="S89" s="54"/>
      <c r="T89" s="54"/>
    </row>
    <row r="90">
      <c r="E90" s="50"/>
      <c r="F90" s="50"/>
      <c r="G90" s="50"/>
      <c r="H90" s="51"/>
      <c r="I90" s="52"/>
      <c r="J90" s="52"/>
      <c r="K90" s="52"/>
      <c r="L90" s="53"/>
      <c r="O90" s="6"/>
      <c r="P90" s="6"/>
      <c r="Q90" s="9"/>
      <c r="S90" s="54"/>
      <c r="T90" s="54"/>
    </row>
    <row r="91">
      <c r="E91" s="50"/>
      <c r="F91" s="50"/>
      <c r="G91" s="50"/>
      <c r="H91" s="51"/>
      <c r="I91" s="52"/>
      <c r="J91" s="52"/>
      <c r="K91" s="52"/>
      <c r="L91" s="53"/>
      <c r="O91" s="6"/>
      <c r="P91" s="6"/>
      <c r="Q91" s="9"/>
      <c r="S91" s="54"/>
      <c r="T91" s="54"/>
    </row>
    <row r="92">
      <c r="E92" s="50"/>
      <c r="F92" s="50"/>
      <c r="G92" s="50"/>
      <c r="H92" s="51"/>
      <c r="I92" s="52"/>
      <c r="J92" s="52"/>
      <c r="K92" s="52"/>
      <c r="L92" s="53"/>
      <c r="O92" s="6"/>
      <c r="P92" s="6"/>
      <c r="Q92" s="9"/>
      <c r="S92" s="54"/>
      <c r="T92" s="54"/>
    </row>
    <row r="93">
      <c r="E93" s="50"/>
      <c r="F93" s="50"/>
      <c r="G93" s="50"/>
      <c r="H93" s="51"/>
      <c r="I93" s="52"/>
      <c r="J93" s="52"/>
      <c r="K93" s="52"/>
      <c r="L93" s="53"/>
      <c r="O93" s="6"/>
      <c r="P93" s="6"/>
      <c r="Q93" s="9"/>
      <c r="S93" s="54"/>
      <c r="T93" s="54"/>
    </row>
    <row r="94">
      <c r="E94" s="50"/>
      <c r="F94" s="50"/>
      <c r="G94" s="50"/>
      <c r="H94" s="51"/>
      <c r="I94" s="52"/>
      <c r="J94" s="52"/>
      <c r="K94" s="52"/>
      <c r="L94" s="53"/>
      <c r="O94" s="6"/>
      <c r="P94" s="6"/>
      <c r="Q94" s="9"/>
      <c r="S94" s="54"/>
      <c r="T94" s="54"/>
    </row>
    <row r="95">
      <c r="E95" s="50"/>
      <c r="F95" s="50"/>
      <c r="G95" s="50"/>
      <c r="H95" s="51"/>
      <c r="I95" s="52"/>
      <c r="J95" s="52"/>
      <c r="K95" s="52"/>
      <c r="L95" s="53"/>
      <c r="O95" s="6"/>
      <c r="P95" s="6"/>
      <c r="Q95" s="9"/>
      <c r="S95" s="54"/>
      <c r="T95" s="54"/>
    </row>
    <row r="96">
      <c r="E96" s="50"/>
      <c r="F96" s="50"/>
      <c r="G96" s="50"/>
      <c r="H96" s="51"/>
      <c r="I96" s="52"/>
      <c r="J96" s="52"/>
      <c r="K96" s="52"/>
      <c r="L96" s="53"/>
      <c r="O96" s="6"/>
      <c r="P96" s="6"/>
      <c r="Q96" s="9"/>
      <c r="S96" s="54"/>
      <c r="T96" s="54"/>
    </row>
    <row r="97">
      <c r="E97" s="50"/>
      <c r="F97" s="50"/>
      <c r="G97" s="50"/>
      <c r="H97" s="51"/>
      <c r="I97" s="52"/>
      <c r="J97" s="52"/>
      <c r="K97" s="52"/>
      <c r="L97" s="53"/>
      <c r="O97" s="6"/>
      <c r="P97" s="6"/>
      <c r="Q97" s="9"/>
      <c r="S97" s="54"/>
      <c r="T97" s="54"/>
    </row>
    <row r="98">
      <c r="E98" s="50"/>
      <c r="F98" s="50"/>
      <c r="G98" s="50"/>
      <c r="H98" s="51"/>
      <c r="I98" s="52"/>
      <c r="J98" s="52"/>
      <c r="K98" s="52"/>
      <c r="L98" s="53"/>
      <c r="O98" s="6"/>
      <c r="P98" s="6"/>
      <c r="Q98" s="9"/>
      <c r="S98" s="54"/>
      <c r="T98" s="54"/>
    </row>
    <row r="99">
      <c r="E99" s="50"/>
      <c r="F99" s="50"/>
      <c r="G99" s="50"/>
      <c r="H99" s="51"/>
      <c r="I99" s="52"/>
      <c r="J99" s="52"/>
      <c r="K99" s="52"/>
      <c r="L99" s="53"/>
      <c r="O99" s="6"/>
      <c r="P99" s="6"/>
      <c r="Q99" s="9"/>
      <c r="S99" s="54"/>
      <c r="T99" s="54"/>
    </row>
    <row r="100">
      <c r="E100" s="50"/>
      <c r="F100" s="50"/>
      <c r="G100" s="50"/>
      <c r="H100" s="51"/>
      <c r="I100" s="52"/>
      <c r="J100" s="52"/>
      <c r="K100" s="52"/>
      <c r="L100" s="53"/>
      <c r="O100" s="6"/>
      <c r="P100" s="6"/>
      <c r="Q100" s="9"/>
      <c r="S100" s="54"/>
      <c r="T100" s="54"/>
    </row>
    <row r="101">
      <c r="E101" s="50"/>
      <c r="F101" s="50"/>
      <c r="G101" s="50"/>
      <c r="H101" s="51"/>
      <c r="I101" s="52"/>
      <c r="J101" s="52"/>
      <c r="K101" s="52"/>
      <c r="L101" s="53"/>
      <c r="O101" s="6"/>
      <c r="P101" s="6"/>
      <c r="Q101" s="9"/>
      <c r="S101" s="54"/>
      <c r="T101" s="54"/>
    </row>
    <row r="102">
      <c r="E102" s="50"/>
      <c r="F102" s="50"/>
      <c r="G102" s="50"/>
      <c r="H102" s="51"/>
      <c r="I102" s="52"/>
      <c r="J102" s="52"/>
      <c r="K102" s="52"/>
      <c r="L102" s="53"/>
      <c r="O102" s="6"/>
      <c r="P102" s="6"/>
      <c r="Q102" s="9"/>
      <c r="S102" s="54"/>
      <c r="T102" s="54"/>
    </row>
    <row r="103">
      <c r="E103" s="50"/>
      <c r="F103" s="50"/>
      <c r="G103" s="50"/>
      <c r="H103" s="51"/>
      <c r="I103" s="52"/>
      <c r="J103" s="52"/>
      <c r="K103" s="52"/>
      <c r="L103" s="53"/>
      <c r="O103" s="6"/>
      <c r="P103" s="6"/>
      <c r="Q103" s="9"/>
      <c r="S103" s="54"/>
      <c r="T103" s="54"/>
    </row>
    <row r="104">
      <c r="E104" s="50"/>
      <c r="F104" s="50"/>
      <c r="G104" s="50"/>
      <c r="H104" s="51"/>
      <c r="I104" s="52"/>
      <c r="J104" s="52"/>
      <c r="K104" s="52"/>
      <c r="L104" s="53"/>
      <c r="O104" s="6"/>
      <c r="P104" s="6"/>
      <c r="Q104" s="9"/>
      <c r="S104" s="54"/>
      <c r="T104" s="54"/>
    </row>
    <row r="105">
      <c r="E105" s="50"/>
      <c r="F105" s="50"/>
      <c r="G105" s="50"/>
      <c r="H105" s="51"/>
      <c r="I105" s="52"/>
      <c r="J105" s="52"/>
      <c r="K105" s="52"/>
      <c r="L105" s="53"/>
      <c r="O105" s="6"/>
      <c r="P105" s="6"/>
      <c r="Q105" s="9"/>
      <c r="S105" s="54"/>
      <c r="T105" s="54"/>
    </row>
    <row r="106">
      <c r="E106" s="50"/>
      <c r="F106" s="50"/>
      <c r="G106" s="50"/>
      <c r="H106" s="51"/>
      <c r="I106" s="52"/>
      <c r="J106" s="52"/>
      <c r="K106" s="52"/>
      <c r="L106" s="53"/>
      <c r="O106" s="6"/>
      <c r="P106" s="6"/>
      <c r="Q106" s="9"/>
      <c r="S106" s="54"/>
      <c r="T106" s="54"/>
    </row>
    <row r="107">
      <c r="E107" s="50"/>
      <c r="F107" s="50"/>
      <c r="G107" s="50"/>
      <c r="H107" s="51"/>
      <c r="I107" s="52"/>
      <c r="J107" s="52"/>
      <c r="K107" s="52"/>
      <c r="L107" s="53"/>
      <c r="O107" s="6"/>
      <c r="P107" s="6"/>
      <c r="Q107" s="9"/>
      <c r="S107" s="54"/>
      <c r="T107" s="54"/>
    </row>
    <row r="108">
      <c r="E108" s="50"/>
      <c r="F108" s="50"/>
      <c r="G108" s="50"/>
      <c r="H108" s="51"/>
      <c r="I108" s="52"/>
      <c r="J108" s="52"/>
      <c r="K108" s="52"/>
      <c r="L108" s="53"/>
      <c r="O108" s="6"/>
      <c r="P108" s="6"/>
      <c r="Q108" s="9"/>
      <c r="S108" s="54"/>
      <c r="T108" s="54"/>
    </row>
    <row r="109">
      <c r="E109" s="50"/>
      <c r="F109" s="50"/>
      <c r="G109" s="50"/>
      <c r="H109" s="51"/>
      <c r="I109" s="52"/>
      <c r="J109" s="52"/>
      <c r="K109" s="52"/>
      <c r="L109" s="53"/>
      <c r="O109" s="6"/>
      <c r="P109" s="6"/>
      <c r="Q109" s="9"/>
      <c r="S109" s="54"/>
      <c r="T109" s="54"/>
    </row>
    <row r="110">
      <c r="E110" s="50"/>
      <c r="F110" s="50"/>
      <c r="G110" s="50"/>
      <c r="H110" s="51"/>
      <c r="I110" s="52"/>
      <c r="J110" s="52"/>
      <c r="K110" s="52"/>
      <c r="L110" s="53"/>
      <c r="O110" s="6"/>
      <c r="P110" s="6"/>
      <c r="Q110" s="9"/>
      <c r="S110" s="54"/>
      <c r="T110" s="54"/>
    </row>
    <row r="111">
      <c r="E111" s="50"/>
      <c r="F111" s="50"/>
      <c r="G111" s="50"/>
      <c r="H111" s="51"/>
      <c r="I111" s="52"/>
      <c r="J111" s="52"/>
      <c r="K111" s="52"/>
      <c r="L111" s="53"/>
      <c r="O111" s="6"/>
      <c r="P111" s="6"/>
      <c r="Q111" s="9"/>
      <c r="S111" s="54"/>
      <c r="T111" s="54"/>
    </row>
    <row r="112">
      <c r="E112" s="50"/>
      <c r="F112" s="50"/>
      <c r="G112" s="50"/>
      <c r="H112" s="51"/>
      <c r="I112" s="52"/>
      <c r="J112" s="52"/>
      <c r="K112" s="52"/>
      <c r="L112" s="53"/>
      <c r="O112" s="6"/>
      <c r="P112" s="6"/>
      <c r="Q112" s="9"/>
      <c r="S112" s="54"/>
      <c r="T112" s="54"/>
    </row>
    <row r="113">
      <c r="E113" s="50"/>
      <c r="F113" s="50"/>
      <c r="G113" s="50"/>
      <c r="H113" s="51"/>
      <c r="I113" s="52"/>
      <c r="J113" s="52"/>
      <c r="K113" s="52"/>
      <c r="L113" s="53"/>
      <c r="O113" s="6"/>
      <c r="P113" s="6"/>
      <c r="Q113" s="9"/>
      <c r="S113" s="54"/>
      <c r="T113" s="54"/>
    </row>
    <row r="114">
      <c r="E114" s="50"/>
      <c r="F114" s="50"/>
      <c r="G114" s="50"/>
      <c r="H114" s="51"/>
      <c r="I114" s="52"/>
      <c r="J114" s="52"/>
      <c r="K114" s="52"/>
      <c r="L114" s="53"/>
      <c r="O114" s="6"/>
      <c r="P114" s="6"/>
      <c r="Q114" s="9"/>
      <c r="S114" s="54"/>
      <c r="T114" s="54"/>
    </row>
    <row r="115">
      <c r="E115" s="50"/>
      <c r="F115" s="50"/>
      <c r="G115" s="50"/>
      <c r="H115" s="51"/>
      <c r="I115" s="52"/>
      <c r="J115" s="52"/>
      <c r="K115" s="52"/>
      <c r="L115" s="53"/>
      <c r="O115" s="6"/>
      <c r="P115" s="6"/>
      <c r="Q115" s="9"/>
      <c r="S115" s="54"/>
      <c r="T115" s="54"/>
    </row>
    <row r="116">
      <c r="E116" s="50"/>
      <c r="F116" s="50"/>
      <c r="G116" s="50"/>
      <c r="H116" s="51"/>
      <c r="I116" s="52"/>
      <c r="J116" s="52"/>
      <c r="K116" s="52"/>
      <c r="L116" s="53"/>
      <c r="O116" s="6"/>
      <c r="P116" s="6"/>
      <c r="Q116" s="9"/>
      <c r="S116" s="54"/>
      <c r="T116" s="54"/>
    </row>
    <row r="117">
      <c r="E117" s="50"/>
      <c r="F117" s="50"/>
      <c r="G117" s="50"/>
      <c r="H117" s="51"/>
      <c r="I117" s="52"/>
      <c r="J117" s="52"/>
      <c r="K117" s="52"/>
      <c r="L117" s="53"/>
      <c r="O117" s="6"/>
      <c r="P117" s="6"/>
      <c r="Q117" s="9"/>
      <c r="S117" s="54"/>
      <c r="T117" s="54"/>
    </row>
    <row r="118">
      <c r="E118" s="50"/>
      <c r="F118" s="50"/>
      <c r="G118" s="50"/>
      <c r="H118" s="51"/>
      <c r="I118" s="52"/>
      <c r="J118" s="52"/>
      <c r="K118" s="52"/>
      <c r="L118" s="53"/>
      <c r="O118" s="6"/>
      <c r="P118" s="6"/>
      <c r="Q118" s="9"/>
      <c r="S118" s="54"/>
      <c r="T118" s="54"/>
    </row>
    <row r="119">
      <c r="E119" s="50"/>
      <c r="F119" s="50"/>
      <c r="G119" s="50"/>
      <c r="H119" s="51"/>
      <c r="I119" s="52"/>
      <c r="J119" s="52"/>
      <c r="K119" s="52"/>
      <c r="L119" s="53"/>
      <c r="O119" s="6"/>
      <c r="P119" s="6"/>
      <c r="Q119" s="9"/>
      <c r="S119" s="54"/>
      <c r="T119" s="54"/>
    </row>
    <row r="120">
      <c r="E120" s="50"/>
      <c r="F120" s="50"/>
      <c r="G120" s="50"/>
      <c r="H120" s="51"/>
      <c r="I120" s="52"/>
      <c r="J120" s="52"/>
      <c r="K120" s="52"/>
      <c r="L120" s="53"/>
      <c r="O120" s="6"/>
      <c r="P120" s="6"/>
      <c r="Q120" s="9"/>
      <c r="S120" s="54"/>
      <c r="T120" s="54"/>
    </row>
    <row r="121">
      <c r="E121" s="50"/>
      <c r="F121" s="50"/>
      <c r="G121" s="50"/>
      <c r="H121" s="51"/>
      <c r="I121" s="52"/>
      <c r="J121" s="52"/>
      <c r="K121" s="52"/>
      <c r="L121" s="53"/>
      <c r="O121" s="6"/>
      <c r="P121" s="6"/>
      <c r="Q121" s="9"/>
      <c r="S121" s="54"/>
      <c r="T121" s="54"/>
    </row>
    <row r="122">
      <c r="E122" s="50"/>
      <c r="F122" s="50"/>
      <c r="G122" s="50"/>
      <c r="H122" s="51"/>
      <c r="I122" s="52"/>
      <c r="J122" s="52"/>
      <c r="K122" s="52"/>
      <c r="L122" s="53"/>
      <c r="O122" s="6"/>
      <c r="P122" s="6"/>
      <c r="Q122" s="9"/>
      <c r="S122" s="54"/>
      <c r="T122" s="54"/>
    </row>
    <row r="123">
      <c r="E123" s="50"/>
      <c r="F123" s="50"/>
      <c r="G123" s="50"/>
      <c r="H123" s="51"/>
      <c r="I123" s="52"/>
      <c r="J123" s="52"/>
      <c r="K123" s="52"/>
      <c r="L123" s="53"/>
      <c r="O123" s="6"/>
      <c r="P123" s="6"/>
      <c r="Q123" s="9"/>
      <c r="S123" s="54"/>
      <c r="T123" s="54"/>
    </row>
    <row r="124">
      <c r="E124" s="50"/>
      <c r="F124" s="50"/>
      <c r="G124" s="50"/>
      <c r="H124" s="51"/>
      <c r="I124" s="52"/>
      <c r="J124" s="52"/>
      <c r="K124" s="52"/>
      <c r="L124" s="53"/>
      <c r="O124" s="6"/>
      <c r="P124" s="6"/>
      <c r="Q124" s="9"/>
      <c r="S124" s="54"/>
      <c r="T124" s="54"/>
    </row>
    <row r="125">
      <c r="E125" s="50"/>
      <c r="F125" s="50"/>
      <c r="G125" s="50"/>
      <c r="H125" s="51"/>
      <c r="I125" s="52"/>
      <c r="J125" s="52"/>
      <c r="K125" s="52"/>
      <c r="L125" s="53"/>
      <c r="O125" s="6"/>
      <c r="P125" s="6"/>
      <c r="Q125" s="9"/>
      <c r="S125" s="54"/>
      <c r="T125" s="54"/>
    </row>
    <row r="126">
      <c r="E126" s="50"/>
      <c r="F126" s="50"/>
      <c r="G126" s="50"/>
      <c r="H126" s="51"/>
      <c r="I126" s="52"/>
      <c r="J126" s="52"/>
      <c r="K126" s="52"/>
      <c r="L126" s="53"/>
      <c r="O126" s="6"/>
      <c r="P126" s="6"/>
      <c r="Q126" s="9"/>
      <c r="S126" s="54"/>
      <c r="T126" s="54"/>
    </row>
    <row r="127">
      <c r="E127" s="50"/>
      <c r="F127" s="50"/>
      <c r="G127" s="50"/>
      <c r="H127" s="51"/>
      <c r="I127" s="52"/>
      <c r="J127" s="52"/>
      <c r="K127" s="52"/>
      <c r="L127" s="53"/>
      <c r="O127" s="6"/>
      <c r="P127" s="6"/>
      <c r="Q127" s="9"/>
      <c r="S127" s="54"/>
      <c r="T127" s="54"/>
    </row>
    <row r="128">
      <c r="E128" s="50"/>
      <c r="F128" s="50"/>
      <c r="G128" s="50"/>
      <c r="H128" s="51"/>
      <c r="I128" s="52"/>
      <c r="J128" s="52"/>
      <c r="K128" s="52"/>
      <c r="L128" s="53"/>
      <c r="O128" s="6"/>
      <c r="P128" s="6"/>
      <c r="Q128" s="9"/>
      <c r="S128" s="54"/>
      <c r="T128" s="54"/>
    </row>
    <row r="129">
      <c r="E129" s="50"/>
      <c r="F129" s="50"/>
      <c r="G129" s="50"/>
      <c r="H129" s="51"/>
      <c r="I129" s="52"/>
      <c r="J129" s="52"/>
      <c r="K129" s="52"/>
      <c r="L129" s="53"/>
      <c r="O129" s="6"/>
      <c r="P129" s="6"/>
      <c r="Q129" s="9"/>
      <c r="S129" s="54"/>
      <c r="T129" s="54"/>
    </row>
    <row r="130">
      <c r="E130" s="50"/>
      <c r="F130" s="50"/>
      <c r="G130" s="50"/>
      <c r="H130" s="51"/>
      <c r="I130" s="52"/>
      <c r="J130" s="52"/>
      <c r="K130" s="52"/>
      <c r="L130" s="53"/>
      <c r="O130" s="6"/>
      <c r="P130" s="6"/>
      <c r="Q130" s="9"/>
      <c r="S130" s="54"/>
      <c r="T130" s="54"/>
    </row>
    <row r="131">
      <c r="E131" s="50"/>
      <c r="F131" s="50"/>
      <c r="G131" s="50"/>
      <c r="H131" s="51"/>
      <c r="I131" s="52"/>
      <c r="J131" s="52"/>
      <c r="K131" s="52"/>
      <c r="L131" s="53"/>
      <c r="O131" s="6"/>
      <c r="P131" s="6"/>
      <c r="Q131" s="9"/>
      <c r="S131" s="54"/>
      <c r="T131" s="54"/>
    </row>
    <row r="132">
      <c r="E132" s="50"/>
      <c r="F132" s="50"/>
      <c r="G132" s="50"/>
      <c r="H132" s="51"/>
      <c r="I132" s="52"/>
      <c r="J132" s="52"/>
      <c r="K132" s="52"/>
      <c r="L132" s="53"/>
      <c r="O132" s="6"/>
      <c r="P132" s="6"/>
      <c r="Q132" s="9"/>
      <c r="S132" s="54"/>
      <c r="T132" s="54"/>
    </row>
    <row r="133">
      <c r="E133" s="50"/>
      <c r="F133" s="50"/>
      <c r="G133" s="50"/>
      <c r="H133" s="51"/>
      <c r="I133" s="52"/>
      <c r="J133" s="52"/>
      <c r="K133" s="52"/>
      <c r="L133" s="53"/>
      <c r="O133" s="6"/>
      <c r="P133" s="6"/>
      <c r="Q133" s="9"/>
      <c r="S133" s="54"/>
      <c r="T133" s="54"/>
    </row>
    <row r="134">
      <c r="E134" s="50"/>
      <c r="F134" s="50"/>
      <c r="G134" s="50"/>
      <c r="H134" s="51"/>
      <c r="I134" s="52"/>
      <c r="J134" s="52"/>
      <c r="K134" s="52"/>
      <c r="L134" s="53"/>
      <c r="O134" s="6"/>
      <c r="P134" s="6"/>
      <c r="Q134" s="9"/>
      <c r="S134" s="54"/>
      <c r="T134" s="54"/>
    </row>
    <row r="135">
      <c r="E135" s="50"/>
      <c r="F135" s="50"/>
      <c r="G135" s="50"/>
      <c r="H135" s="51"/>
      <c r="I135" s="52"/>
      <c r="J135" s="52"/>
      <c r="K135" s="52"/>
      <c r="L135" s="53"/>
      <c r="O135" s="6"/>
      <c r="P135" s="6"/>
      <c r="Q135" s="9"/>
      <c r="S135" s="54"/>
      <c r="T135" s="54"/>
    </row>
    <row r="136">
      <c r="E136" s="50"/>
      <c r="F136" s="50"/>
      <c r="G136" s="50"/>
      <c r="H136" s="51"/>
      <c r="I136" s="52"/>
      <c r="J136" s="52"/>
      <c r="K136" s="52"/>
      <c r="L136" s="53"/>
      <c r="O136" s="6"/>
      <c r="P136" s="6"/>
      <c r="Q136" s="9"/>
      <c r="S136" s="54"/>
      <c r="T136" s="54"/>
    </row>
    <row r="137">
      <c r="E137" s="50"/>
      <c r="F137" s="50"/>
      <c r="G137" s="50"/>
      <c r="H137" s="51"/>
      <c r="I137" s="52"/>
      <c r="J137" s="52"/>
      <c r="K137" s="52"/>
      <c r="L137" s="53"/>
      <c r="O137" s="6"/>
      <c r="P137" s="6"/>
      <c r="Q137" s="9"/>
      <c r="S137" s="54"/>
      <c r="T137" s="54"/>
    </row>
    <row r="138">
      <c r="E138" s="50"/>
      <c r="F138" s="50"/>
      <c r="G138" s="50"/>
      <c r="H138" s="51"/>
      <c r="I138" s="52"/>
      <c r="J138" s="52"/>
      <c r="K138" s="52"/>
      <c r="L138" s="53"/>
      <c r="O138" s="6"/>
      <c r="P138" s="6"/>
      <c r="Q138" s="9"/>
      <c r="S138" s="54"/>
      <c r="T138" s="54"/>
    </row>
    <row r="139">
      <c r="E139" s="50"/>
      <c r="F139" s="50"/>
      <c r="G139" s="50"/>
      <c r="H139" s="51"/>
      <c r="I139" s="52"/>
      <c r="J139" s="52"/>
      <c r="K139" s="52"/>
      <c r="L139" s="53"/>
      <c r="O139" s="6"/>
      <c r="P139" s="6"/>
      <c r="Q139" s="9"/>
      <c r="S139" s="54"/>
      <c r="T139" s="54"/>
    </row>
    <row r="140">
      <c r="E140" s="50"/>
      <c r="F140" s="50"/>
      <c r="G140" s="50"/>
      <c r="H140" s="51"/>
      <c r="I140" s="52"/>
      <c r="J140" s="52"/>
      <c r="K140" s="52"/>
      <c r="L140" s="53"/>
      <c r="O140" s="6"/>
      <c r="P140" s="6"/>
      <c r="Q140" s="9"/>
      <c r="S140" s="54"/>
      <c r="T140" s="54"/>
    </row>
    <row r="141">
      <c r="E141" s="50"/>
      <c r="F141" s="50"/>
      <c r="G141" s="50"/>
      <c r="H141" s="51"/>
      <c r="I141" s="52"/>
      <c r="J141" s="52"/>
      <c r="K141" s="52"/>
      <c r="L141" s="53"/>
      <c r="O141" s="6"/>
      <c r="P141" s="6"/>
      <c r="Q141" s="9"/>
      <c r="S141" s="54"/>
      <c r="T141" s="54"/>
    </row>
    <row r="142">
      <c r="E142" s="50"/>
      <c r="F142" s="50"/>
      <c r="G142" s="50"/>
      <c r="H142" s="51"/>
      <c r="I142" s="52"/>
      <c r="J142" s="52"/>
      <c r="K142" s="52"/>
      <c r="L142" s="53"/>
      <c r="O142" s="6"/>
      <c r="P142" s="6"/>
      <c r="Q142" s="9"/>
      <c r="S142" s="54"/>
      <c r="T142" s="54"/>
    </row>
    <row r="143">
      <c r="E143" s="50"/>
      <c r="F143" s="50"/>
      <c r="G143" s="50"/>
      <c r="H143" s="51"/>
      <c r="I143" s="52"/>
      <c r="J143" s="52"/>
      <c r="K143" s="52"/>
      <c r="L143" s="53"/>
      <c r="O143" s="6"/>
      <c r="P143" s="6"/>
      <c r="Q143" s="9"/>
      <c r="S143" s="54"/>
      <c r="T143" s="54"/>
    </row>
    <row r="144">
      <c r="E144" s="50"/>
      <c r="F144" s="50"/>
      <c r="G144" s="50"/>
      <c r="H144" s="51"/>
      <c r="I144" s="52"/>
      <c r="J144" s="52"/>
      <c r="K144" s="52"/>
      <c r="L144" s="53"/>
      <c r="O144" s="6"/>
      <c r="P144" s="6"/>
      <c r="Q144" s="9"/>
      <c r="S144" s="54"/>
      <c r="T144" s="54"/>
    </row>
    <row r="145">
      <c r="E145" s="50"/>
      <c r="F145" s="50"/>
      <c r="G145" s="50"/>
      <c r="H145" s="51"/>
      <c r="I145" s="52"/>
      <c r="J145" s="52"/>
      <c r="K145" s="52"/>
      <c r="L145" s="53"/>
      <c r="O145" s="6"/>
      <c r="P145" s="6"/>
      <c r="Q145" s="9"/>
      <c r="S145" s="54"/>
      <c r="T145" s="54"/>
    </row>
    <row r="146">
      <c r="E146" s="50"/>
      <c r="F146" s="50"/>
      <c r="G146" s="50"/>
      <c r="H146" s="51"/>
      <c r="I146" s="52"/>
      <c r="J146" s="52"/>
      <c r="K146" s="52"/>
      <c r="L146" s="53"/>
      <c r="O146" s="6"/>
      <c r="P146" s="6"/>
      <c r="Q146" s="9"/>
      <c r="S146" s="54"/>
      <c r="T146" s="54"/>
    </row>
    <row r="147">
      <c r="E147" s="50"/>
      <c r="F147" s="50"/>
      <c r="G147" s="50"/>
      <c r="H147" s="51"/>
      <c r="I147" s="52"/>
      <c r="J147" s="52"/>
      <c r="K147" s="52"/>
      <c r="L147" s="53"/>
      <c r="O147" s="6"/>
      <c r="P147" s="6"/>
      <c r="Q147" s="9"/>
      <c r="S147" s="54"/>
      <c r="T147" s="54"/>
    </row>
    <row r="148">
      <c r="E148" s="50"/>
      <c r="F148" s="50"/>
      <c r="G148" s="50"/>
      <c r="H148" s="51"/>
      <c r="I148" s="52"/>
      <c r="J148" s="52"/>
      <c r="K148" s="52"/>
      <c r="L148" s="53"/>
      <c r="O148" s="6"/>
      <c r="P148" s="6"/>
      <c r="Q148" s="9"/>
      <c r="S148" s="54"/>
      <c r="T148" s="54"/>
    </row>
    <row r="149">
      <c r="E149" s="50"/>
      <c r="F149" s="50"/>
      <c r="G149" s="50"/>
      <c r="H149" s="51"/>
      <c r="I149" s="52"/>
      <c r="J149" s="52"/>
      <c r="K149" s="52"/>
      <c r="L149" s="53"/>
      <c r="O149" s="6"/>
      <c r="P149" s="6"/>
      <c r="Q149" s="9"/>
      <c r="S149" s="54"/>
      <c r="T149" s="54"/>
    </row>
    <row r="150">
      <c r="E150" s="50"/>
      <c r="F150" s="50"/>
      <c r="G150" s="50"/>
      <c r="H150" s="51"/>
      <c r="I150" s="52"/>
      <c r="J150" s="52"/>
      <c r="K150" s="52"/>
      <c r="L150" s="53"/>
      <c r="O150" s="6"/>
      <c r="P150" s="6"/>
      <c r="Q150" s="9"/>
      <c r="S150" s="54"/>
      <c r="T150" s="54"/>
    </row>
    <row r="151">
      <c r="E151" s="50"/>
      <c r="F151" s="50"/>
      <c r="G151" s="50"/>
      <c r="H151" s="51"/>
      <c r="I151" s="52"/>
      <c r="J151" s="52"/>
      <c r="K151" s="52"/>
      <c r="L151" s="53"/>
      <c r="O151" s="6"/>
      <c r="P151" s="6"/>
      <c r="Q151" s="9"/>
      <c r="S151" s="54"/>
      <c r="T151" s="54"/>
    </row>
    <row r="152">
      <c r="E152" s="50"/>
      <c r="F152" s="50"/>
      <c r="G152" s="50"/>
      <c r="H152" s="51"/>
      <c r="I152" s="52"/>
      <c r="J152" s="52"/>
      <c r="K152" s="52"/>
      <c r="L152" s="53"/>
      <c r="O152" s="6"/>
      <c r="P152" s="6"/>
      <c r="Q152" s="9"/>
      <c r="S152" s="54"/>
      <c r="T152" s="54"/>
    </row>
    <row r="153">
      <c r="E153" s="50"/>
      <c r="F153" s="50"/>
      <c r="G153" s="50"/>
      <c r="H153" s="51"/>
      <c r="I153" s="52"/>
      <c r="J153" s="52"/>
      <c r="K153" s="52"/>
      <c r="L153" s="53"/>
      <c r="O153" s="6"/>
      <c r="P153" s="6"/>
      <c r="Q153" s="9"/>
      <c r="S153" s="54"/>
      <c r="T153" s="54"/>
    </row>
    <row r="154">
      <c r="E154" s="50"/>
      <c r="F154" s="50"/>
      <c r="G154" s="50"/>
      <c r="H154" s="51"/>
      <c r="I154" s="52"/>
      <c r="J154" s="52"/>
      <c r="K154" s="52"/>
      <c r="L154" s="53"/>
      <c r="O154" s="6"/>
      <c r="P154" s="6"/>
      <c r="Q154" s="9"/>
      <c r="S154" s="54"/>
      <c r="T154" s="54"/>
    </row>
    <row r="155">
      <c r="E155" s="50"/>
      <c r="F155" s="50"/>
      <c r="G155" s="50"/>
      <c r="H155" s="51"/>
      <c r="I155" s="52"/>
      <c r="J155" s="52"/>
      <c r="K155" s="52"/>
      <c r="L155" s="53"/>
      <c r="O155" s="6"/>
      <c r="P155" s="6"/>
      <c r="Q155" s="9"/>
      <c r="S155" s="54"/>
      <c r="T155" s="54"/>
    </row>
    <row r="156">
      <c r="E156" s="50"/>
      <c r="F156" s="50"/>
      <c r="G156" s="50"/>
      <c r="H156" s="51"/>
      <c r="I156" s="52"/>
      <c r="J156" s="52"/>
      <c r="K156" s="52"/>
      <c r="L156" s="53"/>
      <c r="O156" s="6"/>
      <c r="P156" s="6"/>
      <c r="Q156" s="9"/>
      <c r="S156" s="54"/>
      <c r="T156" s="54"/>
    </row>
    <row r="157">
      <c r="E157" s="50"/>
      <c r="F157" s="50"/>
      <c r="G157" s="50"/>
      <c r="H157" s="51"/>
      <c r="I157" s="52"/>
      <c r="J157" s="52"/>
      <c r="K157" s="52"/>
      <c r="L157" s="53"/>
      <c r="O157" s="6"/>
      <c r="P157" s="6"/>
      <c r="Q157" s="9"/>
      <c r="S157" s="54"/>
      <c r="T157" s="54"/>
    </row>
    <row r="158">
      <c r="E158" s="50"/>
      <c r="F158" s="50"/>
      <c r="G158" s="50"/>
      <c r="H158" s="51"/>
      <c r="I158" s="52"/>
      <c r="J158" s="52"/>
      <c r="K158" s="52"/>
      <c r="L158" s="53"/>
      <c r="O158" s="6"/>
      <c r="P158" s="6"/>
      <c r="Q158" s="9"/>
      <c r="S158" s="54"/>
      <c r="T158" s="54"/>
    </row>
    <row r="159">
      <c r="E159" s="50"/>
      <c r="F159" s="50"/>
      <c r="G159" s="50"/>
      <c r="H159" s="51"/>
      <c r="I159" s="52"/>
      <c r="J159" s="52"/>
      <c r="K159" s="52"/>
      <c r="L159" s="53"/>
      <c r="O159" s="6"/>
      <c r="P159" s="6"/>
      <c r="Q159" s="9"/>
      <c r="S159" s="54"/>
      <c r="T159" s="54"/>
    </row>
    <row r="160">
      <c r="E160" s="50"/>
      <c r="F160" s="50"/>
      <c r="G160" s="50"/>
      <c r="H160" s="51"/>
      <c r="I160" s="52"/>
      <c r="J160" s="52"/>
      <c r="K160" s="52"/>
      <c r="L160" s="53"/>
      <c r="O160" s="6"/>
      <c r="P160" s="6"/>
      <c r="Q160" s="9"/>
      <c r="S160" s="54"/>
      <c r="T160" s="54"/>
    </row>
    <row r="161">
      <c r="E161" s="50"/>
      <c r="F161" s="50"/>
      <c r="G161" s="50"/>
      <c r="H161" s="51"/>
      <c r="I161" s="52"/>
      <c r="J161" s="52"/>
      <c r="K161" s="52"/>
      <c r="L161" s="53"/>
      <c r="O161" s="6"/>
      <c r="P161" s="6"/>
      <c r="Q161" s="9"/>
      <c r="S161" s="54"/>
      <c r="T161" s="54"/>
    </row>
    <row r="162">
      <c r="E162" s="50"/>
      <c r="F162" s="50"/>
      <c r="G162" s="50"/>
      <c r="H162" s="51"/>
      <c r="I162" s="52"/>
      <c r="J162" s="52"/>
      <c r="K162" s="52"/>
      <c r="L162" s="53"/>
      <c r="O162" s="6"/>
      <c r="P162" s="6"/>
      <c r="Q162" s="9"/>
      <c r="S162" s="54"/>
      <c r="T162" s="54"/>
    </row>
    <row r="163">
      <c r="E163" s="50"/>
      <c r="F163" s="50"/>
      <c r="G163" s="50"/>
      <c r="H163" s="51"/>
      <c r="I163" s="52"/>
      <c r="J163" s="52"/>
      <c r="K163" s="52"/>
      <c r="L163" s="53"/>
      <c r="O163" s="6"/>
      <c r="P163" s="6"/>
      <c r="Q163" s="9"/>
      <c r="S163" s="54"/>
      <c r="T163" s="54"/>
    </row>
    <row r="164">
      <c r="E164" s="50"/>
      <c r="F164" s="50"/>
      <c r="G164" s="50"/>
      <c r="H164" s="51"/>
      <c r="I164" s="52"/>
      <c r="J164" s="52"/>
      <c r="K164" s="52"/>
      <c r="L164" s="53"/>
      <c r="O164" s="6"/>
      <c r="P164" s="6"/>
      <c r="Q164" s="9"/>
      <c r="S164" s="54"/>
      <c r="T164" s="54"/>
    </row>
    <row r="165">
      <c r="E165" s="50"/>
      <c r="F165" s="50"/>
      <c r="G165" s="50"/>
      <c r="H165" s="51"/>
      <c r="I165" s="52"/>
      <c r="J165" s="52"/>
      <c r="K165" s="52"/>
      <c r="L165" s="53"/>
      <c r="O165" s="6"/>
      <c r="P165" s="6"/>
      <c r="Q165" s="9"/>
      <c r="S165" s="54"/>
      <c r="T165" s="54"/>
    </row>
    <row r="166">
      <c r="E166" s="50"/>
      <c r="F166" s="50"/>
      <c r="G166" s="50"/>
      <c r="H166" s="51"/>
      <c r="I166" s="52"/>
      <c r="J166" s="52"/>
      <c r="K166" s="52"/>
      <c r="L166" s="53"/>
      <c r="O166" s="6"/>
      <c r="P166" s="6"/>
      <c r="Q166" s="9"/>
      <c r="S166" s="54"/>
      <c r="T166" s="54"/>
    </row>
    <row r="167">
      <c r="E167" s="50"/>
      <c r="F167" s="50"/>
      <c r="G167" s="50"/>
      <c r="H167" s="51"/>
      <c r="I167" s="52"/>
      <c r="J167" s="52"/>
      <c r="K167" s="52"/>
      <c r="L167" s="53"/>
      <c r="O167" s="6"/>
      <c r="P167" s="6"/>
      <c r="Q167" s="9"/>
      <c r="S167" s="54"/>
      <c r="T167" s="54"/>
    </row>
    <row r="168">
      <c r="E168" s="50"/>
      <c r="F168" s="50"/>
      <c r="G168" s="50"/>
      <c r="H168" s="51"/>
      <c r="I168" s="52"/>
      <c r="J168" s="52"/>
      <c r="K168" s="52"/>
      <c r="L168" s="53"/>
      <c r="O168" s="6"/>
      <c r="P168" s="6"/>
      <c r="Q168" s="9"/>
      <c r="S168" s="54"/>
      <c r="T168" s="54"/>
    </row>
    <row r="169">
      <c r="E169" s="50"/>
      <c r="F169" s="50"/>
      <c r="G169" s="50"/>
      <c r="H169" s="51"/>
      <c r="I169" s="52"/>
      <c r="J169" s="52"/>
      <c r="K169" s="52"/>
      <c r="L169" s="53"/>
      <c r="O169" s="6"/>
      <c r="P169" s="6"/>
      <c r="Q169" s="9"/>
      <c r="S169" s="54"/>
      <c r="T169" s="54"/>
    </row>
    <row r="170">
      <c r="E170" s="50"/>
      <c r="F170" s="50"/>
      <c r="G170" s="50"/>
      <c r="H170" s="51"/>
      <c r="I170" s="52"/>
      <c r="J170" s="52"/>
      <c r="K170" s="52"/>
      <c r="L170" s="53"/>
      <c r="O170" s="6"/>
      <c r="P170" s="6"/>
      <c r="Q170" s="9"/>
      <c r="S170" s="54"/>
      <c r="T170" s="54"/>
    </row>
    <row r="171">
      <c r="E171" s="50"/>
      <c r="F171" s="50"/>
      <c r="G171" s="50"/>
      <c r="H171" s="51"/>
      <c r="I171" s="52"/>
      <c r="J171" s="52"/>
      <c r="K171" s="52"/>
      <c r="L171" s="53"/>
      <c r="O171" s="6"/>
      <c r="P171" s="6"/>
      <c r="Q171" s="9"/>
      <c r="S171" s="54"/>
      <c r="T171" s="54"/>
    </row>
    <row r="172">
      <c r="E172" s="50"/>
      <c r="F172" s="50"/>
      <c r="G172" s="50"/>
      <c r="H172" s="51"/>
      <c r="I172" s="52"/>
      <c r="J172" s="52"/>
      <c r="K172" s="52"/>
      <c r="L172" s="53"/>
      <c r="O172" s="6"/>
      <c r="P172" s="6"/>
      <c r="Q172" s="9"/>
      <c r="S172" s="54"/>
      <c r="T172" s="54"/>
    </row>
    <row r="173">
      <c r="E173" s="50"/>
      <c r="F173" s="50"/>
      <c r="G173" s="50"/>
      <c r="H173" s="51"/>
      <c r="I173" s="52"/>
      <c r="J173" s="52"/>
      <c r="K173" s="52"/>
      <c r="L173" s="53"/>
      <c r="O173" s="6"/>
      <c r="P173" s="6"/>
      <c r="Q173" s="9"/>
      <c r="S173" s="54"/>
      <c r="T173" s="54"/>
    </row>
    <row r="174">
      <c r="E174" s="50"/>
      <c r="F174" s="50"/>
      <c r="G174" s="50"/>
      <c r="H174" s="51"/>
      <c r="I174" s="52"/>
      <c r="J174" s="52"/>
      <c r="K174" s="52"/>
      <c r="L174" s="53"/>
      <c r="O174" s="6"/>
      <c r="P174" s="6"/>
      <c r="Q174" s="9"/>
      <c r="S174" s="54"/>
      <c r="T174" s="54"/>
    </row>
    <row r="175">
      <c r="E175" s="50"/>
      <c r="F175" s="50"/>
      <c r="G175" s="50"/>
      <c r="H175" s="51"/>
      <c r="I175" s="52"/>
      <c r="J175" s="52"/>
      <c r="K175" s="52"/>
      <c r="L175" s="53"/>
      <c r="O175" s="6"/>
      <c r="P175" s="6"/>
      <c r="Q175" s="9"/>
      <c r="S175" s="54"/>
      <c r="T175" s="54"/>
    </row>
    <row r="176">
      <c r="E176" s="50"/>
      <c r="F176" s="50"/>
      <c r="G176" s="50"/>
      <c r="H176" s="51"/>
      <c r="I176" s="52"/>
      <c r="J176" s="52"/>
      <c r="K176" s="52"/>
      <c r="L176" s="53"/>
      <c r="O176" s="6"/>
      <c r="P176" s="6"/>
      <c r="Q176" s="9"/>
      <c r="S176" s="54"/>
      <c r="T176" s="54"/>
    </row>
    <row r="177">
      <c r="E177" s="50"/>
      <c r="F177" s="50"/>
      <c r="G177" s="50"/>
      <c r="H177" s="51"/>
      <c r="I177" s="52"/>
      <c r="J177" s="52"/>
      <c r="K177" s="52"/>
      <c r="L177" s="53"/>
      <c r="O177" s="6"/>
      <c r="P177" s="6"/>
      <c r="Q177" s="9"/>
      <c r="S177" s="54"/>
      <c r="T177" s="54"/>
    </row>
    <row r="178">
      <c r="E178" s="50"/>
      <c r="F178" s="50"/>
      <c r="G178" s="50"/>
      <c r="H178" s="51"/>
      <c r="I178" s="52"/>
      <c r="J178" s="52"/>
      <c r="K178" s="52"/>
      <c r="L178" s="53"/>
      <c r="O178" s="6"/>
      <c r="P178" s="6"/>
      <c r="Q178" s="9"/>
      <c r="S178" s="54"/>
      <c r="T178" s="54"/>
    </row>
    <row r="179">
      <c r="E179" s="50"/>
      <c r="F179" s="50"/>
      <c r="G179" s="50"/>
      <c r="H179" s="51"/>
      <c r="I179" s="52"/>
      <c r="J179" s="52"/>
      <c r="K179" s="52"/>
      <c r="L179" s="53"/>
      <c r="O179" s="6"/>
      <c r="P179" s="6"/>
      <c r="Q179" s="9"/>
      <c r="S179" s="54"/>
      <c r="T179" s="54"/>
    </row>
    <row r="180">
      <c r="E180" s="50"/>
      <c r="F180" s="50"/>
      <c r="G180" s="50"/>
      <c r="H180" s="51"/>
      <c r="I180" s="52"/>
      <c r="J180" s="52"/>
      <c r="K180" s="52"/>
      <c r="L180" s="53"/>
      <c r="O180" s="6"/>
      <c r="P180" s="6"/>
      <c r="Q180" s="9"/>
      <c r="S180" s="54"/>
      <c r="T180" s="54"/>
    </row>
    <row r="181">
      <c r="E181" s="50"/>
      <c r="F181" s="50"/>
      <c r="G181" s="50"/>
      <c r="H181" s="51"/>
      <c r="I181" s="52"/>
      <c r="J181" s="52"/>
      <c r="K181" s="52"/>
      <c r="L181" s="53"/>
      <c r="O181" s="6"/>
      <c r="P181" s="6"/>
      <c r="Q181" s="9"/>
      <c r="S181" s="54"/>
      <c r="T181" s="54"/>
    </row>
    <row r="182">
      <c r="E182" s="50"/>
      <c r="F182" s="50"/>
      <c r="G182" s="50"/>
      <c r="H182" s="51"/>
      <c r="I182" s="52"/>
      <c r="J182" s="52"/>
      <c r="K182" s="52"/>
      <c r="L182" s="53"/>
      <c r="O182" s="6"/>
      <c r="P182" s="6"/>
      <c r="Q182" s="9"/>
      <c r="S182" s="54"/>
      <c r="T182" s="54"/>
    </row>
    <row r="183">
      <c r="E183" s="50"/>
      <c r="F183" s="50"/>
      <c r="G183" s="50"/>
      <c r="H183" s="51"/>
      <c r="I183" s="52"/>
      <c r="J183" s="52"/>
      <c r="K183" s="52"/>
      <c r="L183" s="53"/>
      <c r="O183" s="6"/>
      <c r="P183" s="6"/>
      <c r="Q183" s="9"/>
      <c r="S183" s="54"/>
      <c r="T183" s="54"/>
    </row>
    <row r="184">
      <c r="E184" s="50"/>
      <c r="F184" s="50"/>
      <c r="G184" s="50"/>
      <c r="H184" s="51"/>
      <c r="I184" s="52"/>
      <c r="J184" s="52"/>
      <c r="K184" s="52"/>
      <c r="L184" s="53"/>
      <c r="O184" s="6"/>
      <c r="P184" s="6"/>
      <c r="Q184" s="9"/>
      <c r="S184" s="54"/>
      <c r="T184" s="54"/>
    </row>
    <row r="185">
      <c r="E185" s="50"/>
      <c r="F185" s="50"/>
      <c r="G185" s="50"/>
      <c r="H185" s="51"/>
      <c r="I185" s="52"/>
      <c r="J185" s="52"/>
      <c r="K185" s="52"/>
      <c r="L185" s="53"/>
      <c r="O185" s="6"/>
      <c r="P185" s="6"/>
      <c r="Q185" s="9"/>
      <c r="S185" s="54"/>
      <c r="T185" s="54"/>
    </row>
    <row r="186">
      <c r="E186" s="50"/>
      <c r="F186" s="50"/>
      <c r="G186" s="50"/>
      <c r="H186" s="51"/>
      <c r="I186" s="52"/>
      <c r="J186" s="52"/>
      <c r="K186" s="52"/>
      <c r="L186" s="53"/>
      <c r="O186" s="6"/>
      <c r="P186" s="6"/>
      <c r="Q186" s="9"/>
      <c r="S186" s="54"/>
      <c r="T186" s="54"/>
    </row>
    <row r="187">
      <c r="E187" s="50"/>
      <c r="F187" s="50"/>
      <c r="G187" s="50"/>
      <c r="H187" s="51"/>
      <c r="I187" s="52"/>
      <c r="J187" s="52"/>
      <c r="K187" s="52"/>
      <c r="L187" s="53"/>
      <c r="O187" s="6"/>
      <c r="P187" s="6"/>
      <c r="Q187" s="9"/>
      <c r="S187" s="54"/>
      <c r="T187" s="54"/>
    </row>
    <row r="188">
      <c r="E188" s="50"/>
      <c r="F188" s="50"/>
      <c r="G188" s="50"/>
      <c r="H188" s="51"/>
      <c r="I188" s="52"/>
      <c r="J188" s="52"/>
      <c r="K188" s="52"/>
      <c r="L188" s="53"/>
      <c r="O188" s="6"/>
      <c r="P188" s="6"/>
      <c r="Q188" s="9"/>
      <c r="S188" s="54"/>
      <c r="T188" s="54"/>
    </row>
    <row r="189">
      <c r="E189" s="50"/>
      <c r="F189" s="50"/>
      <c r="G189" s="50"/>
      <c r="H189" s="51"/>
      <c r="I189" s="52"/>
      <c r="J189" s="52"/>
      <c r="K189" s="52"/>
      <c r="L189" s="53"/>
      <c r="O189" s="6"/>
      <c r="P189" s="6"/>
      <c r="Q189" s="9"/>
      <c r="S189" s="54"/>
      <c r="T189" s="54"/>
    </row>
    <row r="190">
      <c r="E190" s="50"/>
      <c r="F190" s="50"/>
      <c r="G190" s="50"/>
      <c r="H190" s="51"/>
      <c r="I190" s="52"/>
      <c r="J190" s="52"/>
      <c r="K190" s="52"/>
      <c r="L190" s="53"/>
      <c r="O190" s="6"/>
      <c r="P190" s="6"/>
      <c r="Q190" s="9"/>
      <c r="S190" s="54"/>
      <c r="T190" s="54"/>
    </row>
    <row r="191">
      <c r="E191" s="50"/>
      <c r="F191" s="50"/>
      <c r="G191" s="50"/>
      <c r="H191" s="51"/>
      <c r="I191" s="52"/>
      <c r="J191" s="52"/>
      <c r="K191" s="52"/>
      <c r="L191" s="53"/>
      <c r="O191" s="6"/>
      <c r="P191" s="6"/>
      <c r="Q191" s="9"/>
      <c r="S191" s="54"/>
      <c r="T191" s="54"/>
    </row>
    <row r="192">
      <c r="E192" s="50"/>
      <c r="F192" s="50"/>
      <c r="G192" s="50"/>
      <c r="H192" s="51"/>
      <c r="I192" s="52"/>
      <c r="J192" s="52"/>
      <c r="K192" s="52"/>
      <c r="L192" s="53"/>
      <c r="O192" s="6"/>
      <c r="P192" s="6"/>
      <c r="Q192" s="9"/>
      <c r="S192" s="54"/>
      <c r="T192" s="54"/>
    </row>
    <row r="193">
      <c r="E193" s="50"/>
      <c r="F193" s="50"/>
      <c r="G193" s="50"/>
      <c r="H193" s="51"/>
      <c r="I193" s="52"/>
      <c r="J193" s="52"/>
      <c r="K193" s="52"/>
      <c r="L193" s="53"/>
      <c r="O193" s="6"/>
      <c r="P193" s="6"/>
      <c r="Q193" s="9"/>
      <c r="S193" s="54"/>
      <c r="T193" s="54"/>
    </row>
    <row r="194">
      <c r="E194" s="50"/>
      <c r="F194" s="50"/>
      <c r="G194" s="50"/>
      <c r="H194" s="51"/>
      <c r="I194" s="52"/>
      <c r="J194" s="52"/>
      <c r="K194" s="52"/>
      <c r="L194" s="53"/>
      <c r="O194" s="6"/>
      <c r="P194" s="6"/>
      <c r="Q194" s="9"/>
      <c r="S194" s="54"/>
      <c r="T194" s="54"/>
    </row>
    <row r="195">
      <c r="E195" s="50"/>
      <c r="F195" s="50"/>
      <c r="G195" s="50"/>
      <c r="H195" s="51"/>
      <c r="I195" s="52"/>
      <c r="J195" s="52"/>
      <c r="K195" s="52"/>
      <c r="L195" s="53"/>
      <c r="O195" s="6"/>
      <c r="P195" s="6"/>
      <c r="Q195" s="9"/>
      <c r="S195" s="54"/>
      <c r="T195" s="54"/>
    </row>
    <row r="196">
      <c r="E196" s="50"/>
      <c r="F196" s="50"/>
      <c r="G196" s="50"/>
      <c r="H196" s="51"/>
      <c r="I196" s="52"/>
      <c r="J196" s="52"/>
      <c r="K196" s="52"/>
      <c r="L196" s="53"/>
      <c r="O196" s="6"/>
      <c r="P196" s="6"/>
      <c r="Q196" s="9"/>
      <c r="S196" s="54"/>
      <c r="T196" s="54"/>
    </row>
    <row r="197">
      <c r="E197" s="50"/>
      <c r="F197" s="50"/>
      <c r="G197" s="50"/>
      <c r="H197" s="51"/>
      <c r="I197" s="52"/>
      <c r="J197" s="52"/>
      <c r="K197" s="52"/>
      <c r="L197" s="53"/>
      <c r="O197" s="6"/>
      <c r="P197" s="6"/>
      <c r="Q197" s="9"/>
      <c r="S197" s="54"/>
      <c r="T197" s="54"/>
    </row>
    <row r="198">
      <c r="E198" s="50"/>
      <c r="F198" s="50"/>
      <c r="G198" s="50"/>
      <c r="H198" s="51"/>
      <c r="I198" s="52"/>
      <c r="J198" s="52"/>
      <c r="K198" s="52"/>
      <c r="L198" s="53"/>
      <c r="O198" s="6"/>
      <c r="P198" s="6"/>
      <c r="Q198" s="9"/>
      <c r="S198" s="54"/>
      <c r="T198" s="54"/>
    </row>
    <row r="199">
      <c r="E199" s="50"/>
      <c r="F199" s="50"/>
      <c r="G199" s="50"/>
      <c r="H199" s="51"/>
      <c r="I199" s="52"/>
      <c r="J199" s="52"/>
      <c r="K199" s="52"/>
      <c r="L199" s="53"/>
      <c r="O199" s="6"/>
      <c r="P199" s="6"/>
      <c r="Q199" s="9"/>
      <c r="S199" s="54"/>
      <c r="T199" s="54"/>
    </row>
    <row r="200">
      <c r="E200" s="50"/>
      <c r="F200" s="50"/>
      <c r="G200" s="50"/>
      <c r="H200" s="51"/>
      <c r="I200" s="52"/>
      <c r="J200" s="52"/>
      <c r="K200" s="52"/>
      <c r="L200" s="53"/>
      <c r="O200" s="6"/>
      <c r="P200" s="6"/>
      <c r="Q200" s="9"/>
      <c r="S200" s="54"/>
      <c r="T200" s="54"/>
    </row>
    <row r="201">
      <c r="E201" s="50"/>
      <c r="F201" s="50"/>
      <c r="G201" s="50"/>
      <c r="H201" s="51"/>
      <c r="I201" s="52"/>
      <c r="J201" s="52"/>
      <c r="K201" s="52"/>
      <c r="L201" s="53"/>
      <c r="O201" s="6"/>
      <c r="P201" s="6"/>
      <c r="Q201" s="9"/>
      <c r="S201" s="54"/>
      <c r="T201" s="54"/>
    </row>
    <row r="202">
      <c r="E202" s="50"/>
      <c r="F202" s="50"/>
      <c r="G202" s="50"/>
      <c r="H202" s="51"/>
      <c r="I202" s="52"/>
      <c r="J202" s="52"/>
      <c r="K202" s="52"/>
      <c r="L202" s="53"/>
      <c r="O202" s="6"/>
      <c r="P202" s="6"/>
      <c r="Q202" s="9"/>
      <c r="S202" s="54"/>
      <c r="T202" s="54"/>
    </row>
    <row r="203">
      <c r="E203" s="50"/>
      <c r="F203" s="50"/>
      <c r="G203" s="50"/>
      <c r="H203" s="51"/>
      <c r="I203" s="52"/>
      <c r="J203" s="52"/>
      <c r="K203" s="52"/>
      <c r="L203" s="53"/>
      <c r="O203" s="6"/>
      <c r="P203" s="6"/>
      <c r="Q203" s="9"/>
      <c r="S203" s="54"/>
      <c r="T203" s="54"/>
    </row>
    <row r="204">
      <c r="E204" s="50"/>
      <c r="F204" s="50"/>
      <c r="G204" s="50"/>
      <c r="H204" s="51"/>
      <c r="I204" s="52"/>
      <c r="J204" s="52"/>
      <c r="K204" s="52"/>
      <c r="L204" s="53"/>
      <c r="O204" s="6"/>
      <c r="P204" s="6"/>
      <c r="Q204" s="9"/>
      <c r="S204" s="54"/>
      <c r="T204" s="54"/>
    </row>
    <row r="205">
      <c r="E205" s="50"/>
      <c r="F205" s="50"/>
      <c r="G205" s="50"/>
      <c r="H205" s="51"/>
      <c r="I205" s="52"/>
      <c r="J205" s="52"/>
      <c r="K205" s="52"/>
      <c r="L205" s="53"/>
      <c r="O205" s="6"/>
      <c r="P205" s="6"/>
      <c r="Q205" s="9"/>
      <c r="S205" s="54"/>
      <c r="T205" s="54"/>
    </row>
    <row r="206">
      <c r="E206" s="50"/>
      <c r="F206" s="50"/>
      <c r="G206" s="50"/>
      <c r="H206" s="51"/>
      <c r="I206" s="52"/>
      <c r="J206" s="52"/>
      <c r="K206" s="52"/>
      <c r="L206" s="53"/>
      <c r="O206" s="6"/>
      <c r="P206" s="6"/>
      <c r="Q206" s="9"/>
      <c r="S206" s="54"/>
      <c r="T206" s="54"/>
    </row>
    <row r="207">
      <c r="E207" s="50"/>
      <c r="F207" s="50"/>
      <c r="G207" s="50"/>
      <c r="H207" s="51"/>
      <c r="I207" s="52"/>
      <c r="J207" s="52"/>
      <c r="K207" s="52"/>
      <c r="L207" s="53"/>
      <c r="O207" s="6"/>
      <c r="P207" s="6"/>
      <c r="Q207" s="9"/>
      <c r="S207" s="54"/>
      <c r="T207" s="54"/>
    </row>
    <row r="208">
      <c r="E208" s="50"/>
      <c r="F208" s="50"/>
      <c r="G208" s="50"/>
      <c r="H208" s="51"/>
      <c r="I208" s="52"/>
      <c r="J208" s="52"/>
      <c r="K208" s="52"/>
      <c r="L208" s="53"/>
      <c r="O208" s="6"/>
      <c r="P208" s="6"/>
      <c r="Q208" s="9"/>
      <c r="S208" s="54"/>
      <c r="T208" s="54"/>
    </row>
    <row r="209">
      <c r="E209" s="50"/>
      <c r="F209" s="50"/>
      <c r="G209" s="50"/>
      <c r="H209" s="51"/>
      <c r="I209" s="52"/>
      <c r="J209" s="52"/>
      <c r="K209" s="52"/>
      <c r="L209" s="53"/>
      <c r="O209" s="6"/>
      <c r="P209" s="6"/>
      <c r="Q209" s="9"/>
      <c r="S209" s="54"/>
      <c r="T209" s="54"/>
    </row>
    <row r="210">
      <c r="E210" s="50"/>
      <c r="F210" s="50"/>
      <c r="G210" s="50"/>
      <c r="H210" s="51"/>
      <c r="I210" s="52"/>
      <c r="J210" s="52"/>
      <c r="K210" s="52"/>
      <c r="L210" s="53"/>
      <c r="O210" s="6"/>
      <c r="P210" s="6"/>
      <c r="Q210" s="9"/>
      <c r="S210" s="54"/>
      <c r="T210" s="54"/>
    </row>
    <row r="211">
      <c r="E211" s="50"/>
      <c r="F211" s="50"/>
      <c r="G211" s="50"/>
      <c r="H211" s="51"/>
      <c r="I211" s="52"/>
      <c r="J211" s="52"/>
      <c r="K211" s="52"/>
      <c r="L211" s="53"/>
      <c r="O211" s="6"/>
      <c r="P211" s="6"/>
      <c r="Q211" s="9"/>
      <c r="S211" s="54"/>
      <c r="T211" s="54"/>
    </row>
    <row r="212">
      <c r="E212" s="50"/>
      <c r="F212" s="50"/>
      <c r="G212" s="50"/>
      <c r="H212" s="51"/>
      <c r="I212" s="52"/>
      <c r="J212" s="52"/>
      <c r="K212" s="52"/>
      <c r="L212" s="53"/>
      <c r="O212" s="6"/>
      <c r="P212" s="6"/>
      <c r="Q212" s="9"/>
      <c r="S212" s="54"/>
      <c r="T212" s="54"/>
    </row>
    <row r="213">
      <c r="E213" s="50"/>
      <c r="F213" s="50"/>
      <c r="G213" s="50"/>
      <c r="H213" s="51"/>
      <c r="I213" s="52"/>
      <c r="J213" s="52"/>
      <c r="K213" s="52"/>
      <c r="L213" s="53"/>
      <c r="O213" s="6"/>
      <c r="P213" s="6"/>
      <c r="Q213" s="9"/>
      <c r="S213" s="54"/>
      <c r="T213" s="54"/>
    </row>
    <row r="214">
      <c r="E214" s="50"/>
      <c r="F214" s="50"/>
      <c r="G214" s="50"/>
      <c r="H214" s="51"/>
      <c r="I214" s="52"/>
      <c r="J214" s="52"/>
      <c r="K214" s="52"/>
      <c r="L214" s="53"/>
      <c r="O214" s="6"/>
      <c r="P214" s="6"/>
      <c r="Q214" s="9"/>
      <c r="S214" s="54"/>
      <c r="T214" s="54"/>
    </row>
    <row r="215">
      <c r="E215" s="50"/>
      <c r="F215" s="50"/>
      <c r="G215" s="50"/>
      <c r="H215" s="51"/>
      <c r="I215" s="52"/>
      <c r="J215" s="52"/>
      <c r="K215" s="52"/>
      <c r="L215" s="53"/>
      <c r="O215" s="6"/>
      <c r="P215" s="6"/>
      <c r="Q215" s="9"/>
      <c r="S215" s="54"/>
      <c r="T215" s="54"/>
    </row>
    <row r="216">
      <c r="E216" s="50"/>
      <c r="F216" s="50"/>
      <c r="G216" s="50"/>
      <c r="H216" s="51"/>
      <c r="I216" s="52"/>
      <c r="J216" s="52"/>
      <c r="K216" s="52"/>
      <c r="L216" s="53"/>
      <c r="O216" s="6"/>
      <c r="P216" s="6"/>
      <c r="Q216" s="9"/>
      <c r="S216" s="54"/>
      <c r="T216" s="54"/>
    </row>
    <row r="217">
      <c r="E217" s="50"/>
      <c r="F217" s="50"/>
      <c r="G217" s="50"/>
      <c r="H217" s="51"/>
      <c r="I217" s="52"/>
      <c r="J217" s="52"/>
      <c r="K217" s="52"/>
      <c r="L217" s="53"/>
      <c r="O217" s="6"/>
      <c r="P217" s="6"/>
      <c r="Q217" s="9"/>
      <c r="S217" s="54"/>
      <c r="T217" s="54"/>
    </row>
    <row r="218">
      <c r="E218" s="50"/>
      <c r="F218" s="50"/>
      <c r="G218" s="50"/>
      <c r="H218" s="51"/>
      <c r="I218" s="52"/>
      <c r="J218" s="52"/>
      <c r="K218" s="52"/>
      <c r="L218" s="53"/>
      <c r="O218" s="6"/>
      <c r="P218" s="6"/>
      <c r="Q218" s="9"/>
      <c r="S218" s="54"/>
      <c r="T218" s="54"/>
    </row>
    <row r="219">
      <c r="E219" s="50"/>
      <c r="F219" s="50"/>
      <c r="G219" s="50"/>
      <c r="H219" s="51"/>
      <c r="I219" s="52"/>
      <c r="J219" s="52"/>
      <c r="K219" s="52"/>
      <c r="L219" s="53"/>
      <c r="O219" s="6"/>
      <c r="P219" s="6"/>
      <c r="Q219" s="9"/>
      <c r="S219" s="54"/>
      <c r="T219" s="54"/>
    </row>
    <row r="220">
      <c r="E220" s="50"/>
      <c r="F220" s="50"/>
      <c r="G220" s="50"/>
      <c r="H220" s="51"/>
      <c r="I220" s="52"/>
      <c r="J220" s="52"/>
      <c r="K220" s="52"/>
      <c r="L220" s="53"/>
      <c r="O220" s="6"/>
      <c r="P220" s="6"/>
      <c r="Q220" s="9"/>
      <c r="S220" s="54"/>
      <c r="T220" s="54"/>
    </row>
    <row r="221">
      <c r="E221" s="50"/>
      <c r="F221" s="50"/>
      <c r="G221" s="50"/>
      <c r="H221" s="51"/>
      <c r="I221" s="52"/>
      <c r="J221" s="52"/>
      <c r="K221" s="52"/>
      <c r="L221" s="53"/>
      <c r="O221" s="6"/>
      <c r="P221" s="6"/>
      <c r="Q221" s="9"/>
      <c r="S221" s="54"/>
      <c r="T221" s="54"/>
    </row>
    <row r="222">
      <c r="E222" s="50"/>
      <c r="F222" s="50"/>
      <c r="G222" s="50"/>
      <c r="H222" s="51"/>
      <c r="I222" s="52"/>
      <c r="J222" s="52"/>
      <c r="K222" s="52"/>
      <c r="L222" s="53"/>
      <c r="O222" s="6"/>
      <c r="P222" s="6"/>
      <c r="Q222" s="9"/>
      <c r="S222" s="54"/>
      <c r="T222" s="54"/>
    </row>
    <row r="223">
      <c r="E223" s="50"/>
      <c r="F223" s="50"/>
      <c r="G223" s="50"/>
      <c r="H223" s="51"/>
      <c r="I223" s="52"/>
      <c r="J223" s="52"/>
      <c r="K223" s="52"/>
      <c r="L223" s="53"/>
      <c r="O223" s="6"/>
      <c r="P223" s="6"/>
      <c r="Q223" s="9"/>
      <c r="S223" s="54"/>
      <c r="T223" s="54"/>
    </row>
    <row r="224">
      <c r="E224" s="50"/>
      <c r="F224" s="50"/>
      <c r="G224" s="50"/>
      <c r="H224" s="51"/>
      <c r="I224" s="52"/>
      <c r="J224" s="52"/>
      <c r="K224" s="52"/>
      <c r="L224" s="53"/>
      <c r="O224" s="6"/>
      <c r="P224" s="6"/>
      <c r="Q224" s="9"/>
      <c r="S224" s="54"/>
      <c r="T224" s="54"/>
    </row>
    <row r="225">
      <c r="E225" s="50"/>
      <c r="F225" s="50"/>
      <c r="G225" s="50"/>
      <c r="H225" s="51"/>
      <c r="I225" s="52"/>
      <c r="J225" s="52"/>
      <c r="K225" s="52"/>
      <c r="L225" s="53"/>
      <c r="O225" s="6"/>
      <c r="P225" s="6"/>
      <c r="Q225" s="9"/>
      <c r="S225" s="54"/>
      <c r="T225" s="54"/>
    </row>
    <row r="226">
      <c r="E226" s="50"/>
      <c r="F226" s="50"/>
      <c r="G226" s="50"/>
      <c r="H226" s="51"/>
      <c r="I226" s="52"/>
      <c r="J226" s="52"/>
      <c r="K226" s="52"/>
      <c r="L226" s="53"/>
      <c r="O226" s="6"/>
      <c r="P226" s="6"/>
      <c r="Q226" s="9"/>
      <c r="S226" s="54"/>
      <c r="T226" s="54"/>
    </row>
    <row r="227">
      <c r="E227" s="50"/>
      <c r="F227" s="50"/>
      <c r="G227" s="50"/>
      <c r="H227" s="51"/>
      <c r="I227" s="52"/>
      <c r="J227" s="52"/>
      <c r="K227" s="52"/>
      <c r="L227" s="53"/>
      <c r="O227" s="6"/>
      <c r="P227" s="6"/>
      <c r="Q227" s="9"/>
      <c r="S227" s="54"/>
      <c r="T227" s="54"/>
    </row>
    <row r="228">
      <c r="E228" s="50"/>
      <c r="F228" s="50"/>
      <c r="G228" s="50"/>
      <c r="H228" s="51"/>
      <c r="I228" s="52"/>
      <c r="J228" s="52"/>
      <c r="K228" s="52"/>
      <c r="L228" s="53"/>
      <c r="O228" s="6"/>
      <c r="P228" s="6"/>
      <c r="Q228" s="9"/>
      <c r="S228" s="54"/>
      <c r="T228" s="54"/>
    </row>
    <row r="229">
      <c r="E229" s="50"/>
      <c r="F229" s="50"/>
      <c r="G229" s="50"/>
      <c r="H229" s="51"/>
      <c r="I229" s="52"/>
      <c r="J229" s="52"/>
      <c r="K229" s="52"/>
      <c r="L229" s="53"/>
      <c r="O229" s="6"/>
      <c r="P229" s="6"/>
      <c r="Q229" s="9"/>
      <c r="S229" s="54"/>
      <c r="T229" s="54"/>
    </row>
    <row r="230">
      <c r="E230" s="50"/>
      <c r="F230" s="50"/>
      <c r="G230" s="50"/>
      <c r="H230" s="51"/>
      <c r="I230" s="52"/>
      <c r="J230" s="52"/>
      <c r="K230" s="52"/>
      <c r="L230" s="53"/>
      <c r="O230" s="6"/>
      <c r="P230" s="6"/>
      <c r="Q230" s="9"/>
      <c r="S230" s="54"/>
      <c r="T230" s="54"/>
    </row>
    <row r="231">
      <c r="E231" s="50"/>
      <c r="F231" s="50"/>
      <c r="G231" s="50"/>
      <c r="H231" s="51"/>
      <c r="I231" s="52"/>
      <c r="J231" s="52"/>
      <c r="K231" s="52"/>
      <c r="L231" s="53"/>
      <c r="O231" s="6"/>
      <c r="P231" s="6"/>
      <c r="Q231" s="9"/>
      <c r="S231" s="54"/>
      <c r="T231" s="54"/>
    </row>
    <row r="232">
      <c r="E232" s="50"/>
      <c r="F232" s="50"/>
      <c r="G232" s="50"/>
      <c r="H232" s="51"/>
      <c r="I232" s="52"/>
      <c r="J232" s="52"/>
      <c r="K232" s="52"/>
      <c r="L232" s="53"/>
      <c r="O232" s="6"/>
      <c r="P232" s="6"/>
      <c r="Q232" s="9"/>
      <c r="S232" s="54"/>
      <c r="T232" s="54"/>
    </row>
    <row r="233">
      <c r="E233" s="50"/>
      <c r="F233" s="50"/>
      <c r="G233" s="50"/>
      <c r="H233" s="51"/>
      <c r="I233" s="52"/>
      <c r="J233" s="52"/>
      <c r="K233" s="52"/>
      <c r="L233" s="53"/>
      <c r="O233" s="6"/>
      <c r="P233" s="6"/>
      <c r="Q233" s="9"/>
      <c r="S233" s="54"/>
      <c r="T233" s="54"/>
    </row>
    <row r="234">
      <c r="E234" s="50"/>
      <c r="F234" s="50"/>
      <c r="G234" s="50"/>
      <c r="H234" s="51"/>
      <c r="I234" s="52"/>
      <c r="J234" s="52"/>
      <c r="K234" s="52"/>
      <c r="L234" s="53"/>
      <c r="O234" s="6"/>
      <c r="P234" s="6"/>
      <c r="Q234" s="9"/>
      <c r="S234" s="54"/>
      <c r="T234" s="54"/>
    </row>
    <row r="235">
      <c r="E235" s="50"/>
      <c r="F235" s="50"/>
      <c r="G235" s="50"/>
      <c r="H235" s="51"/>
      <c r="I235" s="52"/>
      <c r="J235" s="52"/>
      <c r="K235" s="52"/>
      <c r="L235" s="53"/>
      <c r="O235" s="6"/>
      <c r="P235" s="6"/>
      <c r="Q235" s="9"/>
      <c r="S235" s="54"/>
      <c r="T235" s="54"/>
    </row>
    <row r="236">
      <c r="E236" s="50"/>
      <c r="F236" s="50"/>
      <c r="G236" s="50"/>
      <c r="H236" s="51"/>
      <c r="I236" s="52"/>
      <c r="J236" s="52"/>
      <c r="K236" s="52"/>
      <c r="L236" s="53"/>
      <c r="O236" s="6"/>
      <c r="P236" s="6"/>
      <c r="Q236" s="9"/>
      <c r="S236" s="54"/>
      <c r="T236" s="54"/>
    </row>
    <row r="237">
      <c r="E237" s="50"/>
      <c r="F237" s="50"/>
      <c r="G237" s="50"/>
      <c r="H237" s="51"/>
      <c r="I237" s="52"/>
      <c r="J237" s="52"/>
      <c r="K237" s="52"/>
      <c r="L237" s="53"/>
      <c r="O237" s="6"/>
      <c r="P237" s="6"/>
      <c r="Q237" s="9"/>
      <c r="S237" s="54"/>
      <c r="T237" s="54"/>
    </row>
    <row r="238">
      <c r="E238" s="50"/>
      <c r="F238" s="50"/>
      <c r="G238" s="50"/>
      <c r="H238" s="51"/>
      <c r="I238" s="52"/>
      <c r="J238" s="52"/>
      <c r="K238" s="52"/>
      <c r="L238" s="53"/>
      <c r="O238" s="6"/>
      <c r="P238" s="6"/>
      <c r="Q238" s="9"/>
      <c r="S238" s="54"/>
      <c r="T238" s="54"/>
    </row>
    <row r="239">
      <c r="E239" s="50"/>
      <c r="F239" s="50"/>
      <c r="G239" s="50"/>
      <c r="H239" s="51"/>
      <c r="I239" s="52"/>
      <c r="J239" s="52"/>
      <c r="K239" s="52"/>
      <c r="L239" s="53"/>
      <c r="O239" s="6"/>
      <c r="P239" s="6"/>
      <c r="Q239" s="9"/>
      <c r="S239" s="54"/>
      <c r="T239" s="54"/>
    </row>
    <row r="240">
      <c r="E240" s="50"/>
      <c r="F240" s="50"/>
      <c r="G240" s="50"/>
      <c r="H240" s="51"/>
      <c r="I240" s="52"/>
      <c r="J240" s="52"/>
      <c r="K240" s="52"/>
      <c r="L240" s="53"/>
      <c r="O240" s="6"/>
      <c r="P240" s="6"/>
      <c r="Q240" s="9"/>
      <c r="S240" s="54"/>
      <c r="T240" s="54"/>
    </row>
    <row r="241">
      <c r="E241" s="50"/>
      <c r="F241" s="50"/>
      <c r="G241" s="50"/>
      <c r="H241" s="51"/>
      <c r="I241" s="52"/>
      <c r="J241" s="52"/>
      <c r="K241" s="52"/>
      <c r="L241" s="53"/>
      <c r="O241" s="6"/>
      <c r="P241" s="6"/>
      <c r="Q241" s="9"/>
      <c r="S241" s="54"/>
      <c r="T241" s="54"/>
    </row>
    <row r="242">
      <c r="E242" s="50"/>
      <c r="F242" s="50"/>
      <c r="G242" s="50"/>
      <c r="H242" s="51"/>
      <c r="I242" s="52"/>
      <c r="J242" s="52"/>
      <c r="K242" s="52"/>
      <c r="L242" s="53"/>
      <c r="O242" s="6"/>
      <c r="P242" s="6"/>
      <c r="Q242" s="9"/>
      <c r="S242" s="54"/>
      <c r="T242" s="54"/>
    </row>
    <row r="243">
      <c r="E243" s="50"/>
      <c r="F243" s="50"/>
      <c r="G243" s="50"/>
      <c r="H243" s="51"/>
      <c r="I243" s="52"/>
      <c r="J243" s="52"/>
      <c r="K243" s="52"/>
      <c r="L243" s="53"/>
      <c r="O243" s="6"/>
      <c r="P243" s="6"/>
      <c r="Q243" s="9"/>
      <c r="S243" s="54"/>
      <c r="T243" s="54"/>
    </row>
    <row r="244">
      <c r="E244" s="50"/>
      <c r="F244" s="50"/>
      <c r="G244" s="50"/>
      <c r="H244" s="51"/>
      <c r="I244" s="52"/>
      <c r="J244" s="52"/>
      <c r="K244" s="52"/>
      <c r="L244" s="53"/>
      <c r="O244" s="6"/>
      <c r="P244" s="6"/>
      <c r="Q244" s="9"/>
      <c r="S244" s="54"/>
      <c r="T244" s="54"/>
    </row>
    <row r="245">
      <c r="E245" s="50"/>
      <c r="F245" s="50"/>
      <c r="G245" s="50"/>
      <c r="H245" s="51"/>
      <c r="I245" s="52"/>
      <c r="J245" s="52"/>
      <c r="K245" s="52"/>
      <c r="L245" s="53"/>
      <c r="O245" s="6"/>
      <c r="P245" s="6"/>
      <c r="Q245" s="9"/>
      <c r="S245" s="54"/>
      <c r="T245" s="54"/>
    </row>
    <row r="246">
      <c r="E246" s="50"/>
      <c r="F246" s="50"/>
      <c r="G246" s="50"/>
      <c r="H246" s="51"/>
      <c r="I246" s="52"/>
      <c r="J246" s="52"/>
      <c r="K246" s="52"/>
      <c r="L246" s="53"/>
      <c r="O246" s="6"/>
      <c r="P246" s="6"/>
      <c r="Q246" s="9"/>
      <c r="S246" s="54"/>
      <c r="T246" s="54"/>
    </row>
    <row r="247">
      <c r="E247" s="50"/>
      <c r="F247" s="50"/>
      <c r="G247" s="50"/>
      <c r="H247" s="51"/>
      <c r="I247" s="52"/>
      <c r="J247" s="52"/>
      <c r="K247" s="52"/>
      <c r="L247" s="53"/>
      <c r="O247" s="6"/>
      <c r="P247" s="6"/>
      <c r="Q247" s="9"/>
      <c r="S247" s="54"/>
      <c r="T247" s="54"/>
    </row>
    <row r="248">
      <c r="E248" s="50"/>
      <c r="F248" s="50"/>
      <c r="G248" s="50"/>
      <c r="H248" s="51"/>
      <c r="I248" s="52"/>
      <c r="J248" s="52"/>
      <c r="K248" s="52"/>
      <c r="L248" s="53"/>
      <c r="O248" s="6"/>
      <c r="P248" s="6"/>
      <c r="Q248" s="9"/>
      <c r="S248" s="54"/>
      <c r="T248" s="54"/>
    </row>
    <row r="249">
      <c r="E249" s="50"/>
      <c r="F249" s="50"/>
      <c r="G249" s="50"/>
      <c r="H249" s="51"/>
      <c r="I249" s="52"/>
      <c r="J249" s="52"/>
      <c r="K249" s="52"/>
      <c r="L249" s="53"/>
      <c r="O249" s="6"/>
      <c r="P249" s="6"/>
      <c r="Q249" s="9"/>
      <c r="S249" s="54"/>
      <c r="T249" s="54"/>
    </row>
    <row r="250">
      <c r="E250" s="50"/>
      <c r="F250" s="50"/>
      <c r="G250" s="50"/>
      <c r="H250" s="51"/>
      <c r="I250" s="52"/>
      <c r="J250" s="52"/>
      <c r="K250" s="52"/>
      <c r="L250" s="53"/>
      <c r="O250" s="6"/>
      <c r="P250" s="6"/>
      <c r="Q250" s="9"/>
      <c r="S250" s="54"/>
      <c r="T250" s="54"/>
    </row>
    <row r="251">
      <c r="E251" s="50"/>
      <c r="F251" s="50"/>
      <c r="G251" s="50"/>
      <c r="H251" s="51"/>
      <c r="I251" s="52"/>
      <c r="J251" s="52"/>
      <c r="K251" s="52"/>
      <c r="L251" s="53"/>
      <c r="O251" s="6"/>
      <c r="P251" s="6"/>
      <c r="Q251" s="9"/>
      <c r="S251" s="54"/>
      <c r="T251" s="54"/>
    </row>
    <row r="252">
      <c r="E252" s="50"/>
      <c r="F252" s="50"/>
      <c r="G252" s="50"/>
      <c r="H252" s="51"/>
      <c r="I252" s="52"/>
      <c r="J252" s="52"/>
      <c r="K252" s="52"/>
      <c r="L252" s="53"/>
      <c r="O252" s="6"/>
      <c r="P252" s="6"/>
      <c r="Q252" s="9"/>
      <c r="S252" s="54"/>
      <c r="T252" s="54"/>
    </row>
    <row r="253">
      <c r="E253" s="50"/>
      <c r="F253" s="50"/>
      <c r="G253" s="50"/>
      <c r="H253" s="51"/>
      <c r="I253" s="52"/>
      <c r="J253" s="52"/>
      <c r="K253" s="52"/>
      <c r="L253" s="53"/>
      <c r="O253" s="6"/>
      <c r="P253" s="6"/>
      <c r="Q253" s="9"/>
      <c r="S253" s="54"/>
      <c r="T253" s="54"/>
    </row>
    <row r="254">
      <c r="E254" s="50"/>
      <c r="F254" s="50"/>
      <c r="G254" s="50"/>
      <c r="H254" s="51"/>
      <c r="I254" s="52"/>
      <c r="J254" s="52"/>
      <c r="K254" s="52"/>
      <c r="L254" s="53"/>
      <c r="O254" s="6"/>
      <c r="P254" s="6"/>
      <c r="Q254" s="9"/>
      <c r="S254" s="54"/>
      <c r="T254" s="54"/>
    </row>
    <row r="255">
      <c r="E255" s="50"/>
      <c r="F255" s="50"/>
      <c r="G255" s="50"/>
      <c r="H255" s="51"/>
      <c r="I255" s="52"/>
      <c r="J255" s="52"/>
      <c r="K255" s="52"/>
      <c r="L255" s="53"/>
      <c r="O255" s="6"/>
      <c r="P255" s="6"/>
      <c r="Q255" s="9"/>
      <c r="S255" s="54"/>
      <c r="T255" s="54"/>
    </row>
    <row r="256">
      <c r="E256" s="50"/>
      <c r="F256" s="50"/>
      <c r="G256" s="50"/>
      <c r="H256" s="51"/>
      <c r="I256" s="52"/>
      <c r="J256" s="52"/>
      <c r="K256" s="52"/>
      <c r="L256" s="53"/>
      <c r="O256" s="6"/>
      <c r="P256" s="6"/>
      <c r="Q256" s="9"/>
      <c r="S256" s="54"/>
      <c r="T256" s="54"/>
    </row>
    <row r="257">
      <c r="E257" s="50"/>
      <c r="F257" s="50"/>
      <c r="G257" s="50"/>
      <c r="H257" s="51"/>
      <c r="I257" s="52"/>
      <c r="J257" s="52"/>
      <c r="K257" s="52"/>
      <c r="L257" s="53"/>
      <c r="O257" s="6"/>
      <c r="P257" s="6"/>
      <c r="Q257" s="9"/>
      <c r="S257" s="54"/>
      <c r="T257" s="54"/>
    </row>
    <row r="258">
      <c r="E258" s="50"/>
      <c r="F258" s="50"/>
      <c r="G258" s="50"/>
      <c r="H258" s="51"/>
      <c r="I258" s="52"/>
      <c r="J258" s="52"/>
      <c r="K258" s="52"/>
      <c r="L258" s="53"/>
      <c r="O258" s="6"/>
      <c r="P258" s="6"/>
      <c r="Q258" s="9"/>
      <c r="S258" s="54"/>
      <c r="T258" s="54"/>
    </row>
    <row r="259">
      <c r="E259" s="50"/>
      <c r="F259" s="50"/>
      <c r="G259" s="50"/>
      <c r="H259" s="51"/>
      <c r="I259" s="52"/>
      <c r="J259" s="52"/>
      <c r="K259" s="52"/>
      <c r="L259" s="53"/>
      <c r="O259" s="6"/>
      <c r="P259" s="6"/>
      <c r="Q259" s="9"/>
      <c r="S259" s="54"/>
      <c r="T259" s="54"/>
    </row>
    <row r="260">
      <c r="E260" s="50"/>
      <c r="F260" s="50"/>
      <c r="G260" s="50"/>
      <c r="H260" s="51"/>
      <c r="I260" s="52"/>
      <c r="J260" s="52"/>
      <c r="K260" s="52"/>
      <c r="L260" s="53"/>
      <c r="O260" s="6"/>
      <c r="P260" s="6"/>
      <c r="Q260" s="9"/>
      <c r="S260" s="54"/>
      <c r="T260" s="54"/>
    </row>
    <row r="261">
      <c r="E261" s="50"/>
      <c r="F261" s="50"/>
      <c r="G261" s="50"/>
      <c r="H261" s="51"/>
      <c r="I261" s="52"/>
      <c r="J261" s="52"/>
      <c r="K261" s="52"/>
      <c r="L261" s="53"/>
      <c r="O261" s="6"/>
      <c r="P261" s="6"/>
      <c r="Q261" s="9"/>
      <c r="S261" s="54"/>
      <c r="T261" s="54"/>
    </row>
    <row r="262">
      <c r="E262" s="50"/>
      <c r="F262" s="50"/>
      <c r="G262" s="50"/>
      <c r="H262" s="51"/>
      <c r="I262" s="52"/>
      <c r="J262" s="52"/>
      <c r="K262" s="52"/>
      <c r="L262" s="53"/>
      <c r="O262" s="6"/>
      <c r="P262" s="6"/>
      <c r="Q262" s="9"/>
      <c r="S262" s="54"/>
      <c r="T262" s="54"/>
    </row>
    <row r="263">
      <c r="E263" s="50"/>
      <c r="F263" s="50"/>
      <c r="G263" s="50"/>
      <c r="H263" s="51"/>
      <c r="I263" s="52"/>
      <c r="J263" s="52"/>
      <c r="K263" s="52"/>
      <c r="L263" s="53"/>
      <c r="O263" s="6"/>
      <c r="P263" s="6"/>
      <c r="Q263" s="9"/>
      <c r="S263" s="54"/>
      <c r="T263" s="54"/>
    </row>
    <row r="264">
      <c r="E264" s="50"/>
      <c r="F264" s="50"/>
      <c r="G264" s="50"/>
      <c r="H264" s="51"/>
      <c r="I264" s="52"/>
      <c r="J264" s="52"/>
      <c r="K264" s="52"/>
      <c r="L264" s="53"/>
      <c r="O264" s="6"/>
      <c r="P264" s="6"/>
      <c r="Q264" s="9"/>
      <c r="S264" s="54"/>
      <c r="T264" s="54"/>
    </row>
    <row r="265">
      <c r="E265" s="50"/>
      <c r="F265" s="50"/>
      <c r="G265" s="50"/>
      <c r="H265" s="51"/>
      <c r="I265" s="52"/>
      <c r="J265" s="52"/>
      <c r="K265" s="52"/>
      <c r="L265" s="53"/>
      <c r="O265" s="6"/>
      <c r="P265" s="6"/>
      <c r="Q265" s="9"/>
      <c r="S265" s="54"/>
      <c r="T265" s="54"/>
    </row>
    <row r="266">
      <c r="E266" s="50"/>
      <c r="F266" s="50"/>
      <c r="G266" s="50"/>
      <c r="H266" s="51"/>
      <c r="I266" s="52"/>
      <c r="J266" s="52"/>
      <c r="K266" s="52"/>
      <c r="L266" s="53"/>
      <c r="O266" s="6"/>
      <c r="P266" s="6"/>
      <c r="Q266" s="9"/>
      <c r="S266" s="54"/>
      <c r="T266" s="54"/>
    </row>
    <row r="267">
      <c r="E267" s="50"/>
      <c r="F267" s="50"/>
      <c r="G267" s="50"/>
      <c r="H267" s="51"/>
      <c r="I267" s="52"/>
      <c r="J267" s="52"/>
      <c r="K267" s="52"/>
      <c r="L267" s="53"/>
      <c r="O267" s="6"/>
      <c r="P267" s="6"/>
      <c r="Q267" s="9"/>
      <c r="S267" s="54"/>
      <c r="T267" s="54"/>
    </row>
    <row r="268">
      <c r="E268" s="50"/>
      <c r="F268" s="50"/>
      <c r="G268" s="50"/>
      <c r="H268" s="51"/>
      <c r="I268" s="52"/>
      <c r="J268" s="52"/>
      <c r="K268" s="52"/>
      <c r="L268" s="53"/>
      <c r="O268" s="6"/>
      <c r="P268" s="6"/>
      <c r="Q268" s="9"/>
      <c r="S268" s="54"/>
      <c r="T268" s="54"/>
    </row>
    <row r="269">
      <c r="E269" s="50"/>
      <c r="F269" s="50"/>
      <c r="G269" s="50"/>
      <c r="H269" s="51"/>
      <c r="I269" s="52"/>
      <c r="J269" s="52"/>
      <c r="K269" s="52"/>
      <c r="L269" s="53"/>
      <c r="O269" s="6"/>
      <c r="P269" s="6"/>
      <c r="Q269" s="9"/>
      <c r="S269" s="54"/>
      <c r="T269" s="54"/>
    </row>
    <row r="270">
      <c r="E270" s="50"/>
      <c r="F270" s="50"/>
      <c r="G270" s="50"/>
      <c r="H270" s="51"/>
      <c r="I270" s="52"/>
      <c r="J270" s="52"/>
      <c r="K270" s="52"/>
      <c r="L270" s="53"/>
      <c r="O270" s="6"/>
      <c r="P270" s="6"/>
      <c r="Q270" s="9"/>
      <c r="S270" s="54"/>
      <c r="T270" s="54"/>
    </row>
    <row r="271">
      <c r="E271" s="50"/>
      <c r="F271" s="50"/>
      <c r="G271" s="50"/>
      <c r="H271" s="51"/>
      <c r="I271" s="52"/>
      <c r="J271" s="52"/>
      <c r="K271" s="52"/>
      <c r="L271" s="53"/>
      <c r="O271" s="6"/>
      <c r="P271" s="6"/>
      <c r="Q271" s="9"/>
      <c r="S271" s="54"/>
      <c r="T271" s="54"/>
    </row>
    <row r="272">
      <c r="E272" s="50"/>
      <c r="F272" s="50"/>
      <c r="G272" s="50"/>
      <c r="H272" s="51"/>
      <c r="I272" s="52"/>
      <c r="J272" s="52"/>
      <c r="K272" s="52"/>
      <c r="L272" s="53"/>
      <c r="O272" s="6"/>
      <c r="P272" s="6"/>
      <c r="Q272" s="9"/>
      <c r="S272" s="54"/>
      <c r="T272" s="54"/>
    </row>
    <row r="273">
      <c r="E273" s="50"/>
      <c r="F273" s="50"/>
      <c r="G273" s="50"/>
      <c r="H273" s="51"/>
      <c r="I273" s="52"/>
      <c r="J273" s="52"/>
      <c r="K273" s="52"/>
      <c r="L273" s="53"/>
      <c r="O273" s="6"/>
      <c r="P273" s="6"/>
      <c r="Q273" s="9"/>
      <c r="S273" s="54"/>
      <c r="T273" s="54"/>
    </row>
    <row r="274">
      <c r="E274" s="50"/>
      <c r="F274" s="50"/>
      <c r="G274" s="50"/>
      <c r="H274" s="51"/>
      <c r="I274" s="52"/>
      <c r="J274" s="52"/>
      <c r="K274" s="52"/>
      <c r="L274" s="53"/>
      <c r="O274" s="6"/>
      <c r="P274" s="6"/>
      <c r="Q274" s="9"/>
      <c r="S274" s="54"/>
      <c r="T274" s="54"/>
    </row>
    <row r="275">
      <c r="E275" s="50"/>
      <c r="F275" s="50"/>
      <c r="G275" s="50"/>
      <c r="H275" s="51"/>
      <c r="I275" s="52"/>
      <c r="J275" s="52"/>
      <c r="K275" s="52"/>
      <c r="L275" s="53"/>
      <c r="O275" s="6"/>
      <c r="P275" s="6"/>
      <c r="Q275" s="9"/>
      <c r="S275" s="54"/>
      <c r="T275" s="54"/>
    </row>
    <row r="276">
      <c r="E276" s="50"/>
      <c r="F276" s="50"/>
      <c r="G276" s="50"/>
      <c r="H276" s="51"/>
      <c r="I276" s="52"/>
      <c r="J276" s="52"/>
      <c r="K276" s="52"/>
      <c r="L276" s="53"/>
      <c r="O276" s="6"/>
      <c r="P276" s="6"/>
      <c r="Q276" s="9"/>
      <c r="S276" s="54"/>
      <c r="T276" s="54"/>
    </row>
    <row r="277">
      <c r="E277" s="50"/>
      <c r="F277" s="50"/>
      <c r="G277" s="50"/>
      <c r="H277" s="51"/>
      <c r="I277" s="52"/>
      <c r="J277" s="52"/>
      <c r="K277" s="52"/>
      <c r="L277" s="53"/>
      <c r="O277" s="6"/>
      <c r="P277" s="6"/>
      <c r="Q277" s="9"/>
      <c r="S277" s="54"/>
      <c r="T277" s="54"/>
    </row>
    <row r="278">
      <c r="E278" s="50"/>
      <c r="F278" s="50"/>
      <c r="G278" s="50"/>
      <c r="H278" s="51"/>
      <c r="I278" s="52"/>
      <c r="J278" s="52"/>
      <c r="K278" s="52"/>
      <c r="L278" s="53"/>
      <c r="O278" s="6"/>
      <c r="P278" s="6"/>
      <c r="Q278" s="9"/>
      <c r="S278" s="54"/>
      <c r="T278" s="54"/>
    </row>
    <row r="279">
      <c r="E279" s="50"/>
      <c r="F279" s="50"/>
      <c r="G279" s="50"/>
      <c r="H279" s="51"/>
      <c r="I279" s="52"/>
      <c r="J279" s="52"/>
      <c r="K279" s="52"/>
      <c r="L279" s="53"/>
      <c r="O279" s="6"/>
      <c r="P279" s="6"/>
      <c r="Q279" s="9"/>
      <c r="S279" s="54"/>
      <c r="T279" s="54"/>
    </row>
    <row r="280">
      <c r="E280" s="50"/>
      <c r="F280" s="50"/>
      <c r="G280" s="50"/>
      <c r="H280" s="51"/>
      <c r="I280" s="52"/>
      <c r="J280" s="52"/>
      <c r="K280" s="52"/>
      <c r="L280" s="53"/>
      <c r="O280" s="6"/>
      <c r="P280" s="6"/>
      <c r="Q280" s="9"/>
      <c r="S280" s="54"/>
      <c r="T280" s="54"/>
    </row>
    <row r="281">
      <c r="E281" s="50"/>
      <c r="F281" s="50"/>
      <c r="G281" s="50"/>
      <c r="H281" s="51"/>
      <c r="I281" s="52"/>
      <c r="J281" s="52"/>
      <c r="K281" s="52"/>
      <c r="L281" s="53"/>
      <c r="O281" s="6"/>
      <c r="P281" s="6"/>
      <c r="Q281" s="9"/>
      <c r="S281" s="54"/>
      <c r="T281" s="54"/>
    </row>
    <row r="282">
      <c r="E282" s="50"/>
      <c r="F282" s="50"/>
      <c r="G282" s="50"/>
      <c r="H282" s="51"/>
      <c r="I282" s="52"/>
      <c r="J282" s="52"/>
      <c r="K282" s="52"/>
      <c r="L282" s="53"/>
      <c r="O282" s="6"/>
      <c r="P282" s="6"/>
      <c r="Q282" s="9"/>
      <c r="S282" s="54"/>
      <c r="T282" s="54"/>
    </row>
    <row r="283">
      <c r="E283" s="50"/>
      <c r="F283" s="50"/>
      <c r="G283" s="50"/>
      <c r="H283" s="51"/>
      <c r="I283" s="52"/>
      <c r="J283" s="52"/>
      <c r="K283" s="52"/>
      <c r="L283" s="53"/>
      <c r="O283" s="6"/>
      <c r="P283" s="6"/>
      <c r="Q283" s="9"/>
      <c r="S283" s="54"/>
      <c r="T283" s="54"/>
    </row>
    <row r="284">
      <c r="E284" s="50"/>
      <c r="F284" s="50"/>
      <c r="G284" s="50"/>
      <c r="H284" s="51"/>
      <c r="I284" s="52"/>
      <c r="J284" s="52"/>
      <c r="K284" s="52"/>
      <c r="L284" s="53"/>
      <c r="O284" s="6"/>
      <c r="P284" s="6"/>
      <c r="Q284" s="9"/>
      <c r="S284" s="54"/>
      <c r="T284" s="54"/>
    </row>
    <row r="285">
      <c r="E285" s="50"/>
      <c r="F285" s="50"/>
      <c r="G285" s="50"/>
      <c r="H285" s="51"/>
      <c r="I285" s="52"/>
      <c r="J285" s="52"/>
      <c r="K285" s="52"/>
      <c r="L285" s="53"/>
      <c r="O285" s="6"/>
      <c r="P285" s="6"/>
      <c r="Q285" s="9"/>
      <c r="S285" s="54"/>
      <c r="T285" s="54"/>
    </row>
    <row r="286">
      <c r="E286" s="50"/>
      <c r="F286" s="50"/>
      <c r="G286" s="50"/>
      <c r="H286" s="51"/>
      <c r="I286" s="52"/>
      <c r="J286" s="52"/>
      <c r="K286" s="52"/>
      <c r="L286" s="53"/>
      <c r="O286" s="6"/>
      <c r="P286" s="6"/>
      <c r="Q286" s="9"/>
      <c r="S286" s="54"/>
      <c r="T286" s="54"/>
    </row>
    <row r="287">
      <c r="E287" s="50"/>
      <c r="F287" s="50"/>
      <c r="G287" s="50"/>
      <c r="H287" s="51"/>
      <c r="I287" s="52"/>
      <c r="J287" s="52"/>
      <c r="K287" s="52"/>
      <c r="L287" s="53"/>
      <c r="O287" s="6"/>
      <c r="P287" s="6"/>
      <c r="Q287" s="9"/>
      <c r="S287" s="54"/>
      <c r="T287" s="54"/>
    </row>
    <row r="288">
      <c r="E288" s="50"/>
      <c r="F288" s="50"/>
      <c r="G288" s="50"/>
      <c r="H288" s="51"/>
      <c r="I288" s="52"/>
      <c r="J288" s="52"/>
      <c r="K288" s="52"/>
      <c r="L288" s="53"/>
      <c r="O288" s="6"/>
      <c r="P288" s="6"/>
      <c r="Q288" s="9"/>
      <c r="S288" s="54"/>
      <c r="T288" s="54"/>
    </row>
    <row r="289">
      <c r="E289" s="50"/>
      <c r="F289" s="50"/>
      <c r="G289" s="50"/>
      <c r="H289" s="51"/>
      <c r="I289" s="52"/>
      <c r="J289" s="52"/>
      <c r="K289" s="52"/>
      <c r="L289" s="53"/>
      <c r="O289" s="6"/>
      <c r="P289" s="6"/>
      <c r="Q289" s="9"/>
      <c r="S289" s="54"/>
      <c r="T289" s="54"/>
    </row>
    <row r="290">
      <c r="E290" s="50"/>
      <c r="F290" s="50"/>
      <c r="G290" s="50"/>
      <c r="H290" s="51"/>
      <c r="I290" s="52"/>
      <c r="J290" s="52"/>
      <c r="K290" s="52"/>
      <c r="L290" s="53"/>
      <c r="O290" s="6"/>
      <c r="P290" s="6"/>
      <c r="Q290" s="9"/>
      <c r="S290" s="54"/>
      <c r="T290" s="54"/>
    </row>
    <row r="291">
      <c r="E291" s="50"/>
      <c r="F291" s="50"/>
      <c r="G291" s="50"/>
      <c r="H291" s="51"/>
      <c r="I291" s="52"/>
      <c r="J291" s="52"/>
      <c r="K291" s="52"/>
      <c r="L291" s="53"/>
      <c r="O291" s="6"/>
      <c r="P291" s="6"/>
      <c r="Q291" s="9"/>
      <c r="S291" s="54"/>
      <c r="T291" s="54"/>
    </row>
    <row r="292">
      <c r="E292" s="50"/>
      <c r="F292" s="50"/>
      <c r="G292" s="50"/>
      <c r="H292" s="51"/>
      <c r="I292" s="52"/>
      <c r="J292" s="52"/>
      <c r="K292" s="52"/>
      <c r="L292" s="53"/>
      <c r="O292" s="6"/>
      <c r="P292" s="6"/>
      <c r="Q292" s="9"/>
      <c r="S292" s="54"/>
      <c r="T292" s="54"/>
    </row>
    <row r="293">
      <c r="E293" s="50"/>
      <c r="F293" s="50"/>
      <c r="G293" s="50"/>
      <c r="H293" s="51"/>
      <c r="I293" s="52"/>
      <c r="J293" s="52"/>
      <c r="K293" s="52"/>
      <c r="L293" s="53"/>
      <c r="O293" s="6"/>
      <c r="P293" s="6"/>
      <c r="Q293" s="9"/>
      <c r="S293" s="54"/>
      <c r="T293" s="54"/>
    </row>
    <row r="294">
      <c r="E294" s="50"/>
      <c r="F294" s="50"/>
      <c r="G294" s="50"/>
      <c r="H294" s="51"/>
      <c r="I294" s="52"/>
      <c r="J294" s="52"/>
      <c r="K294" s="52"/>
      <c r="L294" s="53"/>
      <c r="O294" s="6"/>
      <c r="P294" s="6"/>
      <c r="Q294" s="9"/>
      <c r="S294" s="54"/>
      <c r="T294" s="54"/>
    </row>
    <row r="295">
      <c r="E295" s="50"/>
      <c r="F295" s="50"/>
      <c r="G295" s="50"/>
      <c r="H295" s="51"/>
      <c r="I295" s="52"/>
      <c r="J295" s="52"/>
      <c r="K295" s="52"/>
      <c r="L295" s="53"/>
      <c r="O295" s="6"/>
      <c r="P295" s="6"/>
      <c r="Q295" s="9"/>
      <c r="S295" s="54"/>
      <c r="T295" s="54"/>
    </row>
    <row r="296">
      <c r="E296" s="50"/>
      <c r="F296" s="50"/>
      <c r="G296" s="50"/>
      <c r="H296" s="51"/>
      <c r="I296" s="52"/>
      <c r="J296" s="52"/>
      <c r="K296" s="52"/>
      <c r="L296" s="53"/>
      <c r="O296" s="6"/>
      <c r="P296" s="6"/>
      <c r="Q296" s="9"/>
      <c r="S296" s="54"/>
      <c r="T296" s="54"/>
    </row>
    <row r="297">
      <c r="E297" s="50"/>
      <c r="F297" s="50"/>
      <c r="G297" s="50"/>
      <c r="H297" s="51"/>
      <c r="I297" s="52"/>
      <c r="J297" s="52"/>
      <c r="K297" s="52"/>
      <c r="L297" s="53"/>
      <c r="O297" s="6"/>
      <c r="P297" s="6"/>
      <c r="Q297" s="9"/>
      <c r="S297" s="54"/>
      <c r="T297" s="54"/>
    </row>
    <row r="298">
      <c r="E298" s="50"/>
      <c r="F298" s="50"/>
      <c r="G298" s="50"/>
      <c r="H298" s="51"/>
      <c r="I298" s="52"/>
      <c r="J298" s="52"/>
      <c r="K298" s="52"/>
      <c r="L298" s="53"/>
      <c r="O298" s="6"/>
      <c r="P298" s="6"/>
      <c r="Q298" s="9"/>
      <c r="S298" s="54"/>
      <c r="T298" s="54"/>
    </row>
    <row r="299">
      <c r="E299" s="50"/>
      <c r="F299" s="50"/>
      <c r="G299" s="50"/>
      <c r="H299" s="51"/>
      <c r="I299" s="52"/>
      <c r="J299" s="52"/>
      <c r="K299" s="52"/>
      <c r="L299" s="53"/>
      <c r="O299" s="6"/>
      <c r="P299" s="6"/>
      <c r="Q299" s="9"/>
      <c r="S299" s="54"/>
      <c r="T299" s="54"/>
    </row>
    <row r="300">
      <c r="E300" s="50"/>
      <c r="F300" s="50"/>
      <c r="G300" s="50"/>
      <c r="H300" s="51"/>
      <c r="I300" s="52"/>
      <c r="J300" s="52"/>
      <c r="K300" s="52"/>
      <c r="L300" s="53"/>
      <c r="O300" s="6"/>
      <c r="P300" s="6"/>
      <c r="Q300" s="9"/>
      <c r="S300" s="54"/>
      <c r="T300" s="54"/>
    </row>
    <row r="301">
      <c r="E301" s="50"/>
      <c r="F301" s="50"/>
      <c r="G301" s="50"/>
      <c r="H301" s="51"/>
      <c r="I301" s="52"/>
      <c r="J301" s="52"/>
      <c r="K301" s="52"/>
      <c r="L301" s="53"/>
      <c r="O301" s="6"/>
      <c r="P301" s="6"/>
      <c r="Q301" s="9"/>
      <c r="S301" s="54"/>
      <c r="T301" s="54"/>
    </row>
    <row r="302">
      <c r="E302" s="50"/>
      <c r="F302" s="50"/>
      <c r="G302" s="50"/>
      <c r="H302" s="51"/>
      <c r="I302" s="52"/>
      <c r="J302" s="52"/>
      <c r="K302" s="52"/>
      <c r="L302" s="53"/>
      <c r="O302" s="6"/>
      <c r="P302" s="6"/>
      <c r="Q302" s="9"/>
      <c r="S302" s="54"/>
      <c r="T302" s="54"/>
    </row>
    <row r="303">
      <c r="E303" s="50"/>
      <c r="F303" s="50"/>
      <c r="G303" s="50"/>
      <c r="H303" s="51"/>
      <c r="I303" s="52"/>
      <c r="J303" s="52"/>
      <c r="K303" s="52"/>
      <c r="L303" s="53"/>
      <c r="O303" s="6"/>
      <c r="P303" s="6"/>
      <c r="Q303" s="9"/>
      <c r="S303" s="54"/>
      <c r="T303" s="54"/>
    </row>
    <row r="304">
      <c r="E304" s="50"/>
      <c r="F304" s="50"/>
      <c r="G304" s="50"/>
      <c r="H304" s="51"/>
      <c r="I304" s="52"/>
      <c r="J304" s="52"/>
      <c r="K304" s="52"/>
      <c r="L304" s="53"/>
      <c r="O304" s="6"/>
      <c r="P304" s="6"/>
      <c r="Q304" s="9"/>
      <c r="S304" s="54"/>
      <c r="T304" s="54"/>
    </row>
    <row r="305">
      <c r="E305" s="50"/>
      <c r="F305" s="50"/>
      <c r="G305" s="50"/>
      <c r="H305" s="51"/>
      <c r="I305" s="52"/>
      <c r="J305" s="52"/>
      <c r="K305" s="52"/>
      <c r="L305" s="53"/>
      <c r="O305" s="6"/>
      <c r="P305" s="6"/>
      <c r="Q305" s="9"/>
      <c r="S305" s="54"/>
      <c r="T305" s="54"/>
    </row>
    <row r="306">
      <c r="E306" s="50"/>
      <c r="F306" s="50"/>
      <c r="G306" s="50"/>
      <c r="H306" s="51"/>
      <c r="I306" s="52"/>
      <c r="J306" s="52"/>
      <c r="K306" s="52"/>
      <c r="L306" s="53"/>
      <c r="O306" s="6"/>
      <c r="P306" s="6"/>
      <c r="Q306" s="9"/>
      <c r="S306" s="54"/>
      <c r="T306" s="54"/>
    </row>
    <row r="307">
      <c r="E307" s="50"/>
      <c r="F307" s="50"/>
      <c r="G307" s="50"/>
      <c r="H307" s="51"/>
      <c r="I307" s="52"/>
      <c r="J307" s="52"/>
      <c r="K307" s="52"/>
      <c r="L307" s="53"/>
      <c r="O307" s="6"/>
      <c r="P307" s="6"/>
      <c r="Q307" s="9"/>
      <c r="S307" s="54"/>
      <c r="T307" s="54"/>
    </row>
    <row r="308">
      <c r="E308" s="50"/>
      <c r="F308" s="50"/>
      <c r="G308" s="50"/>
      <c r="H308" s="51"/>
      <c r="I308" s="52"/>
      <c r="J308" s="52"/>
      <c r="K308" s="52"/>
      <c r="L308" s="53"/>
      <c r="O308" s="6"/>
      <c r="P308" s="6"/>
      <c r="Q308" s="9"/>
      <c r="S308" s="54"/>
      <c r="T308" s="54"/>
    </row>
    <row r="309">
      <c r="E309" s="50"/>
      <c r="F309" s="50"/>
      <c r="G309" s="50"/>
      <c r="H309" s="51"/>
      <c r="I309" s="52"/>
      <c r="J309" s="52"/>
      <c r="K309" s="52"/>
      <c r="L309" s="53"/>
      <c r="O309" s="6"/>
      <c r="P309" s="6"/>
      <c r="Q309" s="9"/>
      <c r="S309" s="54"/>
      <c r="T309" s="54"/>
    </row>
    <row r="310">
      <c r="E310" s="50"/>
      <c r="F310" s="50"/>
      <c r="G310" s="50"/>
      <c r="H310" s="51"/>
      <c r="I310" s="52"/>
      <c r="J310" s="52"/>
      <c r="K310" s="52"/>
      <c r="L310" s="53"/>
      <c r="O310" s="6"/>
      <c r="P310" s="6"/>
      <c r="Q310" s="9"/>
      <c r="S310" s="54"/>
      <c r="T310" s="54"/>
    </row>
    <row r="311">
      <c r="E311" s="50"/>
      <c r="F311" s="50"/>
      <c r="G311" s="50"/>
      <c r="H311" s="51"/>
      <c r="I311" s="52"/>
      <c r="J311" s="52"/>
      <c r="K311" s="52"/>
      <c r="L311" s="53"/>
      <c r="O311" s="6"/>
      <c r="P311" s="6"/>
      <c r="Q311" s="9"/>
      <c r="S311" s="54"/>
      <c r="T311" s="54"/>
    </row>
    <row r="312">
      <c r="E312" s="50"/>
      <c r="F312" s="50"/>
      <c r="G312" s="50"/>
      <c r="H312" s="51"/>
      <c r="I312" s="52"/>
      <c r="J312" s="52"/>
      <c r="K312" s="52"/>
      <c r="L312" s="53"/>
      <c r="O312" s="6"/>
      <c r="P312" s="6"/>
      <c r="Q312" s="9"/>
      <c r="S312" s="54"/>
      <c r="T312" s="54"/>
    </row>
    <row r="313">
      <c r="E313" s="50"/>
      <c r="F313" s="50"/>
      <c r="G313" s="50"/>
      <c r="H313" s="51"/>
      <c r="I313" s="52"/>
      <c r="J313" s="52"/>
      <c r="K313" s="52"/>
      <c r="L313" s="53"/>
      <c r="O313" s="6"/>
      <c r="P313" s="6"/>
      <c r="Q313" s="9"/>
      <c r="S313" s="54"/>
      <c r="T313" s="54"/>
    </row>
    <row r="314">
      <c r="E314" s="50"/>
      <c r="F314" s="50"/>
      <c r="G314" s="50"/>
      <c r="H314" s="51"/>
      <c r="I314" s="52"/>
      <c r="J314" s="52"/>
      <c r="K314" s="52"/>
      <c r="L314" s="53"/>
      <c r="O314" s="6"/>
      <c r="P314" s="6"/>
      <c r="Q314" s="9"/>
      <c r="S314" s="54"/>
      <c r="T314" s="54"/>
    </row>
    <row r="315">
      <c r="E315" s="50"/>
      <c r="F315" s="50"/>
      <c r="G315" s="50"/>
      <c r="H315" s="51"/>
      <c r="I315" s="52"/>
      <c r="J315" s="52"/>
      <c r="K315" s="52"/>
      <c r="L315" s="53"/>
      <c r="O315" s="6"/>
      <c r="P315" s="6"/>
      <c r="Q315" s="9"/>
      <c r="S315" s="54"/>
      <c r="T315" s="54"/>
    </row>
    <row r="316">
      <c r="E316" s="50"/>
      <c r="F316" s="50"/>
      <c r="G316" s="50"/>
      <c r="H316" s="51"/>
      <c r="I316" s="52"/>
      <c r="J316" s="52"/>
      <c r="K316" s="52"/>
      <c r="L316" s="53"/>
      <c r="O316" s="6"/>
      <c r="P316" s="6"/>
      <c r="Q316" s="9"/>
      <c r="S316" s="54"/>
      <c r="T316" s="54"/>
    </row>
    <row r="317">
      <c r="E317" s="50"/>
      <c r="F317" s="50"/>
      <c r="G317" s="50"/>
      <c r="H317" s="51"/>
      <c r="I317" s="52"/>
      <c r="J317" s="52"/>
      <c r="K317" s="52"/>
      <c r="L317" s="53"/>
      <c r="O317" s="6"/>
      <c r="P317" s="6"/>
      <c r="Q317" s="9"/>
      <c r="S317" s="54"/>
      <c r="T317" s="54"/>
    </row>
    <row r="318">
      <c r="E318" s="50"/>
      <c r="F318" s="50"/>
      <c r="G318" s="50"/>
      <c r="H318" s="51"/>
      <c r="I318" s="52"/>
      <c r="J318" s="52"/>
      <c r="K318" s="52"/>
      <c r="L318" s="53"/>
      <c r="O318" s="6"/>
      <c r="P318" s="6"/>
      <c r="Q318" s="9"/>
      <c r="S318" s="54"/>
      <c r="T318" s="54"/>
    </row>
    <row r="319">
      <c r="E319" s="50"/>
      <c r="F319" s="50"/>
      <c r="G319" s="50"/>
      <c r="H319" s="51"/>
      <c r="I319" s="52"/>
      <c r="J319" s="52"/>
      <c r="K319" s="52"/>
      <c r="L319" s="53"/>
      <c r="O319" s="6"/>
      <c r="P319" s="6"/>
      <c r="Q319" s="9"/>
      <c r="S319" s="54"/>
      <c r="T319" s="54"/>
    </row>
    <row r="320">
      <c r="E320" s="50"/>
      <c r="F320" s="50"/>
      <c r="G320" s="50"/>
      <c r="H320" s="51"/>
      <c r="I320" s="52"/>
      <c r="J320" s="52"/>
      <c r="K320" s="52"/>
      <c r="L320" s="53"/>
      <c r="O320" s="6"/>
      <c r="P320" s="6"/>
      <c r="Q320" s="9"/>
      <c r="S320" s="54"/>
      <c r="T320" s="54"/>
    </row>
    <row r="321">
      <c r="E321" s="50"/>
      <c r="F321" s="50"/>
      <c r="G321" s="50"/>
      <c r="H321" s="51"/>
      <c r="I321" s="52"/>
      <c r="J321" s="52"/>
      <c r="K321" s="52"/>
      <c r="L321" s="53"/>
      <c r="O321" s="6"/>
      <c r="P321" s="6"/>
      <c r="Q321" s="9"/>
      <c r="S321" s="54"/>
      <c r="T321" s="54"/>
    </row>
    <row r="322">
      <c r="E322" s="50"/>
      <c r="F322" s="50"/>
      <c r="G322" s="50"/>
      <c r="H322" s="51"/>
      <c r="I322" s="52"/>
      <c r="J322" s="52"/>
      <c r="K322" s="52"/>
      <c r="L322" s="53"/>
      <c r="O322" s="6"/>
      <c r="P322" s="6"/>
      <c r="Q322" s="9"/>
      <c r="S322" s="54"/>
      <c r="T322" s="54"/>
    </row>
    <row r="323">
      <c r="E323" s="50"/>
      <c r="F323" s="50"/>
      <c r="G323" s="50"/>
      <c r="H323" s="51"/>
      <c r="I323" s="52"/>
      <c r="J323" s="52"/>
      <c r="K323" s="52"/>
      <c r="L323" s="53"/>
      <c r="O323" s="6"/>
      <c r="P323" s="6"/>
      <c r="Q323" s="9"/>
      <c r="S323" s="54"/>
      <c r="T323" s="54"/>
    </row>
    <row r="324">
      <c r="E324" s="50"/>
      <c r="F324" s="50"/>
      <c r="G324" s="50"/>
      <c r="H324" s="51"/>
      <c r="I324" s="52"/>
      <c r="J324" s="52"/>
      <c r="K324" s="52"/>
      <c r="L324" s="53"/>
      <c r="O324" s="6"/>
      <c r="P324" s="6"/>
      <c r="Q324" s="9"/>
      <c r="S324" s="54"/>
      <c r="T324" s="54"/>
    </row>
    <row r="325">
      <c r="E325" s="50"/>
      <c r="F325" s="50"/>
      <c r="G325" s="50"/>
      <c r="H325" s="51"/>
      <c r="I325" s="52"/>
      <c r="J325" s="52"/>
      <c r="K325" s="52"/>
      <c r="L325" s="53"/>
      <c r="O325" s="6"/>
      <c r="P325" s="6"/>
      <c r="Q325" s="9"/>
      <c r="S325" s="54"/>
      <c r="T325" s="54"/>
    </row>
    <row r="326">
      <c r="E326" s="50"/>
      <c r="F326" s="50"/>
      <c r="G326" s="50"/>
      <c r="H326" s="51"/>
      <c r="I326" s="52"/>
      <c r="J326" s="52"/>
      <c r="K326" s="52"/>
      <c r="L326" s="53"/>
      <c r="O326" s="6"/>
      <c r="P326" s="6"/>
      <c r="Q326" s="9"/>
      <c r="S326" s="54"/>
      <c r="T326" s="54"/>
    </row>
    <row r="327">
      <c r="E327" s="50"/>
      <c r="F327" s="50"/>
      <c r="G327" s="50"/>
      <c r="H327" s="51"/>
      <c r="I327" s="52"/>
      <c r="J327" s="52"/>
      <c r="K327" s="52"/>
      <c r="L327" s="53"/>
      <c r="O327" s="6"/>
      <c r="P327" s="6"/>
      <c r="Q327" s="9"/>
      <c r="S327" s="54"/>
      <c r="T327" s="54"/>
    </row>
    <row r="328">
      <c r="E328" s="50"/>
      <c r="F328" s="50"/>
      <c r="G328" s="50"/>
      <c r="H328" s="51"/>
      <c r="I328" s="52"/>
      <c r="J328" s="52"/>
      <c r="K328" s="52"/>
      <c r="L328" s="53"/>
      <c r="O328" s="6"/>
      <c r="P328" s="6"/>
      <c r="Q328" s="9"/>
      <c r="S328" s="54"/>
      <c r="T328" s="54"/>
    </row>
    <row r="329">
      <c r="E329" s="50"/>
      <c r="F329" s="50"/>
      <c r="G329" s="50"/>
      <c r="H329" s="51"/>
      <c r="I329" s="52"/>
      <c r="J329" s="52"/>
      <c r="K329" s="52"/>
      <c r="L329" s="53"/>
      <c r="O329" s="6"/>
      <c r="P329" s="6"/>
      <c r="Q329" s="9"/>
      <c r="S329" s="54"/>
      <c r="T329" s="54"/>
    </row>
    <row r="330">
      <c r="E330" s="50"/>
      <c r="F330" s="50"/>
      <c r="G330" s="50"/>
      <c r="H330" s="51"/>
      <c r="I330" s="52"/>
      <c r="J330" s="52"/>
      <c r="K330" s="52"/>
      <c r="L330" s="53"/>
      <c r="O330" s="6"/>
      <c r="P330" s="6"/>
      <c r="Q330" s="9"/>
      <c r="S330" s="54"/>
      <c r="T330" s="54"/>
    </row>
    <row r="331">
      <c r="E331" s="50"/>
      <c r="F331" s="50"/>
      <c r="G331" s="50"/>
      <c r="H331" s="51"/>
      <c r="I331" s="52"/>
      <c r="J331" s="52"/>
      <c r="K331" s="52"/>
      <c r="L331" s="53"/>
      <c r="O331" s="6"/>
      <c r="P331" s="6"/>
      <c r="Q331" s="9"/>
      <c r="S331" s="54"/>
      <c r="T331" s="54"/>
    </row>
    <row r="332">
      <c r="E332" s="50"/>
      <c r="F332" s="50"/>
      <c r="G332" s="50"/>
      <c r="H332" s="51"/>
      <c r="I332" s="52"/>
      <c r="J332" s="52"/>
      <c r="K332" s="52"/>
      <c r="L332" s="53"/>
      <c r="O332" s="6"/>
      <c r="P332" s="6"/>
      <c r="Q332" s="9"/>
      <c r="S332" s="54"/>
      <c r="T332" s="54"/>
    </row>
    <row r="333">
      <c r="E333" s="50"/>
      <c r="F333" s="50"/>
      <c r="G333" s="50"/>
      <c r="H333" s="51"/>
      <c r="I333" s="52"/>
      <c r="J333" s="52"/>
      <c r="K333" s="52"/>
      <c r="L333" s="53"/>
      <c r="O333" s="6"/>
      <c r="P333" s="6"/>
      <c r="Q333" s="9"/>
      <c r="S333" s="54"/>
      <c r="T333" s="54"/>
    </row>
    <row r="334">
      <c r="E334" s="50"/>
      <c r="F334" s="50"/>
      <c r="G334" s="50"/>
      <c r="H334" s="51"/>
      <c r="I334" s="52"/>
      <c r="J334" s="52"/>
      <c r="K334" s="52"/>
      <c r="L334" s="53"/>
      <c r="O334" s="6"/>
      <c r="P334" s="6"/>
      <c r="Q334" s="9"/>
      <c r="S334" s="54"/>
      <c r="T334" s="54"/>
    </row>
    <row r="335">
      <c r="E335" s="50"/>
      <c r="F335" s="50"/>
      <c r="G335" s="50"/>
      <c r="H335" s="51"/>
      <c r="I335" s="52"/>
      <c r="J335" s="52"/>
      <c r="K335" s="52"/>
      <c r="L335" s="53"/>
      <c r="O335" s="6"/>
      <c r="P335" s="6"/>
      <c r="Q335" s="9"/>
      <c r="S335" s="54"/>
      <c r="T335" s="54"/>
    </row>
    <row r="336">
      <c r="E336" s="50"/>
      <c r="F336" s="50"/>
      <c r="G336" s="50"/>
      <c r="H336" s="51"/>
      <c r="I336" s="52"/>
      <c r="J336" s="52"/>
      <c r="K336" s="52"/>
      <c r="L336" s="53"/>
      <c r="O336" s="6"/>
      <c r="P336" s="6"/>
      <c r="Q336" s="9"/>
      <c r="S336" s="54"/>
      <c r="T336" s="54"/>
    </row>
    <row r="337">
      <c r="E337" s="50"/>
      <c r="F337" s="50"/>
      <c r="G337" s="50"/>
      <c r="H337" s="51"/>
      <c r="I337" s="52"/>
      <c r="J337" s="52"/>
      <c r="K337" s="52"/>
      <c r="L337" s="53"/>
      <c r="O337" s="6"/>
      <c r="P337" s="6"/>
      <c r="Q337" s="9"/>
      <c r="S337" s="54"/>
      <c r="T337" s="54"/>
    </row>
    <row r="338">
      <c r="E338" s="50"/>
      <c r="F338" s="50"/>
      <c r="G338" s="50"/>
      <c r="H338" s="51"/>
      <c r="I338" s="52"/>
      <c r="J338" s="52"/>
      <c r="K338" s="52"/>
      <c r="L338" s="53"/>
      <c r="O338" s="6"/>
      <c r="P338" s="6"/>
      <c r="Q338" s="9"/>
      <c r="S338" s="54"/>
      <c r="T338" s="54"/>
    </row>
    <row r="339">
      <c r="E339" s="50"/>
      <c r="F339" s="50"/>
      <c r="G339" s="50"/>
      <c r="H339" s="51"/>
      <c r="I339" s="52"/>
      <c r="J339" s="52"/>
      <c r="K339" s="52"/>
      <c r="L339" s="53"/>
      <c r="O339" s="6"/>
      <c r="P339" s="6"/>
      <c r="Q339" s="9"/>
      <c r="S339" s="54"/>
      <c r="T339" s="54"/>
    </row>
    <row r="340">
      <c r="E340" s="50"/>
      <c r="F340" s="50"/>
      <c r="G340" s="50"/>
      <c r="H340" s="51"/>
      <c r="I340" s="52"/>
      <c r="J340" s="52"/>
      <c r="K340" s="52"/>
      <c r="L340" s="53"/>
      <c r="O340" s="6"/>
      <c r="P340" s="6"/>
      <c r="Q340" s="9"/>
      <c r="S340" s="54"/>
      <c r="T340" s="54"/>
    </row>
    <row r="341">
      <c r="E341" s="50"/>
      <c r="F341" s="50"/>
      <c r="G341" s="50"/>
      <c r="H341" s="51"/>
      <c r="I341" s="52"/>
      <c r="J341" s="52"/>
      <c r="K341" s="52"/>
      <c r="L341" s="53"/>
      <c r="O341" s="6"/>
      <c r="P341" s="6"/>
      <c r="Q341" s="9"/>
      <c r="S341" s="54"/>
      <c r="T341" s="54"/>
    </row>
    <row r="342">
      <c r="E342" s="50"/>
      <c r="F342" s="50"/>
      <c r="G342" s="50"/>
      <c r="H342" s="51"/>
      <c r="I342" s="52"/>
      <c r="J342" s="52"/>
      <c r="K342" s="52"/>
      <c r="L342" s="53"/>
      <c r="O342" s="6"/>
      <c r="P342" s="6"/>
      <c r="Q342" s="9"/>
      <c r="S342" s="54"/>
      <c r="T342" s="54"/>
    </row>
    <row r="343">
      <c r="E343" s="50"/>
      <c r="F343" s="50"/>
      <c r="G343" s="50"/>
      <c r="H343" s="51"/>
      <c r="I343" s="52"/>
      <c r="J343" s="52"/>
      <c r="K343" s="52"/>
      <c r="L343" s="53"/>
      <c r="O343" s="6"/>
      <c r="P343" s="6"/>
      <c r="Q343" s="9"/>
      <c r="S343" s="54"/>
      <c r="T343" s="54"/>
    </row>
    <row r="344">
      <c r="E344" s="50"/>
      <c r="F344" s="50"/>
      <c r="G344" s="50"/>
      <c r="H344" s="51"/>
      <c r="I344" s="52"/>
      <c r="J344" s="52"/>
      <c r="K344" s="52"/>
      <c r="L344" s="53"/>
      <c r="O344" s="6"/>
      <c r="P344" s="6"/>
      <c r="Q344" s="9"/>
      <c r="S344" s="54"/>
      <c r="T344" s="54"/>
    </row>
    <row r="345">
      <c r="E345" s="50"/>
      <c r="F345" s="50"/>
      <c r="G345" s="50"/>
      <c r="H345" s="51"/>
      <c r="I345" s="52"/>
      <c r="J345" s="52"/>
      <c r="K345" s="52"/>
      <c r="L345" s="53"/>
      <c r="O345" s="6"/>
      <c r="P345" s="6"/>
      <c r="Q345" s="9"/>
      <c r="S345" s="54"/>
      <c r="T345" s="54"/>
    </row>
    <row r="346">
      <c r="E346" s="50"/>
      <c r="F346" s="50"/>
      <c r="G346" s="50"/>
      <c r="H346" s="51"/>
      <c r="I346" s="52"/>
      <c r="J346" s="52"/>
      <c r="K346" s="52"/>
      <c r="L346" s="53"/>
      <c r="O346" s="6"/>
      <c r="P346" s="6"/>
      <c r="Q346" s="9"/>
      <c r="S346" s="54"/>
      <c r="T346" s="54"/>
    </row>
    <row r="347">
      <c r="E347" s="50"/>
      <c r="F347" s="50"/>
      <c r="G347" s="50"/>
      <c r="H347" s="51"/>
      <c r="I347" s="52"/>
      <c r="J347" s="52"/>
      <c r="K347" s="52"/>
      <c r="L347" s="53"/>
      <c r="O347" s="6"/>
      <c r="P347" s="6"/>
      <c r="Q347" s="9"/>
      <c r="S347" s="54"/>
      <c r="T347" s="54"/>
    </row>
    <row r="348">
      <c r="E348" s="50"/>
      <c r="F348" s="50"/>
      <c r="G348" s="50"/>
      <c r="H348" s="51"/>
      <c r="I348" s="52"/>
      <c r="J348" s="52"/>
      <c r="K348" s="52"/>
      <c r="L348" s="53"/>
      <c r="O348" s="6"/>
      <c r="P348" s="6"/>
      <c r="Q348" s="9"/>
      <c r="S348" s="54"/>
      <c r="T348" s="54"/>
    </row>
    <row r="349">
      <c r="E349" s="50"/>
      <c r="F349" s="50"/>
      <c r="G349" s="50"/>
      <c r="H349" s="51"/>
      <c r="I349" s="52"/>
      <c r="J349" s="52"/>
      <c r="K349" s="52"/>
      <c r="L349" s="53"/>
      <c r="O349" s="6"/>
      <c r="P349" s="6"/>
      <c r="Q349" s="9"/>
      <c r="S349" s="54"/>
      <c r="T349" s="54"/>
    </row>
    <row r="350">
      <c r="E350" s="50"/>
      <c r="F350" s="50"/>
      <c r="G350" s="50"/>
      <c r="H350" s="51"/>
      <c r="I350" s="52"/>
      <c r="J350" s="52"/>
      <c r="K350" s="52"/>
      <c r="L350" s="53"/>
      <c r="O350" s="6"/>
      <c r="P350" s="6"/>
      <c r="Q350" s="9"/>
      <c r="S350" s="54"/>
      <c r="T350" s="54"/>
    </row>
    <row r="351">
      <c r="E351" s="50"/>
      <c r="F351" s="50"/>
      <c r="G351" s="50"/>
      <c r="H351" s="51"/>
      <c r="I351" s="52"/>
      <c r="J351" s="52"/>
      <c r="K351" s="52"/>
      <c r="L351" s="53"/>
      <c r="O351" s="6"/>
      <c r="P351" s="6"/>
      <c r="Q351" s="9"/>
      <c r="S351" s="54"/>
      <c r="T351" s="54"/>
    </row>
    <row r="352">
      <c r="E352" s="50"/>
      <c r="F352" s="50"/>
      <c r="G352" s="50"/>
      <c r="H352" s="51"/>
      <c r="I352" s="52"/>
      <c r="J352" s="52"/>
      <c r="K352" s="52"/>
      <c r="L352" s="53"/>
      <c r="O352" s="6"/>
      <c r="P352" s="6"/>
      <c r="Q352" s="9"/>
      <c r="S352" s="54"/>
      <c r="T352" s="54"/>
    </row>
    <row r="353">
      <c r="E353" s="50"/>
      <c r="F353" s="50"/>
      <c r="G353" s="50"/>
      <c r="H353" s="51"/>
      <c r="I353" s="52"/>
      <c r="J353" s="52"/>
      <c r="K353" s="52"/>
      <c r="L353" s="53"/>
      <c r="O353" s="6"/>
      <c r="P353" s="6"/>
      <c r="Q353" s="9"/>
      <c r="S353" s="54"/>
      <c r="T353" s="54"/>
    </row>
    <row r="354">
      <c r="E354" s="50"/>
      <c r="F354" s="50"/>
      <c r="G354" s="50"/>
      <c r="H354" s="51"/>
      <c r="I354" s="52"/>
      <c r="J354" s="52"/>
      <c r="K354" s="52"/>
      <c r="L354" s="53"/>
      <c r="O354" s="6"/>
      <c r="P354" s="6"/>
      <c r="Q354" s="9"/>
      <c r="S354" s="54"/>
      <c r="T354" s="54"/>
    </row>
    <row r="355">
      <c r="E355" s="50"/>
      <c r="F355" s="50"/>
      <c r="G355" s="50"/>
      <c r="H355" s="51"/>
      <c r="I355" s="52"/>
      <c r="J355" s="52"/>
      <c r="K355" s="52"/>
      <c r="L355" s="53"/>
      <c r="O355" s="6"/>
      <c r="P355" s="6"/>
      <c r="Q355" s="9"/>
      <c r="S355" s="54"/>
      <c r="T355" s="54"/>
    </row>
    <row r="356">
      <c r="E356" s="50"/>
      <c r="F356" s="50"/>
      <c r="G356" s="50"/>
      <c r="H356" s="51"/>
      <c r="I356" s="52"/>
      <c r="J356" s="52"/>
      <c r="K356" s="52"/>
      <c r="L356" s="53"/>
      <c r="O356" s="6"/>
      <c r="P356" s="6"/>
      <c r="Q356" s="9"/>
      <c r="S356" s="54"/>
      <c r="T356" s="54"/>
    </row>
    <row r="357">
      <c r="E357" s="50"/>
      <c r="F357" s="50"/>
      <c r="G357" s="50"/>
      <c r="H357" s="51"/>
      <c r="I357" s="52"/>
      <c r="J357" s="52"/>
      <c r="K357" s="52"/>
      <c r="L357" s="53"/>
      <c r="O357" s="6"/>
      <c r="P357" s="6"/>
      <c r="Q357" s="9"/>
      <c r="S357" s="54"/>
      <c r="T357" s="54"/>
    </row>
    <row r="358">
      <c r="E358" s="50"/>
      <c r="F358" s="50"/>
      <c r="G358" s="50"/>
      <c r="H358" s="51"/>
      <c r="I358" s="52"/>
      <c r="J358" s="52"/>
      <c r="K358" s="52"/>
      <c r="L358" s="53"/>
      <c r="O358" s="6"/>
      <c r="P358" s="6"/>
      <c r="Q358" s="9"/>
      <c r="S358" s="54"/>
      <c r="T358" s="54"/>
    </row>
    <row r="359">
      <c r="E359" s="50"/>
      <c r="F359" s="50"/>
      <c r="G359" s="50"/>
      <c r="H359" s="51"/>
      <c r="I359" s="52"/>
      <c r="J359" s="52"/>
      <c r="K359" s="52"/>
      <c r="L359" s="53"/>
      <c r="O359" s="6"/>
      <c r="P359" s="6"/>
      <c r="Q359" s="9"/>
      <c r="S359" s="54"/>
      <c r="T359" s="54"/>
    </row>
    <row r="360">
      <c r="E360" s="50"/>
      <c r="F360" s="50"/>
      <c r="G360" s="50"/>
      <c r="H360" s="51"/>
      <c r="I360" s="52"/>
      <c r="J360" s="52"/>
      <c r="K360" s="52"/>
      <c r="L360" s="53"/>
      <c r="O360" s="6"/>
      <c r="P360" s="6"/>
      <c r="Q360" s="9"/>
      <c r="S360" s="54"/>
      <c r="T360" s="54"/>
    </row>
    <row r="361">
      <c r="E361" s="50"/>
      <c r="F361" s="50"/>
      <c r="G361" s="50"/>
      <c r="H361" s="51"/>
      <c r="I361" s="52"/>
      <c r="J361" s="52"/>
      <c r="K361" s="52"/>
      <c r="L361" s="53"/>
      <c r="O361" s="6"/>
      <c r="P361" s="6"/>
      <c r="Q361" s="9"/>
      <c r="S361" s="54"/>
      <c r="T361" s="54"/>
    </row>
    <row r="362">
      <c r="E362" s="50"/>
      <c r="F362" s="50"/>
      <c r="G362" s="50"/>
      <c r="H362" s="51"/>
      <c r="I362" s="52"/>
      <c r="J362" s="52"/>
      <c r="K362" s="52"/>
      <c r="L362" s="53"/>
      <c r="O362" s="6"/>
      <c r="P362" s="6"/>
      <c r="Q362" s="9"/>
      <c r="S362" s="54"/>
      <c r="T362" s="54"/>
    </row>
    <row r="363">
      <c r="E363" s="50"/>
      <c r="F363" s="50"/>
      <c r="G363" s="50"/>
      <c r="H363" s="51"/>
      <c r="I363" s="52"/>
      <c r="J363" s="52"/>
      <c r="K363" s="52"/>
      <c r="L363" s="53"/>
      <c r="O363" s="6"/>
      <c r="P363" s="6"/>
      <c r="Q363" s="9"/>
      <c r="S363" s="54"/>
      <c r="T363" s="54"/>
    </row>
    <row r="364">
      <c r="E364" s="50"/>
      <c r="F364" s="50"/>
      <c r="G364" s="50"/>
      <c r="H364" s="51"/>
      <c r="I364" s="52"/>
      <c r="J364" s="52"/>
      <c r="K364" s="52"/>
      <c r="L364" s="53"/>
      <c r="O364" s="6"/>
      <c r="P364" s="6"/>
      <c r="Q364" s="9"/>
      <c r="S364" s="54"/>
      <c r="T364" s="54"/>
    </row>
    <row r="365">
      <c r="E365" s="50"/>
      <c r="F365" s="50"/>
      <c r="G365" s="50"/>
      <c r="H365" s="51"/>
      <c r="I365" s="52"/>
      <c r="J365" s="52"/>
      <c r="K365" s="52"/>
      <c r="L365" s="53"/>
      <c r="O365" s="6"/>
      <c r="P365" s="6"/>
      <c r="Q365" s="9"/>
      <c r="S365" s="54"/>
      <c r="T365" s="54"/>
    </row>
    <row r="366">
      <c r="E366" s="50"/>
      <c r="F366" s="50"/>
      <c r="G366" s="50"/>
      <c r="H366" s="51"/>
      <c r="I366" s="52"/>
      <c r="J366" s="52"/>
      <c r="K366" s="52"/>
      <c r="L366" s="53"/>
      <c r="O366" s="6"/>
      <c r="P366" s="6"/>
      <c r="Q366" s="9"/>
      <c r="S366" s="54"/>
      <c r="T366" s="54"/>
    </row>
    <row r="367">
      <c r="E367" s="50"/>
      <c r="F367" s="50"/>
      <c r="G367" s="50"/>
      <c r="H367" s="51"/>
      <c r="I367" s="52"/>
      <c r="J367" s="52"/>
      <c r="K367" s="52"/>
      <c r="L367" s="53"/>
      <c r="O367" s="6"/>
      <c r="P367" s="6"/>
      <c r="Q367" s="9"/>
      <c r="S367" s="54"/>
      <c r="T367" s="54"/>
    </row>
    <row r="368">
      <c r="E368" s="50"/>
      <c r="F368" s="50"/>
      <c r="G368" s="50"/>
      <c r="H368" s="51"/>
      <c r="I368" s="52"/>
      <c r="J368" s="52"/>
      <c r="K368" s="52"/>
      <c r="L368" s="53"/>
      <c r="O368" s="6"/>
      <c r="P368" s="6"/>
      <c r="Q368" s="9"/>
      <c r="S368" s="54"/>
      <c r="T368" s="54"/>
    </row>
    <row r="369">
      <c r="E369" s="50"/>
      <c r="F369" s="50"/>
      <c r="G369" s="50"/>
      <c r="H369" s="51"/>
      <c r="I369" s="52"/>
      <c r="J369" s="52"/>
      <c r="K369" s="52"/>
      <c r="L369" s="53"/>
      <c r="O369" s="6"/>
      <c r="P369" s="6"/>
      <c r="Q369" s="9"/>
      <c r="S369" s="54"/>
      <c r="T369" s="54"/>
    </row>
    <row r="370">
      <c r="E370" s="50"/>
      <c r="F370" s="50"/>
      <c r="G370" s="50"/>
      <c r="H370" s="51"/>
      <c r="I370" s="52"/>
      <c r="J370" s="52"/>
      <c r="K370" s="52"/>
      <c r="L370" s="53"/>
      <c r="O370" s="6"/>
      <c r="P370" s="6"/>
      <c r="Q370" s="9"/>
      <c r="S370" s="54"/>
      <c r="T370" s="54"/>
    </row>
    <row r="371">
      <c r="E371" s="50"/>
      <c r="F371" s="50"/>
      <c r="G371" s="50"/>
      <c r="H371" s="51"/>
      <c r="I371" s="52"/>
      <c r="J371" s="52"/>
      <c r="K371" s="52"/>
      <c r="L371" s="53"/>
      <c r="O371" s="6"/>
      <c r="P371" s="6"/>
      <c r="Q371" s="9"/>
      <c r="S371" s="54"/>
      <c r="T371" s="54"/>
    </row>
    <row r="372">
      <c r="E372" s="50"/>
      <c r="F372" s="50"/>
      <c r="G372" s="50"/>
      <c r="H372" s="51"/>
      <c r="I372" s="52"/>
      <c r="J372" s="52"/>
      <c r="K372" s="52"/>
      <c r="L372" s="53"/>
      <c r="O372" s="6"/>
      <c r="P372" s="6"/>
      <c r="Q372" s="9"/>
      <c r="S372" s="54"/>
      <c r="T372" s="54"/>
    </row>
    <row r="373">
      <c r="E373" s="50"/>
      <c r="F373" s="50"/>
      <c r="G373" s="50"/>
      <c r="H373" s="51"/>
      <c r="I373" s="52"/>
      <c r="J373" s="52"/>
      <c r="K373" s="52"/>
      <c r="L373" s="53"/>
      <c r="O373" s="6"/>
      <c r="P373" s="6"/>
      <c r="Q373" s="9"/>
      <c r="S373" s="54"/>
      <c r="T373" s="54"/>
    </row>
    <row r="374">
      <c r="E374" s="50"/>
      <c r="F374" s="50"/>
      <c r="G374" s="50"/>
      <c r="H374" s="51"/>
      <c r="I374" s="52"/>
      <c r="J374" s="52"/>
      <c r="K374" s="52"/>
      <c r="L374" s="53"/>
      <c r="O374" s="6"/>
      <c r="P374" s="6"/>
      <c r="Q374" s="9"/>
      <c r="S374" s="54"/>
      <c r="T374" s="54"/>
    </row>
    <row r="375">
      <c r="E375" s="50"/>
      <c r="F375" s="50"/>
      <c r="G375" s="50"/>
      <c r="H375" s="51"/>
      <c r="I375" s="52"/>
      <c r="J375" s="52"/>
      <c r="K375" s="52"/>
      <c r="L375" s="53"/>
      <c r="O375" s="6"/>
      <c r="P375" s="6"/>
      <c r="Q375" s="9"/>
      <c r="S375" s="54"/>
      <c r="T375" s="54"/>
    </row>
    <row r="376">
      <c r="E376" s="50"/>
      <c r="F376" s="50"/>
      <c r="G376" s="50"/>
      <c r="H376" s="51"/>
      <c r="I376" s="52"/>
      <c r="J376" s="52"/>
      <c r="K376" s="52"/>
      <c r="L376" s="53"/>
      <c r="O376" s="6"/>
      <c r="P376" s="6"/>
      <c r="Q376" s="9"/>
      <c r="S376" s="54"/>
      <c r="T376" s="54"/>
    </row>
    <row r="377">
      <c r="E377" s="50"/>
      <c r="F377" s="50"/>
      <c r="G377" s="50"/>
      <c r="H377" s="51"/>
      <c r="I377" s="52"/>
      <c r="J377" s="52"/>
      <c r="K377" s="52"/>
      <c r="L377" s="53"/>
      <c r="O377" s="6"/>
      <c r="P377" s="6"/>
      <c r="Q377" s="9"/>
      <c r="S377" s="54"/>
      <c r="T377" s="54"/>
    </row>
    <row r="378">
      <c r="E378" s="50"/>
      <c r="F378" s="50"/>
      <c r="G378" s="50"/>
      <c r="H378" s="51"/>
      <c r="I378" s="52"/>
      <c r="J378" s="52"/>
      <c r="K378" s="52"/>
      <c r="L378" s="53"/>
      <c r="O378" s="6"/>
      <c r="P378" s="6"/>
      <c r="Q378" s="9"/>
      <c r="S378" s="54"/>
      <c r="T378" s="54"/>
    </row>
    <row r="379">
      <c r="E379" s="50"/>
      <c r="F379" s="50"/>
      <c r="G379" s="50"/>
      <c r="H379" s="51"/>
      <c r="I379" s="52"/>
      <c r="J379" s="52"/>
      <c r="K379" s="52"/>
      <c r="L379" s="53"/>
      <c r="O379" s="6"/>
      <c r="P379" s="6"/>
      <c r="Q379" s="9"/>
      <c r="S379" s="54"/>
      <c r="T379" s="54"/>
    </row>
    <row r="380">
      <c r="E380" s="50"/>
      <c r="F380" s="50"/>
      <c r="G380" s="50"/>
      <c r="H380" s="51"/>
      <c r="I380" s="52"/>
      <c r="J380" s="52"/>
      <c r="K380" s="52"/>
      <c r="L380" s="53"/>
      <c r="O380" s="6"/>
      <c r="P380" s="6"/>
      <c r="Q380" s="9"/>
      <c r="S380" s="54"/>
      <c r="T380" s="54"/>
    </row>
    <row r="381">
      <c r="E381" s="50"/>
      <c r="F381" s="50"/>
      <c r="G381" s="50"/>
      <c r="H381" s="51"/>
      <c r="I381" s="52"/>
      <c r="J381" s="52"/>
      <c r="K381" s="52"/>
      <c r="L381" s="53"/>
      <c r="O381" s="6"/>
      <c r="P381" s="6"/>
      <c r="Q381" s="9"/>
      <c r="S381" s="54"/>
      <c r="T381" s="54"/>
    </row>
    <row r="382">
      <c r="E382" s="50"/>
      <c r="F382" s="50"/>
      <c r="G382" s="50"/>
      <c r="H382" s="51"/>
      <c r="I382" s="52"/>
      <c r="J382" s="52"/>
      <c r="K382" s="52"/>
      <c r="L382" s="53"/>
      <c r="O382" s="6"/>
      <c r="P382" s="6"/>
      <c r="Q382" s="9"/>
      <c r="S382" s="54"/>
      <c r="T382" s="54"/>
    </row>
    <row r="383">
      <c r="E383" s="50"/>
      <c r="F383" s="50"/>
      <c r="G383" s="50"/>
      <c r="H383" s="51"/>
      <c r="I383" s="52"/>
      <c r="J383" s="52"/>
      <c r="K383" s="52"/>
      <c r="L383" s="53"/>
      <c r="O383" s="6"/>
      <c r="P383" s="6"/>
      <c r="Q383" s="9"/>
      <c r="S383" s="54"/>
      <c r="T383" s="54"/>
    </row>
    <row r="384">
      <c r="E384" s="50"/>
      <c r="F384" s="50"/>
      <c r="G384" s="50"/>
      <c r="H384" s="51"/>
      <c r="I384" s="52"/>
      <c r="J384" s="52"/>
      <c r="K384" s="52"/>
      <c r="L384" s="53"/>
      <c r="O384" s="6"/>
      <c r="P384" s="6"/>
      <c r="Q384" s="9"/>
      <c r="S384" s="54"/>
      <c r="T384" s="54"/>
    </row>
    <row r="385">
      <c r="E385" s="50"/>
      <c r="F385" s="50"/>
      <c r="G385" s="50"/>
      <c r="H385" s="51"/>
      <c r="I385" s="52"/>
      <c r="J385" s="52"/>
      <c r="K385" s="52"/>
      <c r="L385" s="53"/>
      <c r="O385" s="6"/>
      <c r="P385" s="6"/>
      <c r="Q385" s="9"/>
      <c r="S385" s="54"/>
      <c r="T385" s="54"/>
    </row>
    <row r="386">
      <c r="E386" s="50"/>
      <c r="F386" s="50"/>
      <c r="G386" s="50"/>
      <c r="H386" s="51"/>
      <c r="I386" s="52"/>
      <c r="J386" s="52"/>
      <c r="K386" s="52"/>
      <c r="L386" s="53"/>
      <c r="O386" s="6"/>
      <c r="P386" s="6"/>
      <c r="Q386" s="9"/>
      <c r="S386" s="54"/>
      <c r="T386" s="54"/>
    </row>
    <row r="387">
      <c r="E387" s="50"/>
      <c r="F387" s="50"/>
      <c r="G387" s="50"/>
      <c r="H387" s="51"/>
      <c r="I387" s="52"/>
      <c r="J387" s="52"/>
      <c r="K387" s="52"/>
      <c r="L387" s="53"/>
      <c r="O387" s="6"/>
      <c r="P387" s="6"/>
      <c r="Q387" s="9"/>
      <c r="S387" s="54"/>
      <c r="T387" s="54"/>
    </row>
    <row r="388">
      <c r="E388" s="50"/>
      <c r="F388" s="50"/>
      <c r="G388" s="50"/>
      <c r="H388" s="51"/>
      <c r="I388" s="52"/>
      <c r="J388" s="52"/>
      <c r="K388" s="52"/>
      <c r="L388" s="53"/>
      <c r="O388" s="6"/>
      <c r="P388" s="6"/>
      <c r="Q388" s="9"/>
      <c r="S388" s="54"/>
      <c r="T388" s="54"/>
    </row>
    <row r="389">
      <c r="E389" s="50"/>
      <c r="F389" s="50"/>
      <c r="G389" s="50"/>
      <c r="H389" s="51"/>
      <c r="I389" s="52"/>
      <c r="J389" s="52"/>
      <c r="K389" s="52"/>
      <c r="L389" s="53"/>
      <c r="O389" s="6"/>
      <c r="P389" s="6"/>
      <c r="Q389" s="9"/>
      <c r="S389" s="54"/>
      <c r="T389" s="54"/>
    </row>
    <row r="390">
      <c r="E390" s="50"/>
      <c r="F390" s="50"/>
      <c r="G390" s="50"/>
      <c r="H390" s="51"/>
      <c r="I390" s="52"/>
      <c r="J390" s="52"/>
      <c r="K390" s="52"/>
      <c r="L390" s="53"/>
      <c r="O390" s="6"/>
      <c r="P390" s="6"/>
      <c r="Q390" s="9"/>
      <c r="S390" s="54"/>
      <c r="T390" s="54"/>
    </row>
    <row r="391">
      <c r="E391" s="50"/>
      <c r="F391" s="50"/>
      <c r="G391" s="50"/>
      <c r="H391" s="51"/>
      <c r="I391" s="52"/>
      <c r="J391" s="52"/>
      <c r="K391" s="52"/>
      <c r="L391" s="53"/>
      <c r="O391" s="6"/>
      <c r="P391" s="6"/>
      <c r="Q391" s="9"/>
      <c r="S391" s="54"/>
      <c r="T391" s="54"/>
    </row>
    <row r="392">
      <c r="E392" s="50"/>
      <c r="F392" s="50"/>
      <c r="G392" s="50"/>
      <c r="H392" s="51"/>
      <c r="I392" s="52"/>
      <c r="J392" s="52"/>
      <c r="K392" s="52"/>
      <c r="L392" s="53"/>
      <c r="O392" s="6"/>
      <c r="P392" s="6"/>
      <c r="Q392" s="9"/>
      <c r="S392" s="54"/>
      <c r="T392" s="54"/>
    </row>
    <row r="393">
      <c r="E393" s="50"/>
      <c r="F393" s="50"/>
      <c r="G393" s="50"/>
      <c r="H393" s="51"/>
      <c r="I393" s="52"/>
      <c r="J393" s="52"/>
      <c r="K393" s="52"/>
      <c r="L393" s="53"/>
      <c r="O393" s="6"/>
      <c r="P393" s="6"/>
      <c r="Q393" s="9"/>
      <c r="S393" s="54"/>
      <c r="T393" s="54"/>
    </row>
    <row r="394">
      <c r="E394" s="50"/>
      <c r="F394" s="50"/>
      <c r="G394" s="50"/>
      <c r="H394" s="51"/>
      <c r="I394" s="52"/>
      <c r="J394" s="52"/>
      <c r="K394" s="52"/>
      <c r="L394" s="53"/>
      <c r="O394" s="6"/>
      <c r="P394" s="6"/>
      <c r="Q394" s="9"/>
      <c r="S394" s="54"/>
      <c r="T394" s="54"/>
    </row>
    <row r="395">
      <c r="E395" s="50"/>
      <c r="F395" s="50"/>
      <c r="G395" s="50"/>
      <c r="H395" s="51"/>
      <c r="I395" s="52"/>
      <c r="J395" s="52"/>
      <c r="K395" s="52"/>
      <c r="L395" s="53"/>
      <c r="O395" s="6"/>
      <c r="P395" s="6"/>
      <c r="Q395" s="9"/>
      <c r="S395" s="54"/>
      <c r="T395" s="54"/>
    </row>
    <row r="396">
      <c r="E396" s="50"/>
      <c r="F396" s="50"/>
      <c r="G396" s="50"/>
      <c r="H396" s="51"/>
      <c r="I396" s="52"/>
      <c r="J396" s="52"/>
      <c r="K396" s="52"/>
      <c r="L396" s="53"/>
      <c r="O396" s="6"/>
      <c r="P396" s="6"/>
      <c r="Q396" s="9"/>
      <c r="S396" s="54"/>
      <c r="T396" s="54"/>
    </row>
    <row r="397">
      <c r="E397" s="50"/>
      <c r="F397" s="50"/>
      <c r="G397" s="50"/>
      <c r="H397" s="51"/>
      <c r="I397" s="52"/>
      <c r="J397" s="52"/>
      <c r="K397" s="52"/>
      <c r="L397" s="53"/>
      <c r="O397" s="6"/>
      <c r="P397" s="6"/>
      <c r="Q397" s="9"/>
      <c r="S397" s="54"/>
      <c r="T397" s="54"/>
    </row>
    <row r="398">
      <c r="E398" s="50"/>
      <c r="F398" s="50"/>
      <c r="G398" s="50"/>
      <c r="H398" s="51"/>
      <c r="I398" s="52"/>
      <c r="J398" s="52"/>
      <c r="K398" s="52"/>
      <c r="L398" s="53"/>
      <c r="O398" s="6"/>
      <c r="P398" s="6"/>
      <c r="Q398" s="9"/>
      <c r="S398" s="54"/>
      <c r="T398" s="54"/>
    </row>
    <row r="399">
      <c r="E399" s="50"/>
      <c r="F399" s="50"/>
      <c r="G399" s="50"/>
      <c r="H399" s="51"/>
      <c r="I399" s="52"/>
      <c r="J399" s="52"/>
      <c r="K399" s="52"/>
      <c r="L399" s="53"/>
      <c r="O399" s="6"/>
      <c r="P399" s="6"/>
      <c r="Q399" s="9"/>
      <c r="S399" s="54"/>
      <c r="T399" s="54"/>
    </row>
    <row r="400">
      <c r="E400" s="50"/>
      <c r="F400" s="50"/>
      <c r="G400" s="50"/>
      <c r="H400" s="51"/>
      <c r="I400" s="52"/>
      <c r="J400" s="52"/>
      <c r="K400" s="52"/>
      <c r="L400" s="53"/>
      <c r="O400" s="6"/>
      <c r="P400" s="6"/>
      <c r="Q400" s="9"/>
      <c r="S400" s="54"/>
      <c r="T400" s="54"/>
    </row>
    <row r="401">
      <c r="E401" s="50"/>
      <c r="F401" s="50"/>
      <c r="G401" s="50"/>
      <c r="H401" s="51"/>
      <c r="I401" s="52"/>
      <c r="J401" s="52"/>
      <c r="K401" s="52"/>
      <c r="L401" s="53"/>
      <c r="O401" s="6"/>
      <c r="P401" s="6"/>
      <c r="Q401" s="9"/>
      <c r="S401" s="54"/>
      <c r="T401" s="54"/>
    </row>
    <row r="402">
      <c r="E402" s="50"/>
      <c r="F402" s="50"/>
      <c r="G402" s="50"/>
      <c r="H402" s="51"/>
      <c r="I402" s="52"/>
      <c r="J402" s="52"/>
      <c r="K402" s="52"/>
      <c r="L402" s="53"/>
      <c r="O402" s="6"/>
      <c r="P402" s="6"/>
      <c r="Q402" s="9"/>
      <c r="S402" s="54"/>
      <c r="T402" s="54"/>
    </row>
    <row r="403">
      <c r="E403" s="50"/>
      <c r="F403" s="50"/>
      <c r="G403" s="50"/>
      <c r="H403" s="51"/>
      <c r="I403" s="52"/>
      <c r="J403" s="52"/>
      <c r="K403" s="52"/>
      <c r="L403" s="53"/>
      <c r="O403" s="6"/>
      <c r="P403" s="6"/>
      <c r="Q403" s="9"/>
      <c r="S403" s="54"/>
      <c r="T403" s="54"/>
    </row>
    <row r="404">
      <c r="E404" s="50"/>
      <c r="F404" s="50"/>
      <c r="G404" s="50"/>
      <c r="H404" s="51"/>
      <c r="I404" s="52"/>
      <c r="J404" s="52"/>
      <c r="K404" s="52"/>
      <c r="L404" s="53"/>
      <c r="O404" s="6"/>
      <c r="P404" s="6"/>
      <c r="Q404" s="9"/>
      <c r="S404" s="54"/>
      <c r="T404" s="54"/>
    </row>
    <row r="405">
      <c r="E405" s="50"/>
      <c r="F405" s="50"/>
      <c r="G405" s="50"/>
      <c r="H405" s="51"/>
      <c r="I405" s="52"/>
      <c r="J405" s="52"/>
      <c r="K405" s="52"/>
      <c r="L405" s="53"/>
      <c r="O405" s="6"/>
      <c r="P405" s="6"/>
      <c r="Q405" s="9"/>
      <c r="S405" s="54"/>
      <c r="T405" s="54"/>
    </row>
    <row r="406">
      <c r="E406" s="50"/>
      <c r="F406" s="50"/>
      <c r="G406" s="50"/>
      <c r="H406" s="51"/>
      <c r="I406" s="52"/>
      <c r="J406" s="52"/>
      <c r="K406" s="52"/>
      <c r="L406" s="53"/>
      <c r="O406" s="6"/>
      <c r="P406" s="6"/>
      <c r="Q406" s="9"/>
      <c r="S406" s="54"/>
      <c r="T406" s="54"/>
    </row>
    <row r="407">
      <c r="E407" s="50"/>
      <c r="F407" s="50"/>
      <c r="G407" s="50"/>
      <c r="H407" s="51"/>
      <c r="I407" s="52"/>
      <c r="J407" s="52"/>
      <c r="K407" s="52"/>
      <c r="L407" s="53"/>
      <c r="O407" s="6"/>
      <c r="P407" s="6"/>
      <c r="Q407" s="9"/>
      <c r="S407" s="54"/>
      <c r="T407" s="54"/>
    </row>
    <row r="408">
      <c r="E408" s="50"/>
      <c r="F408" s="50"/>
      <c r="G408" s="50"/>
      <c r="H408" s="51"/>
      <c r="I408" s="52"/>
      <c r="J408" s="52"/>
      <c r="K408" s="52"/>
      <c r="L408" s="53"/>
      <c r="O408" s="6"/>
      <c r="P408" s="6"/>
      <c r="Q408" s="9"/>
      <c r="S408" s="54"/>
      <c r="T408" s="54"/>
    </row>
    <row r="409">
      <c r="E409" s="50"/>
      <c r="F409" s="50"/>
      <c r="G409" s="50"/>
      <c r="H409" s="51"/>
      <c r="I409" s="52"/>
      <c r="J409" s="52"/>
      <c r="K409" s="52"/>
      <c r="L409" s="53"/>
      <c r="O409" s="6"/>
      <c r="P409" s="6"/>
      <c r="Q409" s="9"/>
      <c r="S409" s="54"/>
      <c r="T409" s="54"/>
    </row>
    <row r="410">
      <c r="E410" s="50"/>
      <c r="F410" s="50"/>
      <c r="G410" s="50"/>
      <c r="H410" s="51"/>
      <c r="I410" s="52"/>
      <c r="J410" s="52"/>
      <c r="K410" s="52"/>
      <c r="L410" s="53"/>
      <c r="O410" s="6"/>
      <c r="P410" s="6"/>
      <c r="Q410" s="9"/>
      <c r="S410" s="54"/>
      <c r="T410" s="54"/>
    </row>
    <row r="411">
      <c r="E411" s="50"/>
      <c r="F411" s="50"/>
      <c r="G411" s="50"/>
      <c r="H411" s="51"/>
      <c r="I411" s="52"/>
      <c r="J411" s="52"/>
      <c r="K411" s="52"/>
      <c r="L411" s="53"/>
      <c r="O411" s="6"/>
      <c r="P411" s="6"/>
      <c r="Q411" s="9"/>
      <c r="S411" s="54"/>
      <c r="T411" s="54"/>
    </row>
    <row r="412">
      <c r="E412" s="50"/>
      <c r="F412" s="50"/>
      <c r="G412" s="50"/>
      <c r="H412" s="51"/>
      <c r="I412" s="52"/>
      <c r="J412" s="52"/>
      <c r="K412" s="52"/>
      <c r="L412" s="53"/>
      <c r="O412" s="6"/>
      <c r="P412" s="6"/>
      <c r="Q412" s="9"/>
      <c r="S412" s="54"/>
      <c r="T412" s="54"/>
    </row>
    <row r="413">
      <c r="E413" s="50"/>
      <c r="F413" s="50"/>
      <c r="G413" s="50"/>
      <c r="H413" s="51"/>
      <c r="I413" s="52"/>
      <c r="J413" s="52"/>
      <c r="K413" s="52"/>
      <c r="L413" s="53"/>
      <c r="O413" s="6"/>
      <c r="P413" s="6"/>
      <c r="Q413" s="9"/>
      <c r="S413" s="54"/>
      <c r="T413" s="54"/>
    </row>
    <row r="414">
      <c r="E414" s="50"/>
      <c r="F414" s="50"/>
      <c r="G414" s="50"/>
      <c r="H414" s="51"/>
      <c r="I414" s="52"/>
      <c r="J414" s="52"/>
      <c r="K414" s="52"/>
      <c r="L414" s="53"/>
      <c r="O414" s="6"/>
      <c r="P414" s="6"/>
      <c r="Q414" s="9"/>
      <c r="S414" s="54"/>
      <c r="T414" s="54"/>
    </row>
    <row r="415">
      <c r="E415" s="50"/>
      <c r="F415" s="50"/>
      <c r="G415" s="50"/>
      <c r="H415" s="51"/>
      <c r="I415" s="52"/>
      <c r="J415" s="52"/>
      <c r="K415" s="52"/>
      <c r="L415" s="53"/>
      <c r="O415" s="6"/>
      <c r="P415" s="6"/>
      <c r="Q415" s="9"/>
      <c r="S415" s="54"/>
      <c r="T415" s="54"/>
    </row>
    <row r="416">
      <c r="E416" s="50"/>
      <c r="F416" s="50"/>
      <c r="G416" s="50"/>
      <c r="H416" s="51"/>
      <c r="I416" s="52"/>
      <c r="J416" s="52"/>
      <c r="K416" s="52"/>
      <c r="L416" s="53"/>
      <c r="O416" s="6"/>
      <c r="P416" s="6"/>
      <c r="Q416" s="9"/>
      <c r="S416" s="54"/>
      <c r="T416" s="54"/>
    </row>
    <row r="417">
      <c r="E417" s="50"/>
      <c r="F417" s="50"/>
      <c r="G417" s="50"/>
      <c r="H417" s="51"/>
      <c r="I417" s="52"/>
      <c r="J417" s="52"/>
      <c r="K417" s="52"/>
      <c r="L417" s="53"/>
      <c r="O417" s="6"/>
      <c r="P417" s="6"/>
      <c r="Q417" s="9"/>
      <c r="S417" s="54"/>
      <c r="T417" s="54"/>
    </row>
    <row r="418">
      <c r="E418" s="50"/>
      <c r="F418" s="50"/>
      <c r="G418" s="50"/>
      <c r="H418" s="51"/>
      <c r="I418" s="52"/>
      <c r="J418" s="52"/>
      <c r="K418" s="52"/>
      <c r="L418" s="53"/>
      <c r="O418" s="6"/>
      <c r="P418" s="6"/>
      <c r="Q418" s="9"/>
      <c r="S418" s="54"/>
      <c r="T418" s="54"/>
    </row>
    <row r="419">
      <c r="E419" s="50"/>
      <c r="F419" s="50"/>
      <c r="G419" s="50"/>
      <c r="H419" s="51"/>
      <c r="I419" s="52"/>
      <c r="J419" s="52"/>
      <c r="K419" s="52"/>
      <c r="L419" s="53"/>
      <c r="O419" s="6"/>
      <c r="P419" s="6"/>
      <c r="Q419" s="9"/>
      <c r="S419" s="54"/>
      <c r="T419" s="54"/>
    </row>
    <row r="420">
      <c r="E420" s="50"/>
      <c r="F420" s="50"/>
      <c r="G420" s="50"/>
      <c r="H420" s="51"/>
      <c r="I420" s="52"/>
      <c r="J420" s="52"/>
      <c r="K420" s="52"/>
      <c r="L420" s="53"/>
      <c r="O420" s="6"/>
      <c r="P420" s="6"/>
      <c r="Q420" s="9"/>
      <c r="S420" s="54"/>
      <c r="T420" s="54"/>
    </row>
    <row r="421">
      <c r="E421" s="50"/>
      <c r="F421" s="50"/>
      <c r="G421" s="50"/>
      <c r="H421" s="51"/>
      <c r="I421" s="52"/>
      <c r="J421" s="52"/>
      <c r="K421" s="52"/>
      <c r="L421" s="53"/>
      <c r="O421" s="6"/>
      <c r="P421" s="6"/>
      <c r="Q421" s="9"/>
      <c r="S421" s="54"/>
      <c r="T421" s="54"/>
    </row>
    <row r="422">
      <c r="E422" s="50"/>
      <c r="F422" s="50"/>
      <c r="G422" s="50"/>
      <c r="H422" s="51"/>
      <c r="I422" s="52"/>
      <c r="J422" s="52"/>
      <c r="K422" s="52"/>
      <c r="L422" s="53"/>
      <c r="O422" s="6"/>
      <c r="P422" s="6"/>
      <c r="Q422" s="9"/>
      <c r="S422" s="54"/>
      <c r="T422" s="54"/>
    </row>
    <row r="423">
      <c r="E423" s="50"/>
      <c r="F423" s="50"/>
      <c r="G423" s="50"/>
      <c r="H423" s="51"/>
      <c r="I423" s="52"/>
      <c r="J423" s="52"/>
      <c r="K423" s="52"/>
      <c r="L423" s="53"/>
      <c r="O423" s="6"/>
      <c r="P423" s="6"/>
      <c r="Q423" s="9"/>
      <c r="S423" s="54"/>
      <c r="T423" s="54"/>
    </row>
    <row r="424">
      <c r="E424" s="50"/>
      <c r="F424" s="50"/>
      <c r="G424" s="50"/>
      <c r="H424" s="51"/>
      <c r="I424" s="52"/>
      <c r="J424" s="52"/>
      <c r="K424" s="52"/>
      <c r="L424" s="53"/>
      <c r="O424" s="6"/>
      <c r="P424" s="6"/>
      <c r="Q424" s="9"/>
      <c r="S424" s="54"/>
      <c r="T424" s="54"/>
    </row>
    <row r="425">
      <c r="E425" s="50"/>
      <c r="F425" s="50"/>
      <c r="G425" s="50"/>
      <c r="H425" s="51"/>
      <c r="I425" s="52"/>
      <c r="J425" s="52"/>
      <c r="K425" s="52"/>
      <c r="L425" s="53"/>
      <c r="O425" s="6"/>
      <c r="P425" s="6"/>
      <c r="Q425" s="9"/>
      <c r="S425" s="54"/>
      <c r="T425" s="54"/>
    </row>
    <row r="426">
      <c r="E426" s="50"/>
      <c r="F426" s="50"/>
      <c r="G426" s="50"/>
      <c r="H426" s="51"/>
      <c r="I426" s="52"/>
      <c r="J426" s="52"/>
      <c r="K426" s="52"/>
      <c r="L426" s="53"/>
      <c r="O426" s="6"/>
      <c r="P426" s="6"/>
      <c r="Q426" s="9"/>
      <c r="S426" s="54"/>
      <c r="T426" s="54"/>
    </row>
    <row r="427">
      <c r="E427" s="50"/>
      <c r="F427" s="50"/>
      <c r="G427" s="50"/>
      <c r="H427" s="51"/>
      <c r="I427" s="52"/>
      <c r="J427" s="52"/>
      <c r="K427" s="52"/>
      <c r="L427" s="53"/>
      <c r="O427" s="6"/>
      <c r="P427" s="6"/>
      <c r="Q427" s="9"/>
      <c r="S427" s="54"/>
      <c r="T427" s="54"/>
    </row>
    <row r="428">
      <c r="E428" s="50"/>
      <c r="F428" s="50"/>
      <c r="G428" s="50"/>
      <c r="H428" s="51"/>
      <c r="I428" s="52"/>
      <c r="J428" s="52"/>
      <c r="K428" s="52"/>
      <c r="L428" s="53"/>
      <c r="O428" s="6"/>
      <c r="P428" s="6"/>
      <c r="Q428" s="9"/>
      <c r="S428" s="54"/>
      <c r="T428" s="54"/>
    </row>
    <row r="429">
      <c r="E429" s="50"/>
      <c r="F429" s="50"/>
      <c r="G429" s="50"/>
      <c r="H429" s="51"/>
      <c r="I429" s="52"/>
      <c r="J429" s="52"/>
      <c r="K429" s="52"/>
      <c r="L429" s="53"/>
      <c r="O429" s="6"/>
      <c r="P429" s="6"/>
      <c r="Q429" s="9"/>
      <c r="S429" s="54"/>
      <c r="T429" s="54"/>
    </row>
    <row r="430">
      <c r="E430" s="50"/>
      <c r="F430" s="50"/>
      <c r="G430" s="50"/>
      <c r="H430" s="51"/>
      <c r="I430" s="52"/>
      <c r="J430" s="52"/>
      <c r="K430" s="52"/>
      <c r="L430" s="53"/>
      <c r="O430" s="6"/>
      <c r="P430" s="6"/>
      <c r="Q430" s="9"/>
      <c r="S430" s="54"/>
      <c r="T430" s="54"/>
    </row>
    <row r="431">
      <c r="E431" s="50"/>
      <c r="F431" s="50"/>
      <c r="G431" s="50"/>
      <c r="H431" s="51"/>
      <c r="I431" s="52"/>
      <c r="J431" s="52"/>
      <c r="K431" s="52"/>
      <c r="L431" s="53"/>
      <c r="O431" s="6"/>
      <c r="P431" s="6"/>
      <c r="Q431" s="9"/>
      <c r="S431" s="54"/>
      <c r="T431" s="54"/>
    </row>
    <row r="432">
      <c r="E432" s="50"/>
      <c r="F432" s="50"/>
      <c r="G432" s="50"/>
      <c r="H432" s="51"/>
      <c r="I432" s="52"/>
      <c r="J432" s="52"/>
      <c r="K432" s="52"/>
      <c r="L432" s="53"/>
      <c r="O432" s="6"/>
      <c r="P432" s="6"/>
      <c r="Q432" s="9"/>
      <c r="S432" s="54"/>
      <c r="T432" s="54"/>
    </row>
    <row r="433">
      <c r="E433" s="50"/>
      <c r="F433" s="50"/>
      <c r="G433" s="50"/>
      <c r="H433" s="51"/>
      <c r="I433" s="52"/>
      <c r="J433" s="52"/>
      <c r="K433" s="52"/>
      <c r="L433" s="53"/>
      <c r="O433" s="6"/>
      <c r="P433" s="6"/>
      <c r="Q433" s="9"/>
      <c r="S433" s="54"/>
      <c r="T433" s="54"/>
    </row>
    <row r="434">
      <c r="E434" s="50"/>
      <c r="F434" s="50"/>
      <c r="G434" s="50"/>
      <c r="H434" s="51"/>
      <c r="I434" s="52"/>
      <c r="J434" s="52"/>
      <c r="K434" s="52"/>
      <c r="L434" s="53"/>
      <c r="O434" s="6"/>
      <c r="P434" s="6"/>
      <c r="Q434" s="9"/>
      <c r="S434" s="54"/>
      <c r="T434" s="54"/>
    </row>
    <row r="435">
      <c r="E435" s="50"/>
      <c r="F435" s="50"/>
      <c r="G435" s="50"/>
      <c r="H435" s="51"/>
      <c r="I435" s="52"/>
      <c r="J435" s="52"/>
      <c r="K435" s="52"/>
      <c r="L435" s="53"/>
      <c r="O435" s="6"/>
      <c r="P435" s="6"/>
      <c r="Q435" s="9"/>
      <c r="S435" s="54"/>
      <c r="T435" s="54"/>
    </row>
    <row r="436">
      <c r="E436" s="50"/>
      <c r="F436" s="50"/>
      <c r="G436" s="50"/>
      <c r="H436" s="51"/>
      <c r="I436" s="52"/>
      <c r="J436" s="52"/>
      <c r="K436" s="52"/>
      <c r="L436" s="53"/>
      <c r="O436" s="6"/>
      <c r="P436" s="6"/>
      <c r="Q436" s="9"/>
      <c r="S436" s="54"/>
      <c r="T436" s="54"/>
    </row>
    <row r="437">
      <c r="E437" s="50"/>
      <c r="F437" s="50"/>
      <c r="G437" s="50"/>
      <c r="H437" s="51"/>
      <c r="I437" s="52"/>
      <c r="J437" s="52"/>
      <c r="K437" s="52"/>
      <c r="L437" s="53"/>
      <c r="O437" s="6"/>
      <c r="P437" s="6"/>
      <c r="Q437" s="9"/>
      <c r="S437" s="54"/>
      <c r="T437" s="54"/>
    </row>
    <row r="438">
      <c r="E438" s="50"/>
      <c r="F438" s="50"/>
      <c r="G438" s="50"/>
      <c r="H438" s="51"/>
      <c r="I438" s="52"/>
      <c r="J438" s="52"/>
      <c r="K438" s="52"/>
      <c r="L438" s="53"/>
      <c r="O438" s="6"/>
      <c r="P438" s="6"/>
      <c r="Q438" s="9"/>
      <c r="S438" s="54"/>
      <c r="T438" s="54"/>
    </row>
    <row r="439">
      <c r="E439" s="50"/>
      <c r="F439" s="50"/>
      <c r="G439" s="50"/>
      <c r="H439" s="51"/>
      <c r="I439" s="52"/>
      <c r="J439" s="52"/>
      <c r="K439" s="52"/>
      <c r="L439" s="53"/>
      <c r="O439" s="6"/>
      <c r="P439" s="6"/>
      <c r="Q439" s="9"/>
      <c r="S439" s="54"/>
      <c r="T439" s="54"/>
    </row>
    <row r="440">
      <c r="E440" s="50"/>
      <c r="F440" s="50"/>
      <c r="G440" s="50"/>
      <c r="H440" s="51"/>
      <c r="I440" s="52"/>
      <c r="J440" s="52"/>
      <c r="K440" s="52"/>
      <c r="L440" s="53"/>
      <c r="O440" s="6"/>
      <c r="P440" s="6"/>
      <c r="Q440" s="9"/>
      <c r="S440" s="54"/>
      <c r="T440" s="54"/>
    </row>
    <row r="441">
      <c r="E441" s="50"/>
      <c r="F441" s="50"/>
      <c r="G441" s="50"/>
      <c r="H441" s="51"/>
      <c r="I441" s="52"/>
      <c r="J441" s="52"/>
      <c r="K441" s="52"/>
      <c r="L441" s="53"/>
      <c r="O441" s="6"/>
      <c r="P441" s="6"/>
      <c r="Q441" s="9"/>
      <c r="S441" s="54"/>
      <c r="T441" s="54"/>
    </row>
    <row r="442">
      <c r="E442" s="50"/>
      <c r="F442" s="50"/>
      <c r="G442" s="50"/>
      <c r="H442" s="51"/>
      <c r="I442" s="52"/>
      <c r="J442" s="52"/>
      <c r="K442" s="52"/>
      <c r="L442" s="53"/>
      <c r="O442" s="6"/>
      <c r="P442" s="6"/>
      <c r="Q442" s="9"/>
      <c r="S442" s="54"/>
      <c r="T442" s="54"/>
    </row>
    <row r="443">
      <c r="E443" s="50"/>
      <c r="F443" s="50"/>
      <c r="G443" s="50"/>
      <c r="H443" s="51"/>
      <c r="I443" s="52"/>
      <c r="J443" s="52"/>
      <c r="K443" s="52"/>
      <c r="L443" s="53"/>
      <c r="O443" s="6"/>
      <c r="P443" s="6"/>
      <c r="Q443" s="9"/>
      <c r="S443" s="54"/>
      <c r="T443" s="54"/>
    </row>
    <row r="444">
      <c r="E444" s="50"/>
      <c r="F444" s="50"/>
      <c r="G444" s="50"/>
      <c r="H444" s="51"/>
      <c r="I444" s="52"/>
      <c r="J444" s="52"/>
      <c r="K444" s="52"/>
      <c r="L444" s="53"/>
      <c r="O444" s="6"/>
      <c r="P444" s="6"/>
      <c r="Q444" s="9"/>
      <c r="S444" s="54"/>
      <c r="T444" s="54"/>
    </row>
    <row r="445">
      <c r="E445" s="50"/>
      <c r="F445" s="50"/>
      <c r="G445" s="50"/>
      <c r="H445" s="51"/>
      <c r="I445" s="52"/>
      <c r="J445" s="52"/>
      <c r="K445" s="52"/>
      <c r="L445" s="53"/>
      <c r="O445" s="6"/>
      <c r="P445" s="6"/>
      <c r="Q445" s="9"/>
      <c r="S445" s="54"/>
      <c r="T445" s="54"/>
    </row>
    <row r="446">
      <c r="E446" s="50"/>
      <c r="F446" s="50"/>
      <c r="G446" s="50"/>
      <c r="H446" s="51"/>
      <c r="I446" s="52"/>
      <c r="J446" s="52"/>
      <c r="K446" s="52"/>
      <c r="L446" s="53"/>
      <c r="O446" s="6"/>
      <c r="P446" s="6"/>
      <c r="Q446" s="9"/>
      <c r="S446" s="54"/>
      <c r="T446" s="54"/>
    </row>
    <row r="447">
      <c r="E447" s="50"/>
      <c r="F447" s="50"/>
      <c r="G447" s="50"/>
      <c r="H447" s="51"/>
      <c r="I447" s="52"/>
      <c r="J447" s="52"/>
      <c r="K447" s="52"/>
      <c r="L447" s="53"/>
      <c r="O447" s="6"/>
      <c r="P447" s="6"/>
      <c r="Q447" s="9"/>
      <c r="S447" s="54"/>
      <c r="T447" s="54"/>
    </row>
    <row r="448">
      <c r="E448" s="50"/>
      <c r="F448" s="50"/>
      <c r="G448" s="50"/>
      <c r="H448" s="51"/>
      <c r="I448" s="52"/>
      <c r="J448" s="52"/>
      <c r="K448" s="52"/>
      <c r="L448" s="53"/>
      <c r="O448" s="6"/>
      <c r="P448" s="6"/>
      <c r="Q448" s="9"/>
      <c r="S448" s="54"/>
      <c r="T448" s="54"/>
    </row>
    <row r="449">
      <c r="E449" s="50"/>
      <c r="F449" s="50"/>
      <c r="G449" s="50"/>
      <c r="H449" s="51"/>
      <c r="I449" s="52"/>
      <c r="J449" s="52"/>
      <c r="K449" s="52"/>
      <c r="L449" s="53"/>
      <c r="O449" s="6"/>
      <c r="P449" s="6"/>
      <c r="Q449" s="9"/>
      <c r="S449" s="54"/>
      <c r="T449" s="54"/>
    </row>
    <row r="450">
      <c r="E450" s="50"/>
      <c r="F450" s="50"/>
      <c r="G450" s="50"/>
      <c r="H450" s="51"/>
      <c r="I450" s="52"/>
      <c r="J450" s="52"/>
      <c r="K450" s="52"/>
      <c r="L450" s="53"/>
      <c r="O450" s="6"/>
      <c r="P450" s="6"/>
      <c r="Q450" s="9"/>
      <c r="S450" s="54"/>
      <c r="T450" s="54"/>
    </row>
    <row r="451">
      <c r="E451" s="50"/>
      <c r="F451" s="50"/>
      <c r="G451" s="50"/>
      <c r="H451" s="51"/>
      <c r="I451" s="52"/>
      <c r="J451" s="52"/>
      <c r="K451" s="52"/>
      <c r="L451" s="53"/>
      <c r="O451" s="6"/>
      <c r="P451" s="6"/>
      <c r="Q451" s="9"/>
      <c r="S451" s="54"/>
      <c r="T451" s="54"/>
    </row>
    <row r="452">
      <c r="E452" s="50"/>
      <c r="F452" s="50"/>
      <c r="G452" s="50"/>
      <c r="H452" s="51"/>
      <c r="I452" s="52"/>
      <c r="J452" s="52"/>
      <c r="K452" s="52"/>
      <c r="L452" s="53"/>
      <c r="O452" s="6"/>
      <c r="P452" s="6"/>
      <c r="Q452" s="9"/>
      <c r="S452" s="54"/>
      <c r="T452" s="54"/>
    </row>
    <row r="453">
      <c r="E453" s="50"/>
      <c r="F453" s="50"/>
      <c r="G453" s="50"/>
      <c r="H453" s="51"/>
      <c r="I453" s="52"/>
      <c r="J453" s="52"/>
      <c r="K453" s="52"/>
      <c r="L453" s="53"/>
      <c r="O453" s="6"/>
      <c r="P453" s="6"/>
      <c r="Q453" s="9"/>
      <c r="S453" s="54"/>
      <c r="T453" s="54"/>
    </row>
    <row r="454">
      <c r="E454" s="50"/>
      <c r="F454" s="50"/>
      <c r="G454" s="50"/>
      <c r="H454" s="51"/>
      <c r="I454" s="52"/>
      <c r="J454" s="52"/>
      <c r="K454" s="52"/>
      <c r="L454" s="53"/>
      <c r="O454" s="6"/>
      <c r="P454" s="6"/>
      <c r="Q454" s="9"/>
      <c r="S454" s="54"/>
      <c r="T454" s="54"/>
    </row>
    <row r="455">
      <c r="E455" s="50"/>
      <c r="F455" s="50"/>
      <c r="G455" s="50"/>
      <c r="H455" s="51"/>
      <c r="I455" s="52"/>
      <c r="J455" s="52"/>
      <c r="K455" s="52"/>
      <c r="L455" s="53"/>
      <c r="O455" s="6"/>
      <c r="P455" s="6"/>
      <c r="Q455" s="9"/>
      <c r="S455" s="54"/>
      <c r="T455" s="54"/>
    </row>
    <row r="456">
      <c r="E456" s="50"/>
      <c r="F456" s="50"/>
      <c r="G456" s="50"/>
      <c r="H456" s="51"/>
      <c r="I456" s="52"/>
      <c r="J456" s="52"/>
      <c r="K456" s="52"/>
      <c r="L456" s="53"/>
      <c r="O456" s="6"/>
      <c r="P456" s="6"/>
      <c r="Q456" s="9"/>
      <c r="S456" s="54"/>
      <c r="T456" s="54"/>
    </row>
    <row r="457">
      <c r="E457" s="50"/>
      <c r="F457" s="50"/>
      <c r="G457" s="50"/>
      <c r="H457" s="51"/>
      <c r="I457" s="52"/>
      <c r="J457" s="52"/>
      <c r="K457" s="52"/>
      <c r="L457" s="53"/>
      <c r="O457" s="6"/>
      <c r="P457" s="6"/>
      <c r="Q457" s="9"/>
      <c r="S457" s="54"/>
      <c r="T457" s="54"/>
    </row>
    <row r="458">
      <c r="E458" s="50"/>
      <c r="F458" s="50"/>
      <c r="G458" s="50"/>
      <c r="H458" s="51"/>
      <c r="I458" s="52"/>
      <c r="J458" s="52"/>
      <c r="K458" s="52"/>
      <c r="L458" s="53"/>
      <c r="O458" s="6"/>
      <c r="P458" s="6"/>
      <c r="Q458" s="9"/>
      <c r="S458" s="54"/>
      <c r="T458" s="54"/>
    </row>
    <row r="459">
      <c r="E459" s="50"/>
      <c r="F459" s="50"/>
      <c r="G459" s="50"/>
      <c r="H459" s="51"/>
      <c r="I459" s="52"/>
      <c r="J459" s="52"/>
      <c r="K459" s="52"/>
      <c r="L459" s="53"/>
      <c r="O459" s="6"/>
      <c r="P459" s="6"/>
      <c r="Q459" s="9"/>
      <c r="S459" s="54"/>
      <c r="T459" s="54"/>
    </row>
    <row r="460">
      <c r="E460" s="50"/>
      <c r="F460" s="50"/>
      <c r="G460" s="50"/>
      <c r="H460" s="51"/>
      <c r="I460" s="52"/>
      <c r="J460" s="52"/>
      <c r="K460" s="52"/>
      <c r="L460" s="53"/>
      <c r="O460" s="6"/>
      <c r="P460" s="6"/>
      <c r="Q460" s="9"/>
      <c r="S460" s="54"/>
      <c r="T460" s="54"/>
    </row>
    <row r="461">
      <c r="E461" s="50"/>
      <c r="F461" s="50"/>
      <c r="G461" s="50"/>
      <c r="H461" s="51"/>
      <c r="I461" s="52"/>
      <c r="J461" s="52"/>
      <c r="K461" s="52"/>
      <c r="L461" s="53"/>
      <c r="O461" s="6"/>
      <c r="P461" s="6"/>
      <c r="Q461" s="9"/>
      <c r="S461" s="54"/>
      <c r="T461" s="54"/>
    </row>
    <row r="462">
      <c r="E462" s="50"/>
      <c r="F462" s="50"/>
      <c r="G462" s="50"/>
      <c r="H462" s="51"/>
      <c r="I462" s="52"/>
      <c r="J462" s="52"/>
      <c r="K462" s="52"/>
      <c r="L462" s="53"/>
      <c r="O462" s="6"/>
      <c r="P462" s="6"/>
      <c r="Q462" s="9"/>
      <c r="S462" s="54"/>
      <c r="T462" s="54"/>
    </row>
    <row r="463">
      <c r="E463" s="50"/>
      <c r="F463" s="50"/>
      <c r="G463" s="50"/>
      <c r="H463" s="51"/>
      <c r="I463" s="52"/>
      <c r="J463" s="52"/>
      <c r="K463" s="52"/>
      <c r="L463" s="53"/>
      <c r="O463" s="6"/>
      <c r="P463" s="6"/>
      <c r="Q463" s="9"/>
      <c r="S463" s="54"/>
      <c r="T463" s="54"/>
    </row>
    <row r="464">
      <c r="E464" s="50"/>
      <c r="F464" s="50"/>
      <c r="G464" s="50"/>
      <c r="H464" s="51"/>
      <c r="I464" s="52"/>
      <c r="J464" s="52"/>
      <c r="K464" s="52"/>
      <c r="L464" s="53"/>
      <c r="O464" s="6"/>
      <c r="P464" s="6"/>
      <c r="Q464" s="9"/>
      <c r="S464" s="54"/>
      <c r="T464" s="54"/>
    </row>
    <row r="465">
      <c r="E465" s="50"/>
      <c r="F465" s="50"/>
      <c r="G465" s="50"/>
      <c r="H465" s="51"/>
      <c r="I465" s="52"/>
      <c r="J465" s="52"/>
      <c r="K465" s="52"/>
      <c r="L465" s="53"/>
      <c r="O465" s="6"/>
      <c r="P465" s="6"/>
      <c r="Q465" s="9"/>
      <c r="S465" s="54"/>
      <c r="T465" s="54"/>
    </row>
    <row r="466">
      <c r="E466" s="50"/>
      <c r="F466" s="50"/>
      <c r="G466" s="50"/>
      <c r="H466" s="51"/>
      <c r="I466" s="52"/>
      <c r="J466" s="52"/>
      <c r="K466" s="52"/>
      <c r="L466" s="53"/>
      <c r="O466" s="6"/>
      <c r="P466" s="6"/>
      <c r="Q466" s="9"/>
      <c r="S466" s="54"/>
      <c r="T466" s="54"/>
    </row>
    <row r="467">
      <c r="E467" s="50"/>
      <c r="F467" s="50"/>
      <c r="G467" s="50"/>
      <c r="H467" s="51"/>
      <c r="I467" s="52"/>
      <c r="J467" s="52"/>
      <c r="K467" s="52"/>
      <c r="L467" s="53"/>
      <c r="O467" s="6"/>
      <c r="P467" s="6"/>
      <c r="Q467" s="9"/>
      <c r="S467" s="54"/>
      <c r="T467" s="54"/>
    </row>
    <row r="468">
      <c r="E468" s="50"/>
      <c r="F468" s="50"/>
      <c r="G468" s="50"/>
      <c r="H468" s="51"/>
      <c r="I468" s="52"/>
      <c r="J468" s="52"/>
      <c r="K468" s="52"/>
      <c r="L468" s="53"/>
      <c r="O468" s="6"/>
      <c r="P468" s="6"/>
      <c r="Q468" s="9"/>
      <c r="S468" s="54"/>
      <c r="T468" s="54"/>
    </row>
    <row r="469">
      <c r="E469" s="50"/>
      <c r="F469" s="50"/>
      <c r="G469" s="50"/>
      <c r="H469" s="51"/>
      <c r="I469" s="52"/>
      <c r="J469" s="52"/>
      <c r="K469" s="52"/>
      <c r="L469" s="53"/>
      <c r="O469" s="6"/>
      <c r="P469" s="6"/>
      <c r="Q469" s="9"/>
      <c r="S469" s="54"/>
      <c r="T469" s="54"/>
    </row>
    <row r="470">
      <c r="E470" s="50"/>
      <c r="F470" s="50"/>
      <c r="G470" s="50"/>
      <c r="H470" s="51"/>
      <c r="I470" s="52"/>
      <c r="J470" s="52"/>
      <c r="K470" s="52"/>
      <c r="L470" s="53"/>
      <c r="O470" s="6"/>
      <c r="P470" s="6"/>
      <c r="Q470" s="9"/>
      <c r="S470" s="54"/>
      <c r="T470" s="54"/>
    </row>
    <row r="471">
      <c r="E471" s="50"/>
      <c r="F471" s="50"/>
      <c r="G471" s="50"/>
      <c r="H471" s="51"/>
      <c r="I471" s="52"/>
      <c r="J471" s="52"/>
      <c r="K471" s="52"/>
      <c r="L471" s="53"/>
      <c r="O471" s="6"/>
      <c r="P471" s="6"/>
      <c r="Q471" s="9"/>
      <c r="S471" s="54"/>
      <c r="T471" s="54"/>
    </row>
    <row r="472">
      <c r="E472" s="50"/>
      <c r="F472" s="50"/>
      <c r="G472" s="50"/>
      <c r="H472" s="51"/>
      <c r="I472" s="52"/>
      <c r="J472" s="52"/>
      <c r="K472" s="52"/>
      <c r="L472" s="53"/>
      <c r="O472" s="6"/>
      <c r="P472" s="6"/>
      <c r="Q472" s="9"/>
      <c r="S472" s="54"/>
      <c r="T472" s="54"/>
    </row>
    <row r="473">
      <c r="E473" s="50"/>
      <c r="F473" s="50"/>
      <c r="G473" s="50"/>
      <c r="H473" s="51"/>
      <c r="I473" s="52"/>
      <c r="J473" s="52"/>
      <c r="K473" s="52"/>
      <c r="L473" s="53"/>
      <c r="O473" s="6"/>
      <c r="P473" s="6"/>
      <c r="Q473" s="9"/>
      <c r="S473" s="54"/>
      <c r="T473" s="54"/>
    </row>
    <row r="474">
      <c r="E474" s="50"/>
      <c r="F474" s="50"/>
      <c r="G474" s="50"/>
      <c r="H474" s="51"/>
      <c r="I474" s="52"/>
      <c r="J474" s="52"/>
      <c r="K474" s="52"/>
      <c r="L474" s="53"/>
      <c r="O474" s="6"/>
      <c r="P474" s="6"/>
      <c r="Q474" s="9"/>
      <c r="S474" s="54"/>
      <c r="T474" s="54"/>
    </row>
    <row r="475">
      <c r="E475" s="50"/>
      <c r="F475" s="50"/>
      <c r="G475" s="50"/>
      <c r="H475" s="51"/>
      <c r="I475" s="52"/>
      <c r="J475" s="52"/>
      <c r="K475" s="52"/>
      <c r="L475" s="53"/>
      <c r="O475" s="6"/>
      <c r="P475" s="6"/>
      <c r="Q475" s="9"/>
      <c r="S475" s="54"/>
      <c r="T475" s="54"/>
    </row>
    <row r="476">
      <c r="E476" s="50"/>
      <c r="F476" s="50"/>
      <c r="G476" s="50"/>
      <c r="H476" s="51"/>
      <c r="I476" s="52"/>
      <c r="J476" s="52"/>
      <c r="K476" s="52"/>
      <c r="L476" s="53"/>
      <c r="O476" s="6"/>
      <c r="P476" s="6"/>
      <c r="Q476" s="9"/>
      <c r="S476" s="54"/>
      <c r="T476" s="54"/>
    </row>
    <row r="477">
      <c r="E477" s="50"/>
      <c r="F477" s="50"/>
      <c r="G477" s="50"/>
      <c r="H477" s="51"/>
      <c r="I477" s="52"/>
      <c r="J477" s="52"/>
      <c r="K477" s="52"/>
      <c r="L477" s="53"/>
      <c r="O477" s="6"/>
      <c r="P477" s="6"/>
      <c r="Q477" s="9"/>
      <c r="S477" s="54"/>
      <c r="T477" s="54"/>
    </row>
    <row r="478">
      <c r="E478" s="50"/>
      <c r="F478" s="50"/>
      <c r="G478" s="50"/>
      <c r="H478" s="51"/>
      <c r="I478" s="52"/>
      <c r="J478" s="52"/>
      <c r="K478" s="52"/>
      <c r="L478" s="53"/>
      <c r="O478" s="6"/>
      <c r="P478" s="6"/>
      <c r="Q478" s="9"/>
      <c r="S478" s="54"/>
      <c r="T478" s="54"/>
    </row>
    <row r="479">
      <c r="E479" s="50"/>
      <c r="F479" s="50"/>
      <c r="G479" s="50"/>
      <c r="H479" s="51"/>
      <c r="I479" s="52"/>
      <c r="J479" s="52"/>
      <c r="K479" s="52"/>
      <c r="L479" s="53"/>
      <c r="O479" s="6"/>
      <c r="P479" s="6"/>
      <c r="Q479" s="9"/>
      <c r="S479" s="54"/>
      <c r="T479" s="54"/>
    </row>
    <row r="480">
      <c r="E480" s="50"/>
      <c r="F480" s="50"/>
      <c r="G480" s="50"/>
      <c r="H480" s="51"/>
      <c r="I480" s="52"/>
      <c r="J480" s="52"/>
      <c r="K480" s="52"/>
      <c r="L480" s="53"/>
      <c r="O480" s="6"/>
      <c r="P480" s="6"/>
      <c r="Q480" s="9"/>
      <c r="S480" s="54"/>
      <c r="T480" s="54"/>
    </row>
    <row r="481">
      <c r="E481" s="50"/>
      <c r="F481" s="50"/>
      <c r="G481" s="50"/>
      <c r="H481" s="51"/>
      <c r="I481" s="52"/>
      <c r="J481" s="52"/>
      <c r="K481" s="52"/>
      <c r="L481" s="53"/>
      <c r="O481" s="6"/>
      <c r="P481" s="6"/>
      <c r="Q481" s="9"/>
      <c r="S481" s="54"/>
      <c r="T481" s="54"/>
    </row>
    <row r="482">
      <c r="E482" s="50"/>
      <c r="F482" s="50"/>
      <c r="G482" s="50"/>
      <c r="H482" s="51"/>
      <c r="I482" s="52"/>
      <c r="J482" s="52"/>
      <c r="K482" s="52"/>
      <c r="L482" s="53"/>
      <c r="O482" s="6"/>
      <c r="P482" s="6"/>
      <c r="Q482" s="9"/>
      <c r="S482" s="54"/>
      <c r="T482" s="54"/>
    </row>
    <row r="483">
      <c r="E483" s="50"/>
      <c r="F483" s="50"/>
      <c r="G483" s="50"/>
      <c r="H483" s="51"/>
      <c r="I483" s="52"/>
      <c r="J483" s="52"/>
      <c r="K483" s="52"/>
      <c r="L483" s="53"/>
      <c r="O483" s="6"/>
      <c r="P483" s="6"/>
      <c r="Q483" s="9"/>
      <c r="S483" s="54"/>
      <c r="T483" s="54"/>
    </row>
    <row r="484">
      <c r="E484" s="50"/>
      <c r="F484" s="50"/>
      <c r="G484" s="50"/>
      <c r="H484" s="51"/>
      <c r="I484" s="52"/>
      <c r="J484" s="52"/>
      <c r="K484" s="52"/>
      <c r="L484" s="53"/>
      <c r="O484" s="6"/>
      <c r="P484" s="6"/>
      <c r="Q484" s="9"/>
      <c r="S484" s="54"/>
      <c r="T484" s="54"/>
    </row>
    <row r="485">
      <c r="E485" s="50"/>
      <c r="F485" s="50"/>
      <c r="G485" s="50"/>
      <c r="H485" s="51"/>
      <c r="I485" s="52"/>
      <c r="J485" s="52"/>
      <c r="K485" s="52"/>
      <c r="L485" s="53"/>
      <c r="O485" s="6"/>
      <c r="P485" s="6"/>
      <c r="Q485" s="9"/>
      <c r="S485" s="54"/>
      <c r="T485" s="54"/>
    </row>
    <row r="486">
      <c r="E486" s="50"/>
      <c r="F486" s="50"/>
      <c r="G486" s="50"/>
      <c r="H486" s="51"/>
      <c r="I486" s="52"/>
      <c r="J486" s="52"/>
      <c r="K486" s="52"/>
      <c r="L486" s="53"/>
      <c r="O486" s="6"/>
      <c r="P486" s="6"/>
      <c r="Q486" s="9"/>
      <c r="S486" s="54"/>
      <c r="T486" s="54"/>
    </row>
    <row r="487">
      <c r="E487" s="50"/>
      <c r="F487" s="50"/>
      <c r="G487" s="50"/>
      <c r="H487" s="51"/>
      <c r="I487" s="52"/>
      <c r="J487" s="52"/>
      <c r="K487" s="52"/>
      <c r="L487" s="53"/>
      <c r="O487" s="6"/>
      <c r="P487" s="6"/>
      <c r="Q487" s="9"/>
      <c r="S487" s="54"/>
      <c r="T487" s="54"/>
    </row>
    <row r="488">
      <c r="E488" s="50"/>
      <c r="F488" s="50"/>
      <c r="G488" s="50"/>
      <c r="H488" s="51"/>
      <c r="I488" s="52"/>
      <c r="J488" s="52"/>
      <c r="K488" s="52"/>
      <c r="L488" s="53"/>
      <c r="O488" s="6"/>
      <c r="P488" s="6"/>
      <c r="Q488" s="9"/>
      <c r="S488" s="54"/>
      <c r="T488" s="54"/>
    </row>
    <row r="489">
      <c r="E489" s="50"/>
      <c r="F489" s="50"/>
      <c r="G489" s="50"/>
      <c r="H489" s="51"/>
      <c r="I489" s="52"/>
      <c r="J489" s="52"/>
      <c r="K489" s="52"/>
      <c r="L489" s="53"/>
      <c r="O489" s="6"/>
      <c r="P489" s="6"/>
      <c r="Q489" s="9"/>
      <c r="S489" s="54"/>
      <c r="T489" s="54"/>
    </row>
    <row r="490">
      <c r="E490" s="50"/>
      <c r="F490" s="50"/>
      <c r="G490" s="50"/>
      <c r="H490" s="51"/>
      <c r="I490" s="52"/>
      <c r="J490" s="52"/>
      <c r="K490" s="52"/>
      <c r="L490" s="53"/>
      <c r="O490" s="6"/>
      <c r="P490" s="6"/>
      <c r="Q490" s="9"/>
      <c r="S490" s="54"/>
      <c r="T490" s="54"/>
    </row>
    <row r="491">
      <c r="E491" s="50"/>
      <c r="F491" s="50"/>
      <c r="G491" s="50"/>
      <c r="H491" s="51"/>
      <c r="I491" s="52"/>
      <c r="J491" s="52"/>
      <c r="K491" s="52"/>
      <c r="L491" s="53"/>
      <c r="O491" s="6"/>
      <c r="P491" s="6"/>
      <c r="Q491" s="9"/>
      <c r="S491" s="54"/>
      <c r="T491" s="54"/>
    </row>
    <row r="492">
      <c r="E492" s="50"/>
      <c r="F492" s="50"/>
      <c r="G492" s="50"/>
      <c r="H492" s="51"/>
      <c r="I492" s="52"/>
      <c r="J492" s="52"/>
      <c r="K492" s="52"/>
      <c r="L492" s="53"/>
      <c r="O492" s="6"/>
      <c r="P492" s="6"/>
      <c r="Q492" s="9"/>
      <c r="S492" s="54"/>
      <c r="T492" s="54"/>
    </row>
    <row r="493">
      <c r="E493" s="50"/>
      <c r="F493" s="50"/>
      <c r="G493" s="50"/>
      <c r="H493" s="51"/>
      <c r="I493" s="52"/>
      <c r="J493" s="52"/>
      <c r="K493" s="52"/>
      <c r="L493" s="53"/>
      <c r="O493" s="6"/>
      <c r="P493" s="6"/>
      <c r="Q493" s="9"/>
      <c r="S493" s="54"/>
      <c r="T493" s="54"/>
    </row>
    <row r="494">
      <c r="E494" s="50"/>
      <c r="F494" s="50"/>
      <c r="G494" s="50"/>
      <c r="H494" s="51"/>
      <c r="I494" s="52"/>
      <c r="J494" s="52"/>
      <c r="K494" s="52"/>
      <c r="L494" s="53"/>
      <c r="O494" s="6"/>
      <c r="P494" s="6"/>
      <c r="Q494" s="9"/>
      <c r="S494" s="54"/>
      <c r="T494" s="54"/>
    </row>
    <row r="495">
      <c r="E495" s="50"/>
      <c r="F495" s="50"/>
      <c r="G495" s="50"/>
      <c r="H495" s="51"/>
      <c r="I495" s="52"/>
      <c r="J495" s="52"/>
      <c r="K495" s="52"/>
      <c r="L495" s="53"/>
      <c r="O495" s="6"/>
      <c r="P495" s="6"/>
      <c r="Q495" s="9"/>
      <c r="S495" s="54"/>
      <c r="T495" s="54"/>
    </row>
    <row r="496">
      <c r="E496" s="50"/>
      <c r="F496" s="50"/>
      <c r="G496" s="50"/>
      <c r="H496" s="51"/>
      <c r="I496" s="52"/>
      <c r="J496" s="52"/>
      <c r="K496" s="52"/>
      <c r="L496" s="53"/>
      <c r="O496" s="6"/>
      <c r="P496" s="6"/>
      <c r="Q496" s="9"/>
      <c r="S496" s="54"/>
      <c r="T496" s="54"/>
    </row>
    <row r="497">
      <c r="E497" s="50"/>
      <c r="F497" s="50"/>
      <c r="G497" s="50"/>
      <c r="H497" s="51"/>
      <c r="I497" s="52"/>
      <c r="J497" s="52"/>
      <c r="K497" s="52"/>
      <c r="L497" s="53"/>
      <c r="O497" s="6"/>
      <c r="P497" s="6"/>
      <c r="Q497" s="9"/>
      <c r="S497" s="54"/>
      <c r="T497" s="54"/>
    </row>
    <row r="498">
      <c r="E498" s="50"/>
      <c r="F498" s="50"/>
      <c r="G498" s="50"/>
      <c r="H498" s="51"/>
      <c r="I498" s="52"/>
      <c r="J498" s="52"/>
      <c r="K498" s="52"/>
      <c r="L498" s="53"/>
      <c r="O498" s="6"/>
      <c r="P498" s="6"/>
      <c r="Q498" s="9"/>
      <c r="S498" s="54"/>
      <c r="T498" s="54"/>
    </row>
    <row r="499">
      <c r="E499" s="50"/>
      <c r="F499" s="50"/>
      <c r="G499" s="50"/>
      <c r="H499" s="51"/>
      <c r="I499" s="52"/>
      <c r="J499" s="52"/>
      <c r="K499" s="52"/>
      <c r="L499" s="53"/>
      <c r="O499" s="6"/>
      <c r="P499" s="6"/>
      <c r="Q499" s="9"/>
      <c r="S499" s="54"/>
      <c r="T499" s="54"/>
    </row>
    <row r="500">
      <c r="E500" s="50"/>
      <c r="F500" s="50"/>
      <c r="G500" s="50"/>
      <c r="H500" s="51"/>
      <c r="I500" s="52"/>
      <c r="J500" s="52"/>
      <c r="K500" s="52"/>
      <c r="L500" s="53"/>
      <c r="O500" s="6"/>
      <c r="P500" s="6"/>
      <c r="Q500" s="9"/>
      <c r="S500" s="54"/>
      <c r="T500" s="54"/>
    </row>
    <row r="501">
      <c r="E501" s="50"/>
      <c r="F501" s="50"/>
      <c r="G501" s="50"/>
      <c r="H501" s="51"/>
      <c r="I501" s="52"/>
      <c r="J501" s="52"/>
      <c r="K501" s="52"/>
      <c r="L501" s="53"/>
      <c r="O501" s="6"/>
      <c r="P501" s="6"/>
      <c r="Q501" s="9"/>
      <c r="S501" s="54"/>
      <c r="T501" s="54"/>
    </row>
    <row r="502">
      <c r="E502" s="50"/>
      <c r="F502" s="50"/>
      <c r="G502" s="50"/>
      <c r="H502" s="51"/>
      <c r="I502" s="52"/>
      <c r="J502" s="52"/>
      <c r="K502" s="52"/>
      <c r="L502" s="53"/>
      <c r="O502" s="6"/>
      <c r="P502" s="6"/>
      <c r="Q502" s="9"/>
      <c r="S502" s="54"/>
      <c r="T502" s="54"/>
    </row>
    <row r="503">
      <c r="E503" s="50"/>
      <c r="F503" s="50"/>
      <c r="G503" s="50"/>
      <c r="H503" s="51"/>
      <c r="I503" s="52"/>
      <c r="J503" s="52"/>
      <c r="K503" s="52"/>
      <c r="L503" s="53"/>
      <c r="O503" s="6"/>
      <c r="P503" s="6"/>
      <c r="Q503" s="9"/>
      <c r="S503" s="54"/>
      <c r="T503" s="54"/>
    </row>
    <row r="504">
      <c r="E504" s="50"/>
      <c r="F504" s="50"/>
      <c r="G504" s="50"/>
      <c r="H504" s="51"/>
      <c r="I504" s="52"/>
      <c r="J504" s="52"/>
      <c r="K504" s="52"/>
      <c r="L504" s="53"/>
      <c r="O504" s="6"/>
      <c r="P504" s="6"/>
      <c r="Q504" s="9"/>
      <c r="S504" s="54"/>
      <c r="T504" s="54"/>
    </row>
    <row r="505">
      <c r="E505" s="50"/>
      <c r="F505" s="50"/>
      <c r="G505" s="50"/>
      <c r="H505" s="51"/>
      <c r="I505" s="52"/>
      <c r="J505" s="52"/>
      <c r="K505" s="52"/>
      <c r="L505" s="53"/>
      <c r="O505" s="6"/>
      <c r="P505" s="6"/>
      <c r="Q505" s="9"/>
      <c r="S505" s="54"/>
      <c r="T505" s="54"/>
    </row>
    <row r="506">
      <c r="E506" s="50"/>
      <c r="F506" s="50"/>
      <c r="G506" s="50"/>
      <c r="H506" s="51"/>
      <c r="I506" s="52"/>
      <c r="J506" s="52"/>
      <c r="K506" s="52"/>
      <c r="L506" s="53"/>
      <c r="O506" s="6"/>
      <c r="P506" s="6"/>
      <c r="Q506" s="9"/>
      <c r="S506" s="54"/>
      <c r="T506" s="54"/>
    </row>
    <row r="507">
      <c r="E507" s="50"/>
      <c r="F507" s="50"/>
      <c r="G507" s="50"/>
      <c r="H507" s="51"/>
      <c r="I507" s="52"/>
      <c r="J507" s="52"/>
      <c r="K507" s="52"/>
      <c r="L507" s="53"/>
      <c r="O507" s="6"/>
      <c r="P507" s="6"/>
      <c r="Q507" s="9"/>
      <c r="S507" s="54"/>
      <c r="T507" s="54"/>
    </row>
    <row r="508">
      <c r="E508" s="50"/>
      <c r="F508" s="50"/>
      <c r="G508" s="50"/>
      <c r="H508" s="51"/>
      <c r="I508" s="52"/>
      <c r="J508" s="52"/>
      <c r="K508" s="52"/>
      <c r="L508" s="53"/>
      <c r="O508" s="6"/>
      <c r="P508" s="6"/>
      <c r="Q508" s="9"/>
      <c r="S508" s="54"/>
      <c r="T508" s="54"/>
    </row>
    <row r="509">
      <c r="E509" s="50"/>
      <c r="F509" s="50"/>
      <c r="G509" s="50"/>
      <c r="H509" s="51"/>
      <c r="I509" s="52"/>
      <c r="J509" s="52"/>
      <c r="K509" s="52"/>
      <c r="L509" s="53"/>
      <c r="O509" s="6"/>
      <c r="P509" s="6"/>
      <c r="Q509" s="9"/>
      <c r="S509" s="54"/>
      <c r="T509" s="54"/>
    </row>
    <row r="510">
      <c r="E510" s="50"/>
      <c r="F510" s="50"/>
      <c r="G510" s="50"/>
      <c r="H510" s="51"/>
      <c r="I510" s="52"/>
      <c r="J510" s="52"/>
      <c r="K510" s="52"/>
      <c r="L510" s="53"/>
      <c r="O510" s="6"/>
      <c r="P510" s="6"/>
      <c r="Q510" s="9"/>
      <c r="S510" s="54"/>
      <c r="T510" s="54"/>
    </row>
    <row r="511">
      <c r="E511" s="50"/>
      <c r="F511" s="50"/>
      <c r="G511" s="50"/>
      <c r="H511" s="51"/>
      <c r="I511" s="52"/>
      <c r="J511" s="52"/>
      <c r="K511" s="52"/>
      <c r="L511" s="53"/>
      <c r="O511" s="6"/>
      <c r="P511" s="6"/>
      <c r="Q511" s="9"/>
      <c r="S511" s="54"/>
      <c r="T511" s="54"/>
    </row>
    <row r="512">
      <c r="E512" s="50"/>
      <c r="F512" s="50"/>
      <c r="G512" s="50"/>
      <c r="H512" s="51"/>
      <c r="I512" s="52"/>
      <c r="J512" s="52"/>
      <c r="K512" s="52"/>
      <c r="L512" s="53"/>
      <c r="O512" s="6"/>
      <c r="P512" s="6"/>
      <c r="Q512" s="9"/>
      <c r="S512" s="54"/>
      <c r="T512" s="54"/>
    </row>
    <row r="513">
      <c r="E513" s="50"/>
      <c r="F513" s="50"/>
      <c r="G513" s="50"/>
      <c r="H513" s="51"/>
      <c r="I513" s="52"/>
      <c r="J513" s="52"/>
      <c r="K513" s="52"/>
      <c r="L513" s="53"/>
      <c r="O513" s="6"/>
      <c r="P513" s="6"/>
      <c r="Q513" s="9"/>
      <c r="S513" s="54"/>
      <c r="T513" s="54"/>
    </row>
    <row r="514">
      <c r="E514" s="50"/>
      <c r="F514" s="50"/>
      <c r="G514" s="50"/>
      <c r="H514" s="51"/>
      <c r="I514" s="52"/>
      <c r="J514" s="52"/>
      <c r="K514" s="52"/>
      <c r="L514" s="53"/>
      <c r="O514" s="6"/>
      <c r="P514" s="6"/>
      <c r="Q514" s="9"/>
      <c r="S514" s="54"/>
      <c r="T514" s="54"/>
    </row>
    <row r="515">
      <c r="E515" s="50"/>
      <c r="F515" s="50"/>
      <c r="G515" s="50"/>
      <c r="H515" s="51"/>
      <c r="I515" s="52"/>
      <c r="J515" s="52"/>
      <c r="K515" s="52"/>
      <c r="L515" s="53"/>
      <c r="O515" s="6"/>
      <c r="P515" s="6"/>
      <c r="Q515" s="9"/>
      <c r="S515" s="54"/>
      <c r="T515" s="54"/>
    </row>
    <row r="516">
      <c r="E516" s="50"/>
      <c r="F516" s="50"/>
      <c r="G516" s="50"/>
      <c r="H516" s="51"/>
      <c r="I516" s="52"/>
      <c r="J516" s="52"/>
      <c r="K516" s="52"/>
      <c r="L516" s="53"/>
      <c r="O516" s="6"/>
      <c r="P516" s="6"/>
      <c r="Q516" s="9"/>
      <c r="S516" s="54"/>
      <c r="T516" s="54"/>
    </row>
    <row r="517">
      <c r="E517" s="50"/>
      <c r="F517" s="50"/>
      <c r="G517" s="50"/>
      <c r="H517" s="51"/>
      <c r="I517" s="52"/>
      <c r="J517" s="52"/>
      <c r="K517" s="52"/>
      <c r="L517" s="53"/>
      <c r="O517" s="6"/>
      <c r="P517" s="6"/>
      <c r="Q517" s="9"/>
      <c r="S517" s="54"/>
      <c r="T517" s="54"/>
    </row>
    <row r="518">
      <c r="E518" s="50"/>
      <c r="F518" s="50"/>
      <c r="G518" s="50"/>
      <c r="H518" s="51"/>
      <c r="I518" s="52"/>
      <c r="J518" s="52"/>
      <c r="K518" s="52"/>
      <c r="L518" s="53"/>
      <c r="O518" s="6"/>
      <c r="P518" s="6"/>
      <c r="Q518" s="9"/>
      <c r="S518" s="54"/>
      <c r="T518" s="54"/>
    </row>
    <row r="519">
      <c r="E519" s="50"/>
      <c r="F519" s="50"/>
      <c r="G519" s="50"/>
      <c r="H519" s="51"/>
      <c r="I519" s="52"/>
      <c r="J519" s="52"/>
      <c r="K519" s="52"/>
      <c r="L519" s="53"/>
      <c r="O519" s="6"/>
      <c r="P519" s="6"/>
      <c r="Q519" s="9"/>
      <c r="S519" s="54"/>
      <c r="T519" s="54"/>
    </row>
    <row r="520">
      <c r="E520" s="50"/>
      <c r="F520" s="50"/>
      <c r="G520" s="50"/>
      <c r="H520" s="51"/>
      <c r="I520" s="52"/>
      <c r="J520" s="52"/>
      <c r="K520" s="52"/>
      <c r="L520" s="53"/>
      <c r="O520" s="6"/>
      <c r="P520" s="6"/>
      <c r="Q520" s="9"/>
      <c r="S520" s="54"/>
      <c r="T520" s="54"/>
    </row>
    <row r="521">
      <c r="E521" s="50"/>
      <c r="F521" s="50"/>
      <c r="G521" s="50"/>
      <c r="H521" s="51"/>
      <c r="I521" s="52"/>
      <c r="J521" s="52"/>
      <c r="K521" s="52"/>
      <c r="L521" s="53"/>
      <c r="O521" s="6"/>
      <c r="P521" s="6"/>
      <c r="Q521" s="9"/>
      <c r="S521" s="54"/>
      <c r="T521" s="54"/>
    </row>
    <row r="522">
      <c r="E522" s="50"/>
      <c r="F522" s="50"/>
      <c r="G522" s="50"/>
      <c r="H522" s="51"/>
      <c r="I522" s="52"/>
      <c r="J522" s="52"/>
      <c r="K522" s="52"/>
      <c r="L522" s="53"/>
      <c r="O522" s="6"/>
      <c r="P522" s="6"/>
      <c r="Q522" s="9"/>
      <c r="S522" s="54"/>
      <c r="T522" s="54"/>
    </row>
    <row r="523">
      <c r="E523" s="50"/>
      <c r="F523" s="50"/>
      <c r="G523" s="50"/>
      <c r="H523" s="51"/>
      <c r="I523" s="52"/>
      <c r="J523" s="52"/>
      <c r="K523" s="52"/>
      <c r="L523" s="53"/>
      <c r="O523" s="6"/>
      <c r="P523" s="6"/>
      <c r="Q523" s="9"/>
      <c r="S523" s="54"/>
      <c r="T523" s="54"/>
    </row>
    <row r="524">
      <c r="E524" s="50"/>
      <c r="F524" s="50"/>
      <c r="G524" s="50"/>
      <c r="H524" s="51"/>
      <c r="I524" s="52"/>
      <c r="J524" s="52"/>
      <c r="K524" s="52"/>
      <c r="L524" s="53"/>
      <c r="O524" s="6"/>
      <c r="P524" s="6"/>
      <c r="Q524" s="9"/>
      <c r="S524" s="54"/>
      <c r="T524" s="54"/>
    </row>
    <row r="525">
      <c r="E525" s="50"/>
      <c r="F525" s="50"/>
      <c r="G525" s="50"/>
      <c r="H525" s="51"/>
      <c r="I525" s="52"/>
      <c r="J525" s="52"/>
      <c r="K525" s="52"/>
      <c r="L525" s="53"/>
      <c r="O525" s="6"/>
      <c r="P525" s="6"/>
      <c r="Q525" s="9"/>
      <c r="S525" s="54"/>
      <c r="T525" s="54"/>
    </row>
    <row r="526">
      <c r="E526" s="50"/>
      <c r="F526" s="50"/>
      <c r="G526" s="50"/>
      <c r="H526" s="51"/>
      <c r="I526" s="52"/>
      <c r="J526" s="52"/>
      <c r="K526" s="52"/>
      <c r="L526" s="53"/>
      <c r="O526" s="6"/>
      <c r="P526" s="6"/>
      <c r="Q526" s="9"/>
      <c r="S526" s="54"/>
      <c r="T526" s="54"/>
    </row>
    <row r="527">
      <c r="E527" s="50"/>
      <c r="F527" s="50"/>
      <c r="G527" s="50"/>
      <c r="H527" s="51"/>
      <c r="I527" s="52"/>
      <c r="J527" s="52"/>
      <c r="K527" s="52"/>
      <c r="L527" s="53"/>
      <c r="O527" s="6"/>
      <c r="P527" s="6"/>
      <c r="Q527" s="9"/>
      <c r="S527" s="54"/>
      <c r="T527" s="54"/>
    </row>
    <row r="528">
      <c r="E528" s="50"/>
      <c r="F528" s="50"/>
      <c r="G528" s="50"/>
      <c r="H528" s="51"/>
      <c r="I528" s="52"/>
      <c r="J528" s="52"/>
      <c r="K528" s="52"/>
      <c r="L528" s="53"/>
      <c r="O528" s="6"/>
      <c r="P528" s="6"/>
      <c r="Q528" s="9"/>
      <c r="S528" s="54"/>
      <c r="T528" s="54"/>
    </row>
    <row r="529">
      <c r="E529" s="50"/>
      <c r="F529" s="50"/>
      <c r="G529" s="50"/>
      <c r="H529" s="51"/>
      <c r="I529" s="52"/>
      <c r="J529" s="52"/>
      <c r="K529" s="52"/>
      <c r="L529" s="53"/>
      <c r="O529" s="6"/>
      <c r="P529" s="6"/>
      <c r="Q529" s="9"/>
      <c r="S529" s="54"/>
      <c r="T529" s="54"/>
    </row>
    <row r="530">
      <c r="E530" s="50"/>
      <c r="F530" s="50"/>
      <c r="G530" s="50"/>
      <c r="H530" s="51"/>
      <c r="I530" s="52"/>
      <c r="J530" s="52"/>
      <c r="K530" s="52"/>
      <c r="L530" s="53"/>
      <c r="O530" s="6"/>
      <c r="P530" s="6"/>
      <c r="Q530" s="9"/>
      <c r="S530" s="54"/>
      <c r="T530" s="54"/>
    </row>
    <row r="531">
      <c r="E531" s="50"/>
      <c r="F531" s="50"/>
      <c r="G531" s="50"/>
      <c r="H531" s="51"/>
      <c r="I531" s="52"/>
      <c r="J531" s="52"/>
      <c r="K531" s="52"/>
      <c r="L531" s="53"/>
      <c r="O531" s="6"/>
      <c r="P531" s="6"/>
      <c r="Q531" s="9"/>
      <c r="S531" s="54"/>
      <c r="T531" s="54"/>
    </row>
    <row r="532">
      <c r="E532" s="50"/>
      <c r="F532" s="50"/>
      <c r="G532" s="50"/>
      <c r="H532" s="51"/>
      <c r="I532" s="52"/>
      <c r="J532" s="52"/>
      <c r="K532" s="52"/>
      <c r="L532" s="53"/>
      <c r="O532" s="6"/>
      <c r="P532" s="6"/>
      <c r="Q532" s="9"/>
      <c r="S532" s="54"/>
      <c r="T532" s="54"/>
    </row>
    <row r="533">
      <c r="E533" s="50"/>
      <c r="F533" s="50"/>
      <c r="G533" s="50"/>
      <c r="H533" s="51"/>
      <c r="I533" s="52"/>
      <c r="J533" s="52"/>
      <c r="K533" s="52"/>
      <c r="L533" s="53"/>
      <c r="O533" s="6"/>
      <c r="P533" s="6"/>
      <c r="Q533" s="9"/>
      <c r="S533" s="54"/>
      <c r="T533" s="54"/>
    </row>
    <row r="534">
      <c r="E534" s="50"/>
      <c r="F534" s="50"/>
      <c r="G534" s="50"/>
      <c r="H534" s="51"/>
      <c r="I534" s="52"/>
      <c r="J534" s="52"/>
      <c r="K534" s="52"/>
      <c r="L534" s="53"/>
      <c r="O534" s="6"/>
      <c r="P534" s="6"/>
      <c r="Q534" s="9"/>
      <c r="S534" s="54"/>
      <c r="T534" s="54"/>
    </row>
    <row r="535">
      <c r="E535" s="50"/>
      <c r="F535" s="50"/>
      <c r="G535" s="50"/>
      <c r="H535" s="51"/>
      <c r="I535" s="52"/>
      <c r="J535" s="52"/>
      <c r="K535" s="52"/>
      <c r="L535" s="53"/>
      <c r="O535" s="6"/>
      <c r="P535" s="6"/>
      <c r="Q535" s="9"/>
      <c r="S535" s="54"/>
      <c r="T535" s="54"/>
    </row>
    <row r="536">
      <c r="E536" s="50"/>
      <c r="F536" s="50"/>
      <c r="G536" s="50"/>
      <c r="H536" s="51"/>
      <c r="I536" s="52"/>
      <c r="J536" s="52"/>
      <c r="K536" s="52"/>
      <c r="L536" s="53"/>
      <c r="O536" s="6"/>
      <c r="P536" s="6"/>
      <c r="Q536" s="9"/>
      <c r="S536" s="54"/>
      <c r="T536" s="54"/>
    </row>
    <row r="537">
      <c r="E537" s="50"/>
      <c r="F537" s="50"/>
      <c r="G537" s="50"/>
      <c r="H537" s="51"/>
      <c r="I537" s="52"/>
      <c r="J537" s="52"/>
      <c r="K537" s="52"/>
      <c r="L537" s="53"/>
      <c r="O537" s="6"/>
      <c r="P537" s="6"/>
      <c r="Q537" s="9"/>
      <c r="S537" s="54"/>
      <c r="T537" s="54"/>
    </row>
    <row r="538">
      <c r="E538" s="50"/>
      <c r="F538" s="50"/>
      <c r="G538" s="50"/>
      <c r="H538" s="51"/>
      <c r="I538" s="52"/>
      <c r="J538" s="52"/>
      <c r="K538" s="52"/>
      <c r="L538" s="53"/>
      <c r="O538" s="6"/>
      <c r="P538" s="6"/>
      <c r="Q538" s="9"/>
      <c r="S538" s="54"/>
      <c r="T538" s="54"/>
    </row>
    <row r="539">
      <c r="E539" s="50"/>
      <c r="F539" s="50"/>
      <c r="G539" s="50"/>
      <c r="H539" s="51"/>
      <c r="I539" s="52"/>
      <c r="J539" s="52"/>
      <c r="K539" s="52"/>
      <c r="L539" s="53"/>
      <c r="O539" s="6"/>
      <c r="P539" s="6"/>
      <c r="Q539" s="9"/>
      <c r="S539" s="54"/>
      <c r="T539" s="54"/>
    </row>
    <row r="540">
      <c r="E540" s="50"/>
      <c r="F540" s="50"/>
      <c r="G540" s="50"/>
      <c r="H540" s="51"/>
      <c r="I540" s="52"/>
      <c r="J540" s="52"/>
      <c r="K540" s="52"/>
      <c r="L540" s="53"/>
      <c r="O540" s="6"/>
      <c r="P540" s="6"/>
      <c r="Q540" s="9"/>
      <c r="S540" s="54"/>
      <c r="T540" s="54"/>
    </row>
    <row r="541">
      <c r="E541" s="50"/>
      <c r="F541" s="50"/>
      <c r="G541" s="50"/>
      <c r="H541" s="51"/>
      <c r="I541" s="52"/>
      <c r="J541" s="52"/>
      <c r="K541" s="52"/>
      <c r="L541" s="53"/>
      <c r="O541" s="6"/>
      <c r="P541" s="6"/>
      <c r="Q541" s="9"/>
      <c r="S541" s="54"/>
      <c r="T541" s="54"/>
    </row>
    <row r="542">
      <c r="E542" s="50"/>
      <c r="F542" s="50"/>
      <c r="G542" s="50"/>
      <c r="H542" s="51"/>
      <c r="I542" s="52"/>
      <c r="J542" s="52"/>
      <c r="K542" s="52"/>
      <c r="L542" s="53"/>
      <c r="O542" s="6"/>
      <c r="P542" s="6"/>
      <c r="Q542" s="9"/>
      <c r="S542" s="54"/>
      <c r="T542" s="54"/>
    </row>
    <row r="543">
      <c r="E543" s="50"/>
      <c r="F543" s="50"/>
      <c r="G543" s="50"/>
      <c r="H543" s="51"/>
      <c r="I543" s="52"/>
      <c r="J543" s="52"/>
      <c r="K543" s="52"/>
      <c r="L543" s="53"/>
      <c r="O543" s="6"/>
      <c r="P543" s="6"/>
      <c r="Q543" s="9"/>
      <c r="S543" s="54"/>
      <c r="T543" s="54"/>
    </row>
    <row r="544">
      <c r="E544" s="50"/>
      <c r="F544" s="50"/>
      <c r="G544" s="50"/>
      <c r="H544" s="51"/>
      <c r="I544" s="52"/>
      <c r="J544" s="52"/>
      <c r="K544" s="52"/>
      <c r="L544" s="53"/>
      <c r="O544" s="6"/>
      <c r="P544" s="6"/>
      <c r="Q544" s="9"/>
      <c r="S544" s="54"/>
      <c r="T544" s="54"/>
    </row>
    <row r="545">
      <c r="E545" s="50"/>
      <c r="F545" s="50"/>
      <c r="G545" s="50"/>
      <c r="H545" s="51"/>
      <c r="I545" s="52"/>
      <c r="J545" s="52"/>
      <c r="K545" s="52"/>
      <c r="L545" s="53"/>
      <c r="O545" s="6"/>
      <c r="P545" s="6"/>
      <c r="Q545" s="9"/>
      <c r="S545" s="54"/>
      <c r="T545" s="54"/>
    </row>
    <row r="546">
      <c r="E546" s="50"/>
      <c r="F546" s="50"/>
      <c r="G546" s="50"/>
      <c r="H546" s="51"/>
      <c r="I546" s="52"/>
      <c r="J546" s="52"/>
      <c r="K546" s="52"/>
      <c r="L546" s="53"/>
      <c r="O546" s="6"/>
      <c r="P546" s="6"/>
      <c r="Q546" s="9"/>
      <c r="S546" s="54"/>
      <c r="T546" s="54"/>
    </row>
    <row r="547">
      <c r="E547" s="50"/>
      <c r="F547" s="50"/>
      <c r="G547" s="50"/>
      <c r="H547" s="51"/>
      <c r="I547" s="52"/>
      <c r="J547" s="52"/>
      <c r="K547" s="52"/>
      <c r="L547" s="53"/>
      <c r="O547" s="6"/>
      <c r="P547" s="6"/>
      <c r="Q547" s="9"/>
      <c r="S547" s="54"/>
      <c r="T547" s="54"/>
    </row>
    <row r="548">
      <c r="E548" s="50"/>
      <c r="F548" s="50"/>
      <c r="G548" s="50"/>
      <c r="H548" s="51"/>
      <c r="I548" s="52"/>
      <c r="J548" s="52"/>
      <c r="K548" s="52"/>
      <c r="L548" s="53"/>
      <c r="O548" s="6"/>
      <c r="P548" s="6"/>
      <c r="Q548" s="9"/>
      <c r="S548" s="54"/>
      <c r="T548" s="54"/>
    </row>
    <row r="549">
      <c r="E549" s="50"/>
      <c r="F549" s="50"/>
      <c r="G549" s="50"/>
      <c r="H549" s="51"/>
      <c r="I549" s="52"/>
      <c r="J549" s="52"/>
      <c r="K549" s="52"/>
      <c r="L549" s="53"/>
      <c r="O549" s="6"/>
      <c r="P549" s="6"/>
      <c r="Q549" s="9"/>
      <c r="S549" s="54"/>
      <c r="T549" s="54"/>
    </row>
    <row r="550">
      <c r="E550" s="50"/>
      <c r="F550" s="50"/>
      <c r="G550" s="50"/>
      <c r="H550" s="51"/>
      <c r="I550" s="52"/>
      <c r="J550" s="52"/>
      <c r="K550" s="52"/>
      <c r="L550" s="53"/>
      <c r="O550" s="6"/>
      <c r="P550" s="6"/>
      <c r="Q550" s="9"/>
      <c r="S550" s="54"/>
      <c r="T550" s="54"/>
    </row>
    <row r="551">
      <c r="E551" s="50"/>
      <c r="F551" s="50"/>
      <c r="G551" s="50"/>
      <c r="H551" s="51"/>
      <c r="I551" s="52"/>
      <c r="J551" s="52"/>
      <c r="K551" s="52"/>
      <c r="L551" s="53"/>
      <c r="O551" s="6"/>
      <c r="P551" s="6"/>
      <c r="Q551" s="9"/>
      <c r="S551" s="54"/>
      <c r="T551" s="54"/>
    </row>
    <row r="552">
      <c r="E552" s="50"/>
      <c r="F552" s="50"/>
      <c r="G552" s="50"/>
      <c r="H552" s="51"/>
      <c r="I552" s="52"/>
      <c r="J552" s="52"/>
      <c r="K552" s="52"/>
      <c r="L552" s="53"/>
      <c r="O552" s="6"/>
      <c r="P552" s="6"/>
      <c r="Q552" s="9"/>
      <c r="S552" s="54"/>
      <c r="T552" s="54"/>
    </row>
    <row r="553">
      <c r="E553" s="50"/>
      <c r="F553" s="50"/>
      <c r="G553" s="50"/>
      <c r="H553" s="51"/>
      <c r="I553" s="52"/>
      <c r="J553" s="52"/>
      <c r="K553" s="52"/>
      <c r="L553" s="53"/>
      <c r="O553" s="6"/>
      <c r="P553" s="6"/>
      <c r="Q553" s="9"/>
      <c r="S553" s="54"/>
      <c r="T553" s="54"/>
    </row>
    <row r="554">
      <c r="E554" s="50"/>
      <c r="F554" s="50"/>
      <c r="G554" s="50"/>
      <c r="H554" s="51"/>
      <c r="I554" s="52"/>
      <c r="J554" s="52"/>
      <c r="K554" s="52"/>
      <c r="L554" s="53"/>
      <c r="O554" s="6"/>
      <c r="P554" s="6"/>
      <c r="Q554" s="9"/>
      <c r="S554" s="54"/>
      <c r="T554" s="54"/>
    </row>
    <row r="555">
      <c r="E555" s="50"/>
      <c r="F555" s="50"/>
      <c r="G555" s="50"/>
      <c r="H555" s="51"/>
      <c r="I555" s="52"/>
      <c r="J555" s="52"/>
      <c r="K555" s="52"/>
      <c r="L555" s="53"/>
      <c r="O555" s="6"/>
      <c r="P555" s="6"/>
      <c r="Q555" s="9"/>
      <c r="S555" s="54"/>
      <c r="T555" s="54"/>
    </row>
    <row r="556">
      <c r="E556" s="50"/>
      <c r="F556" s="50"/>
      <c r="G556" s="50"/>
      <c r="H556" s="51"/>
      <c r="I556" s="52"/>
      <c r="J556" s="52"/>
      <c r="K556" s="52"/>
      <c r="L556" s="53"/>
      <c r="O556" s="6"/>
      <c r="P556" s="6"/>
      <c r="Q556" s="9"/>
      <c r="S556" s="54"/>
      <c r="T556" s="54"/>
    </row>
    <row r="557">
      <c r="E557" s="50"/>
      <c r="F557" s="50"/>
      <c r="G557" s="50"/>
      <c r="H557" s="51"/>
      <c r="I557" s="52"/>
      <c r="J557" s="52"/>
      <c r="K557" s="52"/>
      <c r="L557" s="53"/>
      <c r="O557" s="6"/>
      <c r="P557" s="6"/>
      <c r="Q557" s="9"/>
      <c r="S557" s="54"/>
      <c r="T557" s="54"/>
    </row>
    <row r="558">
      <c r="E558" s="50"/>
      <c r="F558" s="50"/>
      <c r="G558" s="50"/>
      <c r="H558" s="51"/>
      <c r="I558" s="52"/>
      <c r="J558" s="52"/>
      <c r="K558" s="52"/>
      <c r="L558" s="53"/>
      <c r="O558" s="6"/>
      <c r="P558" s="6"/>
      <c r="Q558" s="9"/>
      <c r="S558" s="54"/>
      <c r="T558" s="54"/>
    </row>
    <row r="559">
      <c r="E559" s="50"/>
      <c r="F559" s="50"/>
      <c r="G559" s="50"/>
      <c r="H559" s="51"/>
      <c r="I559" s="52"/>
      <c r="J559" s="52"/>
      <c r="K559" s="52"/>
      <c r="L559" s="53"/>
      <c r="O559" s="6"/>
      <c r="P559" s="6"/>
      <c r="Q559" s="9"/>
      <c r="S559" s="54"/>
      <c r="T559" s="54"/>
    </row>
    <row r="560">
      <c r="E560" s="50"/>
      <c r="F560" s="50"/>
      <c r="G560" s="50"/>
      <c r="H560" s="51"/>
      <c r="I560" s="52"/>
      <c r="J560" s="52"/>
      <c r="K560" s="52"/>
      <c r="L560" s="53"/>
      <c r="O560" s="6"/>
      <c r="P560" s="6"/>
      <c r="Q560" s="9"/>
      <c r="S560" s="54"/>
      <c r="T560" s="54"/>
    </row>
    <row r="561">
      <c r="E561" s="50"/>
      <c r="F561" s="50"/>
      <c r="G561" s="50"/>
      <c r="H561" s="51"/>
      <c r="I561" s="52"/>
      <c r="J561" s="52"/>
      <c r="K561" s="52"/>
      <c r="L561" s="53"/>
      <c r="O561" s="6"/>
      <c r="P561" s="6"/>
      <c r="Q561" s="9"/>
      <c r="S561" s="54"/>
      <c r="T561" s="54"/>
    </row>
    <row r="562">
      <c r="E562" s="50"/>
      <c r="F562" s="50"/>
      <c r="G562" s="50"/>
      <c r="H562" s="51"/>
      <c r="I562" s="52"/>
      <c r="J562" s="52"/>
      <c r="K562" s="52"/>
      <c r="L562" s="53"/>
      <c r="O562" s="6"/>
      <c r="P562" s="6"/>
      <c r="Q562" s="9"/>
      <c r="S562" s="54"/>
      <c r="T562" s="54"/>
    </row>
    <row r="563">
      <c r="E563" s="50"/>
      <c r="F563" s="50"/>
      <c r="G563" s="50"/>
      <c r="H563" s="51"/>
      <c r="I563" s="52"/>
      <c r="J563" s="52"/>
      <c r="K563" s="52"/>
      <c r="L563" s="53"/>
      <c r="O563" s="6"/>
      <c r="P563" s="6"/>
      <c r="Q563" s="9"/>
      <c r="S563" s="54"/>
      <c r="T563" s="54"/>
    </row>
    <row r="564">
      <c r="E564" s="50"/>
      <c r="F564" s="50"/>
      <c r="G564" s="50"/>
      <c r="H564" s="51"/>
      <c r="I564" s="52"/>
      <c r="J564" s="52"/>
      <c r="K564" s="52"/>
      <c r="L564" s="53"/>
      <c r="O564" s="6"/>
      <c r="P564" s="6"/>
      <c r="Q564" s="9"/>
      <c r="S564" s="54"/>
      <c r="T564" s="54"/>
    </row>
    <row r="565">
      <c r="E565" s="50"/>
      <c r="F565" s="50"/>
      <c r="G565" s="50"/>
      <c r="H565" s="51"/>
      <c r="I565" s="52"/>
      <c r="J565" s="52"/>
      <c r="K565" s="52"/>
      <c r="L565" s="53"/>
      <c r="O565" s="6"/>
      <c r="P565" s="6"/>
      <c r="Q565" s="9"/>
      <c r="S565" s="54"/>
      <c r="T565" s="54"/>
    </row>
    <row r="566">
      <c r="E566" s="50"/>
      <c r="F566" s="50"/>
      <c r="G566" s="50"/>
      <c r="H566" s="51"/>
      <c r="I566" s="52"/>
      <c r="J566" s="52"/>
      <c r="K566" s="52"/>
      <c r="L566" s="53"/>
      <c r="O566" s="6"/>
      <c r="P566" s="6"/>
      <c r="Q566" s="9"/>
      <c r="S566" s="54"/>
      <c r="T566" s="54"/>
    </row>
    <row r="567">
      <c r="E567" s="50"/>
      <c r="F567" s="50"/>
      <c r="G567" s="50"/>
      <c r="H567" s="51"/>
      <c r="I567" s="52"/>
      <c r="J567" s="52"/>
      <c r="K567" s="52"/>
      <c r="L567" s="53"/>
      <c r="O567" s="6"/>
      <c r="P567" s="6"/>
      <c r="Q567" s="9"/>
      <c r="S567" s="54"/>
      <c r="T567" s="54"/>
    </row>
    <row r="568">
      <c r="E568" s="50"/>
      <c r="F568" s="50"/>
      <c r="G568" s="50"/>
      <c r="H568" s="51"/>
      <c r="I568" s="52"/>
      <c r="J568" s="52"/>
      <c r="K568" s="52"/>
      <c r="L568" s="53"/>
      <c r="O568" s="6"/>
      <c r="P568" s="6"/>
      <c r="Q568" s="9"/>
      <c r="S568" s="54"/>
      <c r="T568" s="54"/>
    </row>
    <row r="569">
      <c r="E569" s="50"/>
      <c r="F569" s="50"/>
      <c r="G569" s="50"/>
      <c r="H569" s="51"/>
      <c r="I569" s="52"/>
      <c r="J569" s="52"/>
      <c r="K569" s="52"/>
      <c r="L569" s="53"/>
      <c r="O569" s="6"/>
      <c r="P569" s="6"/>
      <c r="Q569" s="9"/>
      <c r="S569" s="54"/>
      <c r="T569" s="54"/>
    </row>
    <row r="570">
      <c r="E570" s="50"/>
      <c r="F570" s="50"/>
      <c r="G570" s="50"/>
      <c r="H570" s="51"/>
      <c r="I570" s="52"/>
      <c r="J570" s="52"/>
      <c r="K570" s="52"/>
      <c r="L570" s="53"/>
      <c r="O570" s="6"/>
      <c r="P570" s="6"/>
      <c r="Q570" s="9"/>
      <c r="S570" s="54"/>
      <c r="T570" s="54"/>
    </row>
    <row r="571">
      <c r="E571" s="50"/>
      <c r="F571" s="50"/>
      <c r="G571" s="50"/>
      <c r="H571" s="51"/>
      <c r="I571" s="52"/>
      <c r="J571" s="52"/>
      <c r="K571" s="52"/>
      <c r="L571" s="53"/>
      <c r="O571" s="6"/>
      <c r="P571" s="6"/>
      <c r="Q571" s="9"/>
      <c r="S571" s="54"/>
      <c r="T571" s="54"/>
    </row>
    <row r="572">
      <c r="E572" s="50"/>
      <c r="F572" s="50"/>
      <c r="G572" s="50"/>
      <c r="H572" s="51"/>
      <c r="I572" s="52"/>
      <c r="J572" s="52"/>
      <c r="K572" s="52"/>
      <c r="L572" s="53"/>
      <c r="O572" s="6"/>
      <c r="P572" s="6"/>
      <c r="Q572" s="9"/>
      <c r="S572" s="54"/>
      <c r="T572" s="54"/>
    </row>
    <row r="573">
      <c r="E573" s="50"/>
      <c r="F573" s="50"/>
      <c r="G573" s="50"/>
      <c r="H573" s="51"/>
      <c r="I573" s="52"/>
      <c r="J573" s="52"/>
      <c r="K573" s="52"/>
      <c r="L573" s="53"/>
      <c r="O573" s="6"/>
      <c r="P573" s="6"/>
      <c r="Q573" s="9"/>
      <c r="S573" s="54"/>
      <c r="T573" s="54"/>
    </row>
    <row r="574">
      <c r="E574" s="50"/>
      <c r="F574" s="50"/>
      <c r="G574" s="50"/>
      <c r="H574" s="51"/>
      <c r="I574" s="52"/>
      <c r="J574" s="52"/>
      <c r="K574" s="52"/>
      <c r="L574" s="53"/>
      <c r="O574" s="6"/>
      <c r="P574" s="6"/>
      <c r="Q574" s="9"/>
      <c r="S574" s="54"/>
      <c r="T574" s="54"/>
    </row>
    <row r="575">
      <c r="E575" s="50"/>
      <c r="F575" s="50"/>
      <c r="G575" s="50"/>
      <c r="H575" s="51"/>
      <c r="I575" s="52"/>
      <c r="J575" s="52"/>
      <c r="K575" s="52"/>
      <c r="L575" s="53"/>
      <c r="O575" s="6"/>
      <c r="P575" s="6"/>
      <c r="Q575" s="9"/>
      <c r="S575" s="54"/>
      <c r="T575" s="54"/>
    </row>
    <row r="576">
      <c r="E576" s="50"/>
      <c r="F576" s="50"/>
      <c r="G576" s="50"/>
      <c r="H576" s="51"/>
      <c r="I576" s="52"/>
      <c r="J576" s="52"/>
      <c r="K576" s="52"/>
      <c r="L576" s="53"/>
      <c r="O576" s="6"/>
      <c r="P576" s="6"/>
      <c r="Q576" s="9"/>
      <c r="S576" s="54"/>
      <c r="T576" s="54"/>
    </row>
    <row r="577">
      <c r="E577" s="50"/>
      <c r="F577" s="50"/>
      <c r="G577" s="50"/>
      <c r="H577" s="51"/>
      <c r="I577" s="52"/>
      <c r="J577" s="52"/>
      <c r="K577" s="52"/>
      <c r="L577" s="53"/>
      <c r="O577" s="6"/>
      <c r="P577" s="6"/>
      <c r="Q577" s="9"/>
      <c r="S577" s="54"/>
      <c r="T577" s="54"/>
    </row>
    <row r="578">
      <c r="E578" s="50"/>
      <c r="F578" s="50"/>
      <c r="G578" s="50"/>
      <c r="H578" s="51"/>
      <c r="I578" s="52"/>
      <c r="J578" s="52"/>
      <c r="K578" s="52"/>
      <c r="L578" s="53"/>
      <c r="O578" s="6"/>
      <c r="P578" s="6"/>
      <c r="Q578" s="9"/>
      <c r="S578" s="54"/>
      <c r="T578" s="54"/>
    </row>
    <row r="579">
      <c r="E579" s="50"/>
      <c r="F579" s="50"/>
      <c r="G579" s="50"/>
      <c r="H579" s="51"/>
      <c r="I579" s="52"/>
      <c r="J579" s="52"/>
      <c r="K579" s="52"/>
      <c r="L579" s="53"/>
      <c r="O579" s="6"/>
      <c r="P579" s="6"/>
      <c r="Q579" s="9"/>
      <c r="S579" s="54"/>
      <c r="T579" s="54"/>
    </row>
    <row r="580">
      <c r="E580" s="50"/>
      <c r="F580" s="50"/>
      <c r="G580" s="50"/>
      <c r="H580" s="51"/>
      <c r="I580" s="52"/>
      <c r="J580" s="52"/>
      <c r="K580" s="52"/>
      <c r="L580" s="53"/>
      <c r="O580" s="6"/>
      <c r="P580" s="6"/>
      <c r="Q580" s="9"/>
      <c r="S580" s="54"/>
      <c r="T580" s="54"/>
    </row>
    <row r="581">
      <c r="E581" s="50"/>
      <c r="F581" s="50"/>
      <c r="G581" s="50"/>
      <c r="H581" s="51"/>
      <c r="I581" s="52"/>
      <c r="J581" s="52"/>
      <c r="K581" s="52"/>
      <c r="L581" s="53"/>
      <c r="O581" s="6"/>
      <c r="P581" s="6"/>
      <c r="Q581" s="9"/>
      <c r="S581" s="54"/>
      <c r="T581" s="54"/>
    </row>
    <row r="582">
      <c r="E582" s="50"/>
      <c r="F582" s="50"/>
      <c r="G582" s="50"/>
      <c r="H582" s="51"/>
      <c r="I582" s="52"/>
      <c r="J582" s="52"/>
      <c r="K582" s="52"/>
      <c r="L582" s="53"/>
      <c r="O582" s="6"/>
      <c r="P582" s="6"/>
      <c r="Q582" s="9"/>
      <c r="S582" s="54"/>
      <c r="T582" s="54"/>
    </row>
    <row r="583">
      <c r="E583" s="50"/>
      <c r="F583" s="50"/>
      <c r="G583" s="50"/>
      <c r="H583" s="51"/>
      <c r="I583" s="52"/>
      <c r="J583" s="52"/>
      <c r="K583" s="52"/>
      <c r="L583" s="53"/>
      <c r="O583" s="6"/>
      <c r="P583" s="6"/>
      <c r="Q583" s="9"/>
      <c r="S583" s="54"/>
      <c r="T583" s="54"/>
    </row>
    <row r="584">
      <c r="E584" s="50"/>
      <c r="F584" s="50"/>
      <c r="G584" s="50"/>
      <c r="H584" s="51"/>
      <c r="I584" s="52"/>
      <c r="J584" s="52"/>
      <c r="K584" s="52"/>
      <c r="L584" s="53"/>
      <c r="O584" s="6"/>
      <c r="P584" s="6"/>
      <c r="Q584" s="9"/>
      <c r="S584" s="54"/>
      <c r="T584" s="54"/>
    </row>
    <row r="585">
      <c r="E585" s="50"/>
      <c r="F585" s="50"/>
      <c r="G585" s="50"/>
      <c r="H585" s="51"/>
      <c r="I585" s="52"/>
      <c r="J585" s="52"/>
      <c r="K585" s="52"/>
      <c r="L585" s="53"/>
      <c r="O585" s="6"/>
      <c r="P585" s="6"/>
      <c r="Q585" s="9"/>
      <c r="S585" s="54"/>
      <c r="T585" s="54"/>
    </row>
    <row r="586">
      <c r="E586" s="50"/>
      <c r="F586" s="50"/>
      <c r="G586" s="50"/>
      <c r="H586" s="51"/>
      <c r="I586" s="52"/>
      <c r="J586" s="52"/>
      <c r="K586" s="52"/>
      <c r="L586" s="53"/>
      <c r="O586" s="6"/>
      <c r="P586" s="6"/>
      <c r="Q586" s="9"/>
      <c r="S586" s="54"/>
      <c r="T586" s="54"/>
    </row>
    <row r="587">
      <c r="E587" s="50"/>
      <c r="F587" s="50"/>
      <c r="G587" s="50"/>
      <c r="H587" s="51"/>
      <c r="I587" s="52"/>
      <c r="J587" s="52"/>
      <c r="K587" s="52"/>
      <c r="L587" s="53"/>
      <c r="O587" s="6"/>
      <c r="P587" s="6"/>
      <c r="Q587" s="9"/>
      <c r="S587" s="54"/>
      <c r="T587" s="54"/>
    </row>
    <row r="588">
      <c r="E588" s="50"/>
      <c r="F588" s="50"/>
      <c r="G588" s="50"/>
      <c r="H588" s="51"/>
      <c r="I588" s="52"/>
      <c r="J588" s="52"/>
      <c r="K588" s="52"/>
      <c r="L588" s="53"/>
      <c r="O588" s="6"/>
      <c r="P588" s="6"/>
      <c r="Q588" s="9"/>
      <c r="S588" s="54"/>
      <c r="T588" s="54"/>
    </row>
    <row r="589">
      <c r="E589" s="50"/>
      <c r="F589" s="50"/>
      <c r="G589" s="50"/>
      <c r="H589" s="51"/>
      <c r="I589" s="52"/>
      <c r="J589" s="52"/>
      <c r="K589" s="52"/>
      <c r="L589" s="53"/>
      <c r="O589" s="6"/>
      <c r="P589" s="6"/>
      <c r="Q589" s="9"/>
      <c r="S589" s="54"/>
      <c r="T589" s="54"/>
    </row>
    <row r="590">
      <c r="E590" s="50"/>
      <c r="F590" s="50"/>
      <c r="G590" s="50"/>
      <c r="H590" s="51"/>
      <c r="I590" s="52"/>
      <c r="J590" s="52"/>
      <c r="K590" s="52"/>
      <c r="L590" s="53"/>
      <c r="O590" s="6"/>
      <c r="P590" s="6"/>
      <c r="Q590" s="9"/>
      <c r="S590" s="54"/>
      <c r="T590" s="54"/>
    </row>
    <row r="591">
      <c r="E591" s="50"/>
      <c r="F591" s="50"/>
      <c r="G591" s="50"/>
      <c r="H591" s="51"/>
      <c r="I591" s="52"/>
      <c r="J591" s="52"/>
      <c r="K591" s="52"/>
      <c r="L591" s="53"/>
      <c r="O591" s="6"/>
      <c r="P591" s="6"/>
      <c r="Q591" s="9"/>
      <c r="S591" s="54"/>
      <c r="T591" s="54"/>
    </row>
    <row r="592">
      <c r="E592" s="50"/>
      <c r="F592" s="50"/>
      <c r="G592" s="50"/>
      <c r="H592" s="51"/>
      <c r="I592" s="52"/>
      <c r="J592" s="52"/>
      <c r="K592" s="52"/>
      <c r="L592" s="53"/>
      <c r="O592" s="6"/>
      <c r="P592" s="6"/>
      <c r="Q592" s="9"/>
      <c r="S592" s="54"/>
      <c r="T592" s="54"/>
    </row>
    <row r="593">
      <c r="E593" s="50"/>
      <c r="F593" s="50"/>
      <c r="G593" s="50"/>
      <c r="H593" s="51"/>
      <c r="I593" s="52"/>
      <c r="J593" s="52"/>
      <c r="K593" s="52"/>
      <c r="L593" s="53"/>
      <c r="O593" s="6"/>
      <c r="P593" s="6"/>
      <c r="Q593" s="9"/>
      <c r="S593" s="54"/>
      <c r="T593" s="54"/>
    </row>
    <row r="594">
      <c r="E594" s="50"/>
      <c r="F594" s="50"/>
      <c r="G594" s="50"/>
      <c r="H594" s="51"/>
      <c r="I594" s="52"/>
      <c r="J594" s="52"/>
      <c r="K594" s="52"/>
      <c r="L594" s="53"/>
      <c r="O594" s="6"/>
      <c r="P594" s="6"/>
      <c r="Q594" s="9"/>
      <c r="S594" s="54"/>
      <c r="T594" s="54"/>
    </row>
    <row r="595">
      <c r="E595" s="50"/>
      <c r="F595" s="50"/>
      <c r="G595" s="50"/>
      <c r="H595" s="51"/>
      <c r="I595" s="52"/>
      <c r="J595" s="52"/>
      <c r="K595" s="52"/>
      <c r="L595" s="53"/>
      <c r="O595" s="6"/>
      <c r="P595" s="6"/>
      <c r="Q595" s="9"/>
      <c r="S595" s="54"/>
      <c r="T595" s="54"/>
    </row>
    <row r="596">
      <c r="E596" s="50"/>
      <c r="F596" s="50"/>
      <c r="G596" s="50"/>
      <c r="H596" s="51"/>
      <c r="I596" s="52"/>
      <c r="J596" s="52"/>
      <c r="K596" s="52"/>
      <c r="L596" s="53"/>
      <c r="O596" s="6"/>
      <c r="P596" s="6"/>
      <c r="Q596" s="9"/>
      <c r="S596" s="54"/>
      <c r="T596" s="54"/>
    </row>
    <row r="597">
      <c r="E597" s="50"/>
      <c r="F597" s="50"/>
      <c r="G597" s="50"/>
      <c r="H597" s="51"/>
      <c r="I597" s="52"/>
      <c r="J597" s="52"/>
      <c r="K597" s="52"/>
      <c r="L597" s="53"/>
      <c r="O597" s="6"/>
      <c r="P597" s="6"/>
      <c r="Q597" s="9"/>
      <c r="S597" s="54"/>
      <c r="T597" s="54"/>
    </row>
    <row r="598">
      <c r="E598" s="50"/>
      <c r="F598" s="50"/>
      <c r="G598" s="50"/>
      <c r="H598" s="51"/>
      <c r="I598" s="52"/>
      <c r="J598" s="52"/>
      <c r="K598" s="52"/>
      <c r="L598" s="53"/>
      <c r="O598" s="6"/>
      <c r="P598" s="6"/>
      <c r="Q598" s="9"/>
      <c r="S598" s="54"/>
      <c r="T598" s="54"/>
    </row>
    <row r="599">
      <c r="E599" s="50"/>
      <c r="F599" s="50"/>
      <c r="G599" s="50"/>
      <c r="H599" s="51"/>
      <c r="I599" s="52"/>
      <c r="J599" s="52"/>
      <c r="K599" s="52"/>
      <c r="L599" s="53"/>
      <c r="O599" s="6"/>
      <c r="P599" s="6"/>
      <c r="Q599" s="9"/>
      <c r="S599" s="54"/>
      <c r="T599" s="54"/>
    </row>
    <row r="600">
      <c r="E600" s="50"/>
      <c r="F600" s="50"/>
      <c r="G600" s="50"/>
      <c r="H600" s="51"/>
      <c r="I600" s="52"/>
      <c r="J600" s="52"/>
      <c r="K600" s="52"/>
      <c r="L600" s="53"/>
      <c r="O600" s="6"/>
      <c r="P600" s="6"/>
      <c r="Q600" s="9"/>
      <c r="S600" s="54"/>
      <c r="T600" s="54"/>
    </row>
    <row r="601">
      <c r="E601" s="50"/>
      <c r="F601" s="50"/>
      <c r="G601" s="50"/>
      <c r="H601" s="51"/>
      <c r="I601" s="52"/>
      <c r="J601" s="52"/>
      <c r="K601" s="52"/>
      <c r="L601" s="53"/>
      <c r="O601" s="6"/>
      <c r="P601" s="6"/>
      <c r="Q601" s="9"/>
      <c r="S601" s="54"/>
      <c r="T601" s="54"/>
    </row>
    <row r="602">
      <c r="E602" s="50"/>
      <c r="F602" s="50"/>
      <c r="G602" s="50"/>
      <c r="H602" s="51"/>
      <c r="I602" s="52"/>
      <c r="J602" s="52"/>
      <c r="K602" s="52"/>
      <c r="L602" s="53"/>
      <c r="O602" s="6"/>
      <c r="P602" s="6"/>
      <c r="Q602" s="9"/>
      <c r="S602" s="54"/>
      <c r="T602" s="54"/>
    </row>
    <row r="603">
      <c r="E603" s="50"/>
      <c r="F603" s="50"/>
      <c r="G603" s="50"/>
      <c r="H603" s="51"/>
      <c r="I603" s="52"/>
      <c r="J603" s="52"/>
      <c r="K603" s="52"/>
      <c r="L603" s="53"/>
      <c r="O603" s="6"/>
      <c r="P603" s="6"/>
      <c r="Q603" s="9"/>
      <c r="S603" s="54"/>
      <c r="T603" s="54"/>
    </row>
    <row r="604">
      <c r="E604" s="50"/>
      <c r="F604" s="50"/>
      <c r="G604" s="50"/>
      <c r="H604" s="51"/>
      <c r="I604" s="52"/>
      <c r="J604" s="52"/>
      <c r="K604" s="52"/>
      <c r="L604" s="53"/>
      <c r="O604" s="6"/>
      <c r="P604" s="6"/>
      <c r="Q604" s="9"/>
      <c r="S604" s="54"/>
      <c r="T604" s="54"/>
    </row>
    <row r="605">
      <c r="E605" s="50"/>
      <c r="F605" s="50"/>
      <c r="G605" s="50"/>
      <c r="H605" s="51"/>
      <c r="I605" s="52"/>
      <c r="J605" s="52"/>
      <c r="K605" s="52"/>
      <c r="L605" s="53"/>
      <c r="O605" s="6"/>
      <c r="P605" s="6"/>
      <c r="Q605" s="9"/>
      <c r="S605" s="54"/>
      <c r="T605" s="54"/>
    </row>
    <row r="606">
      <c r="E606" s="50"/>
      <c r="F606" s="50"/>
      <c r="G606" s="50"/>
      <c r="H606" s="51"/>
      <c r="I606" s="52"/>
      <c r="J606" s="52"/>
      <c r="K606" s="52"/>
      <c r="L606" s="53"/>
      <c r="O606" s="6"/>
      <c r="P606" s="6"/>
      <c r="Q606" s="9"/>
      <c r="S606" s="54"/>
      <c r="T606" s="54"/>
    </row>
    <row r="607">
      <c r="E607" s="50"/>
      <c r="F607" s="50"/>
      <c r="G607" s="50"/>
      <c r="H607" s="51"/>
      <c r="I607" s="52"/>
      <c r="J607" s="52"/>
      <c r="K607" s="52"/>
      <c r="L607" s="53"/>
      <c r="O607" s="6"/>
      <c r="P607" s="6"/>
      <c r="Q607" s="9"/>
      <c r="S607" s="54"/>
      <c r="T607" s="54"/>
    </row>
    <row r="608">
      <c r="E608" s="50"/>
      <c r="F608" s="50"/>
      <c r="G608" s="50"/>
      <c r="H608" s="51"/>
      <c r="I608" s="52"/>
      <c r="J608" s="52"/>
      <c r="K608" s="52"/>
      <c r="L608" s="53"/>
      <c r="O608" s="6"/>
      <c r="P608" s="6"/>
      <c r="Q608" s="9"/>
      <c r="S608" s="54"/>
      <c r="T608" s="54"/>
    </row>
    <row r="609">
      <c r="E609" s="50"/>
      <c r="F609" s="50"/>
      <c r="G609" s="50"/>
      <c r="H609" s="51"/>
      <c r="I609" s="52"/>
      <c r="J609" s="52"/>
      <c r="K609" s="52"/>
      <c r="L609" s="53"/>
      <c r="O609" s="6"/>
      <c r="P609" s="6"/>
      <c r="Q609" s="9"/>
      <c r="S609" s="54"/>
      <c r="T609" s="54"/>
    </row>
    <row r="610">
      <c r="E610" s="50"/>
      <c r="F610" s="50"/>
      <c r="G610" s="50"/>
      <c r="H610" s="51"/>
      <c r="I610" s="52"/>
      <c r="J610" s="52"/>
      <c r="K610" s="52"/>
      <c r="L610" s="53"/>
      <c r="O610" s="6"/>
      <c r="P610" s="6"/>
      <c r="Q610" s="9"/>
      <c r="S610" s="54"/>
      <c r="T610" s="54"/>
    </row>
    <row r="611">
      <c r="E611" s="50"/>
      <c r="F611" s="50"/>
      <c r="G611" s="50"/>
      <c r="H611" s="51"/>
      <c r="I611" s="52"/>
      <c r="J611" s="52"/>
      <c r="K611" s="52"/>
      <c r="L611" s="53"/>
      <c r="O611" s="6"/>
      <c r="P611" s="6"/>
      <c r="Q611" s="9"/>
      <c r="S611" s="54"/>
      <c r="T611" s="54"/>
    </row>
    <row r="612">
      <c r="E612" s="50"/>
      <c r="F612" s="50"/>
      <c r="G612" s="50"/>
      <c r="H612" s="51"/>
      <c r="I612" s="52"/>
      <c r="J612" s="52"/>
      <c r="K612" s="52"/>
      <c r="L612" s="53"/>
      <c r="O612" s="6"/>
      <c r="P612" s="6"/>
      <c r="Q612" s="9"/>
      <c r="S612" s="54"/>
      <c r="T612" s="54"/>
    </row>
    <row r="613">
      <c r="E613" s="50"/>
      <c r="F613" s="50"/>
      <c r="G613" s="50"/>
      <c r="H613" s="51"/>
      <c r="I613" s="52"/>
      <c r="J613" s="52"/>
      <c r="K613" s="52"/>
      <c r="L613" s="53"/>
      <c r="O613" s="6"/>
      <c r="P613" s="6"/>
      <c r="Q613" s="9"/>
      <c r="S613" s="54"/>
      <c r="T613" s="54"/>
    </row>
    <row r="614">
      <c r="E614" s="50"/>
      <c r="F614" s="50"/>
      <c r="G614" s="50"/>
      <c r="H614" s="51"/>
      <c r="I614" s="52"/>
      <c r="J614" s="52"/>
      <c r="K614" s="52"/>
      <c r="L614" s="53"/>
      <c r="O614" s="6"/>
      <c r="P614" s="6"/>
      <c r="Q614" s="9"/>
      <c r="S614" s="54"/>
      <c r="T614" s="54"/>
    </row>
    <row r="615">
      <c r="E615" s="50"/>
      <c r="F615" s="50"/>
      <c r="G615" s="50"/>
      <c r="H615" s="51"/>
      <c r="I615" s="52"/>
      <c r="J615" s="52"/>
      <c r="K615" s="52"/>
      <c r="L615" s="53"/>
      <c r="O615" s="6"/>
      <c r="P615" s="6"/>
      <c r="Q615" s="9"/>
      <c r="S615" s="54"/>
      <c r="T615" s="54"/>
    </row>
    <row r="616">
      <c r="E616" s="50"/>
      <c r="F616" s="50"/>
      <c r="G616" s="50"/>
      <c r="H616" s="51"/>
      <c r="I616" s="52"/>
      <c r="J616" s="52"/>
      <c r="K616" s="52"/>
      <c r="L616" s="53"/>
      <c r="O616" s="6"/>
      <c r="P616" s="6"/>
      <c r="Q616" s="9"/>
      <c r="S616" s="54"/>
      <c r="T616" s="54"/>
    </row>
    <row r="617">
      <c r="E617" s="50"/>
      <c r="F617" s="50"/>
      <c r="G617" s="50"/>
      <c r="H617" s="51"/>
      <c r="I617" s="52"/>
      <c r="J617" s="52"/>
      <c r="K617" s="52"/>
      <c r="L617" s="53"/>
      <c r="O617" s="6"/>
      <c r="P617" s="6"/>
      <c r="Q617" s="9"/>
      <c r="S617" s="54"/>
      <c r="T617" s="54"/>
    </row>
    <row r="618">
      <c r="E618" s="50"/>
      <c r="F618" s="50"/>
      <c r="G618" s="50"/>
      <c r="H618" s="51"/>
      <c r="I618" s="52"/>
      <c r="J618" s="52"/>
      <c r="K618" s="52"/>
      <c r="L618" s="53"/>
      <c r="O618" s="6"/>
      <c r="P618" s="6"/>
      <c r="Q618" s="9"/>
      <c r="S618" s="54"/>
      <c r="T618" s="54"/>
    </row>
    <row r="619">
      <c r="E619" s="50"/>
      <c r="F619" s="50"/>
      <c r="G619" s="50"/>
      <c r="H619" s="51"/>
      <c r="I619" s="52"/>
      <c r="J619" s="52"/>
      <c r="K619" s="52"/>
      <c r="L619" s="53"/>
      <c r="O619" s="6"/>
      <c r="P619" s="6"/>
      <c r="Q619" s="9"/>
      <c r="S619" s="54"/>
      <c r="T619" s="54"/>
    </row>
    <row r="620">
      <c r="E620" s="50"/>
      <c r="F620" s="50"/>
      <c r="G620" s="50"/>
      <c r="H620" s="51"/>
      <c r="I620" s="52"/>
      <c r="J620" s="52"/>
      <c r="K620" s="52"/>
      <c r="L620" s="53"/>
      <c r="O620" s="6"/>
      <c r="P620" s="6"/>
      <c r="Q620" s="9"/>
      <c r="S620" s="54"/>
      <c r="T620" s="54"/>
    </row>
    <row r="621">
      <c r="E621" s="50"/>
      <c r="F621" s="50"/>
      <c r="G621" s="50"/>
      <c r="H621" s="51"/>
      <c r="I621" s="52"/>
      <c r="J621" s="52"/>
      <c r="K621" s="52"/>
      <c r="L621" s="53"/>
      <c r="O621" s="6"/>
      <c r="P621" s="6"/>
      <c r="Q621" s="9"/>
      <c r="S621" s="54"/>
      <c r="T621" s="54"/>
    </row>
    <row r="622">
      <c r="E622" s="50"/>
      <c r="F622" s="50"/>
      <c r="G622" s="50"/>
      <c r="H622" s="51"/>
      <c r="I622" s="52"/>
      <c r="J622" s="52"/>
      <c r="K622" s="52"/>
      <c r="L622" s="53"/>
      <c r="O622" s="6"/>
      <c r="P622" s="6"/>
      <c r="Q622" s="9"/>
      <c r="S622" s="54"/>
      <c r="T622" s="54"/>
    </row>
    <row r="623">
      <c r="E623" s="50"/>
      <c r="F623" s="50"/>
      <c r="G623" s="50"/>
      <c r="H623" s="51"/>
      <c r="I623" s="52"/>
      <c r="J623" s="52"/>
      <c r="K623" s="52"/>
      <c r="L623" s="53"/>
      <c r="O623" s="6"/>
      <c r="P623" s="6"/>
      <c r="Q623" s="9"/>
      <c r="S623" s="54"/>
      <c r="T623" s="54"/>
    </row>
    <row r="624">
      <c r="E624" s="50"/>
      <c r="F624" s="50"/>
      <c r="G624" s="50"/>
      <c r="H624" s="51"/>
      <c r="I624" s="52"/>
      <c r="J624" s="52"/>
      <c r="K624" s="52"/>
      <c r="L624" s="53"/>
      <c r="O624" s="6"/>
      <c r="P624" s="6"/>
      <c r="Q624" s="9"/>
      <c r="S624" s="54"/>
      <c r="T624" s="54"/>
    </row>
    <row r="625">
      <c r="E625" s="50"/>
      <c r="F625" s="50"/>
      <c r="G625" s="50"/>
      <c r="H625" s="51"/>
      <c r="I625" s="52"/>
      <c r="J625" s="52"/>
      <c r="K625" s="52"/>
      <c r="L625" s="53"/>
      <c r="O625" s="6"/>
      <c r="P625" s="6"/>
      <c r="Q625" s="9"/>
      <c r="S625" s="54"/>
      <c r="T625" s="54"/>
    </row>
    <row r="626">
      <c r="E626" s="50"/>
      <c r="F626" s="50"/>
      <c r="G626" s="50"/>
      <c r="H626" s="51"/>
      <c r="I626" s="52"/>
      <c r="J626" s="52"/>
      <c r="K626" s="52"/>
      <c r="L626" s="53"/>
      <c r="O626" s="6"/>
      <c r="P626" s="6"/>
      <c r="Q626" s="9"/>
      <c r="S626" s="54"/>
      <c r="T626" s="54"/>
    </row>
    <row r="627">
      <c r="E627" s="50"/>
      <c r="F627" s="50"/>
      <c r="G627" s="50"/>
      <c r="H627" s="51"/>
      <c r="I627" s="52"/>
      <c r="J627" s="52"/>
      <c r="K627" s="52"/>
      <c r="L627" s="53"/>
      <c r="O627" s="6"/>
      <c r="P627" s="6"/>
      <c r="Q627" s="9"/>
      <c r="S627" s="54"/>
      <c r="T627" s="54"/>
    </row>
    <row r="628">
      <c r="E628" s="50"/>
      <c r="F628" s="50"/>
      <c r="G628" s="50"/>
      <c r="H628" s="51"/>
      <c r="I628" s="52"/>
      <c r="J628" s="52"/>
      <c r="K628" s="52"/>
      <c r="L628" s="53"/>
      <c r="O628" s="6"/>
      <c r="P628" s="6"/>
      <c r="Q628" s="9"/>
      <c r="S628" s="54"/>
      <c r="T628" s="54"/>
    </row>
    <row r="629">
      <c r="E629" s="50"/>
      <c r="F629" s="50"/>
      <c r="G629" s="50"/>
      <c r="H629" s="51"/>
      <c r="I629" s="52"/>
      <c r="J629" s="52"/>
      <c r="K629" s="52"/>
      <c r="L629" s="53"/>
      <c r="O629" s="6"/>
      <c r="P629" s="6"/>
      <c r="Q629" s="9"/>
      <c r="S629" s="54"/>
      <c r="T629" s="54"/>
    </row>
    <row r="630">
      <c r="E630" s="50"/>
      <c r="F630" s="50"/>
      <c r="G630" s="50"/>
      <c r="H630" s="51"/>
      <c r="I630" s="52"/>
      <c r="J630" s="52"/>
      <c r="K630" s="52"/>
      <c r="L630" s="53"/>
      <c r="O630" s="6"/>
      <c r="P630" s="6"/>
      <c r="Q630" s="9"/>
      <c r="S630" s="54"/>
      <c r="T630" s="54"/>
    </row>
    <row r="631">
      <c r="E631" s="50"/>
      <c r="F631" s="50"/>
      <c r="G631" s="50"/>
      <c r="H631" s="51"/>
      <c r="I631" s="52"/>
      <c r="J631" s="52"/>
      <c r="K631" s="52"/>
      <c r="L631" s="53"/>
      <c r="O631" s="6"/>
      <c r="P631" s="6"/>
      <c r="Q631" s="9"/>
      <c r="S631" s="54"/>
      <c r="T631" s="54"/>
    </row>
    <row r="632">
      <c r="E632" s="50"/>
      <c r="F632" s="50"/>
      <c r="G632" s="50"/>
      <c r="H632" s="51"/>
      <c r="I632" s="52"/>
      <c r="J632" s="52"/>
      <c r="K632" s="52"/>
      <c r="L632" s="53"/>
      <c r="O632" s="6"/>
      <c r="P632" s="6"/>
      <c r="Q632" s="9"/>
      <c r="S632" s="54"/>
      <c r="T632" s="54"/>
    </row>
    <row r="633">
      <c r="E633" s="50"/>
      <c r="F633" s="50"/>
      <c r="G633" s="50"/>
      <c r="H633" s="51"/>
      <c r="I633" s="52"/>
      <c r="J633" s="52"/>
      <c r="K633" s="52"/>
      <c r="L633" s="53"/>
      <c r="O633" s="6"/>
      <c r="P633" s="6"/>
      <c r="Q633" s="9"/>
      <c r="S633" s="54"/>
      <c r="T633" s="54"/>
    </row>
    <row r="634">
      <c r="E634" s="50"/>
      <c r="F634" s="50"/>
      <c r="G634" s="50"/>
      <c r="H634" s="51"/>
      <c r="I634" s="52"/>
      <c r="J634" s="52"/>
      <c r="K634" s="52"/>
      <c r="L634" s="53"/>
      <c r="O634" s="6"/>
      <c r="P634" s="6"/>
      <c r="Q634" s="9"/>
      <c r="S634" s="54"/>
      <c r="T634" s="54"/>
    </row>
    <row r="635">
      <c r="E635" s="50"/>
      <c r="F635" s="50"/>
      <c r="G635" s="50"/>
      <c r="H635" s="51"/>
      <c r="I635" s="52"/>
      <c r="J635" s="52"/>
      <c r="K635" s="52"/>
      <c r="L635" s="53"/>
      <c r="O635" s="6"/>
      <c r="P635" s="6"/>
      <c r="Q635" s="9"/>
      <c r="S635" s="54"/>
      <c r="T635" s="54"/>
    </row>
    <row r="636">
      <c r="E636" s="50"/>
      <c r="F636" s="50"/>
      <c r="G636" s="50"/>
      <c r="H636" s="51"/>
      <c r="I636" s="52"/>
      <c r="J636" s="52"/>
      <c r="K636" s="52"/>
      <c r="L636" s="53"/>
      <c r="O636" s="6"/>
      <c r="P636" s="6"/>
      <c r="Q636" s="9"/>
      <c r="S636" s="54"/>
      <c r="T636" s="54"/>
    </row>
    <row r="637">
      <c r="E637" s="50"/>
      <c r="F637" s="50"/>
      <c r="G637" s="50"/>
      <c r="H637" s="51"/>
      <c r="I637" s="52"/>
      <c r="J637" s="52"/>
      <c r="K637" s="52"/>
      <c r="L637" s="53"/>
      <c r="O637" s="6"/>
      <c r="P637" s="6"/>
      <c r="Q637" s="9"/>
      <c r="S637" s="54"/>
      <c r="T637" s="54"/>
    </row>
    <row r="638">
      <c r="E638" s="50"/>
      <c r="F638" s="50"/>
      <c r="G638" s="50"/>
      <c r="H638" s="51"/>
      <c r="I638" s="52"/>
      <c r="J638" s="52"/>
      <c r="K638" s="52"/>
      <c r="L638" s="53"/>
      <c r="O638" s="6"/>
      <c r="P638" s="6"/>
      <c r="Q638" s="9"/>
      <c r="S638" s="54"/>
      <c r="T638" s="54"/>
    </row>
    <row r="639">
      <c r="E639" s="50"/>
      <c r="F639" s="50"/>
      <c r="G639" s="50"/>
      <c r="H639" s="51"/>
      <c r="I639" s="52"/>
      <c r="J639" s="52"/>
      <c r="K639" s="52"/>
      <c r="L639" s="53"/>
      <c r="O639" s="6"/>
      <c r="P639" s="6"/>
      <c r="Q639" s="9"/>
      <c r="S639" s="54"/>
      <c r="T639" s="54"/>
    </row>
    <row r="640">
      <c r="E640" s="50"/>
      <c r="F640" s="50"/>
      <c r="G640" s="50"/>
      <c r="H640" s="51"/>
      <c r="I640" s="52"/>
      <c r="J640" s="52"/>
      <c r="K640" s="52"/>
      <c r="L640" s="53"/>
      <c r="O640" s="6"/>
      <c r="P640" s="6"/>
      <c r="Q640" s="9"/>
      <c r="S640" s="54"/>
      <c r="T640" s="54"/>
    </row>
    <row r="641">
      <c r="E641" s="50"/>
      <c r="F641" s="50"/>
      <c r="G641" s="50"/>
      <c r="H641" s="51"/>
      <c r="I641" s="52"/>
      <c r="J641" s="52"/>
      <c r="K641" s="52"/>
      <c r="L641" s="53"/>
      <c r="O641" s="6"/>
      <c r="P641" s="6"/>
      <c r="Q641" s="9"/>
      <c r="S641" s="54"/>
      <c r="T641" s="54"/>
    </row>
    <row r="642">
      <c r="E642" s="50"/>
      <c r="F642" s="50"/>
      <c r="G642" s="50"/>
      <c r="H642" s="51"/>
      <c r="I642" s="52"/>
      <c r="J642" s="52"/>
      <c r="K642" s="52"/>
      <c r="L642" s="53"/>
      <c r="O642" s="6"/>
      <c r="P642" s="6"/>
      <c r="Q642" s="9"/>
      <c r="S642" s="54"/>
      <c r="T642" s="54"/>
    </row>
    <row r="643">
      <c r="E643" s="50"/>
      <c r="F643" s="50"/>
      <c r="G643" s="50"/>
      <c r="H643" s="51"/>
      <c r="I643" s="52"/>
      <c r="J643" s="52"/>
      <c r="K643" s="52"/>
      <c r="L643" s="53"/>
      <c r="O643" s="6"/>
      <c r="P643" s="6"/>
      <c r="Q643" s="9"/>
      <c r="S643" s="54"/>
      <c r="T643" s="54"/>
    </row>
    <row r="644">
      <c r="E644" s="50"/>
      <c r="F644" s="50"/>
      <c r="G644" s="50"/>
      <c r="H644" s="51"/>
      <c r="I644" s="52"/>
      <c r="J644" s="52"/>
      <c r="K644" s="52"/>
      <c r="L644" s="53"/>
      <c r="O644" s="6"/>
      <c r="P644" s="6"/>
      <c r="Q644" s="9"/>
      <c r="S644" s="54"/>
      <c r="T644" s="54"/>
    </row>
    <row r="645">
      <c r="E645" s="50"/>
      <c r="F645" s="50"/>
      <c r="G645" s="50"/>
      <c r="H645" s="51"/>
      <c r="I645" s="52"/>
      <c r="J645" s="52"/>
      <c r="K645" s="52"/>
      <c r="L645" s="53"/>
      <c r="O645" s="6"/>
      <c r="P645" s="6"/>
      <c r="Q645" s="9"/>
      <c r="S645" s="54"/>
      <c r="T645" s="54"/>
    </row>
    <row r="646">
      <c r="E646" s="50"/>
      <c r="F646" s="50"/>
      <c r="G646" s="50"/>
      <c r="H646" s="51"/>
      <c r="I646" s="52"/>
      <c r="J646" s="52"/>
      <c r="K646" s="52"/>
      <c r="L646" s="53"/>
      <c r="O646" s="6"/>
      <c r="P646" s="6"/>
      <c r="Q646" s="9"/>
      <c r="S646" s="54"/>
      <c r="T646" s="54"/>
    </row>
    <row r="647">
      <c r="E647" s="50"/>
      <c r="F647" s="50"/>
      <c r="G647" s="50"/>
      <c r="H647" s="51"/>
      <c r="I647" s="52"/>
      <c r="J647" s="52"/>
      <c r="K647" s="52"/>
      <c r="L647" s="53"/>
      <c r="O647" s="6"/>
      <c r="P647" s="6"/>
      <c r="Q647" s="9"/>
      <c r="S647" s="54"/>
      <c r="T647" s="54"/>
    </row>
    <row r="648">
      <c r="E648" s="50"/>
      <c r="F648" s="50"/>
      <c r="G648" s="50"/>
      <c r="H648" s="51"/>
      <c r="I648" s="52"/>
      <c r="J648" s="52"/>
      <c r="K648" s="52"/>
      <c r="L648" s="53"/>
      <c r="O648" s="6"/>
      <c r="P648" s="6"/>
      <c r="Q648" s="9"/>
      <c r="S648" s="54"/>
      <c r="T648" s="54"/>
    </row>
    <row r="649">
      <c r="E649" s="50"/>
      <c r="F649" s="50"/>
      <c r="G649" s="50"/>
      <c r="H649" s="51"/>
      <c r="I649" s="52"/>
      <c r="J649" s="52"/>
      <c r="K649" s="52"/>
      <c r="L649" s="53"/>
      <c r="O649" s="6"/>
      <c r="P649" s="6"/>
      <c r="Q649" s="9"/>
      <c r="S649" s="54"/>
      <c r="T649" s="54"/>
    </row>
    <row r="650">
      <c r="E650" s="50"/>
      <c r="F650" s="50"/>
      <c r="G650" s="50"/>
      <c r="H650" s="51"/>
      <c r="I650" s="52"/>
      <c r="J650" s="52"/>
      <c r="K650" s="52"/>
      <c r="L650" s="53"/>
      <c r="O650" s="6"/>
      <c r="P650" s="6"/>
      <c r="Q650" s="9"/>
      <c r="S650" s="54"/>
      <c r="T650" s="54"/>
    </row>
    <row r="651">
      <c r="E651" s="50"/>
      <c r="F651" s="50"/>
      <c r="G651" s="50"/>
      <c r="H651" s="51"/>
      <c r="I651" s="52"/>
      <c r="J651" s="52"/>
      <c r="K651" s="52"/>
      <c r="L651" s="53"/>
      <c r="O651" s="6"/>
      <c r="P651" s="6"/>
      <c r="Q651" s="9"/>
      <c r="S651" s="54"/>
      <c r="T651" s="54"/>
    </row>
    <row r="652">
      <c r="E652" s="50"/>
      <c r="F652" s="50"/>
      <c r="G652" s="50"/>
      <c r="H652" s="51"/>
      <c r="I652" s="52"/>
      <c r="J652" s="52"/>
      <c r="K652" s="52"/>
      <c r="L652" s="53"/>
      <c r="O652" s="6"/>
      <c r="P652" s="6"/>
      <c r="Q652" s="9"/>
      <c r="S652" s="54"/>
      <c r="T652" s="54"/>
    </row>
    <row r="653">
      <c r="E653" s="50"/>
      <c r="F653" s="50"/>
      <c r="G653" s="50"/>
      <c r="H653" s="51"/>
      <c r="I653" s="52"/>
      <c r="J653" s="52"/>
      <c r="K653" s="52"/>
      <c r="L653" s="53"/>
      <c r="O653" s="6"/>
      <c r="P653" s="6"/>
      <c r="Q653" s="9"/>
      <c r="S653" s="54"/>
      <c r="T653" s="54"/>
    </row>
    <row r="654">
      <c r="E654" s="50"/>
      <c r="F654" s="50"/>
      <c r="G654" s="50"/>
      <c r="H654" s="51"/>
      <c r="I654" s="52"/>
      <c r="J654" s="52"/>
      <c r="K654" s="52"/>
      <c r="L654" s="53"/>
      <c r="O654" s="6"/>
      <c r="P654" s="6"/>
      <c r="Q654" s="9"/>
      <c r="S654" s="54"/>
      <c r="T654" s="54"/>
    </row>
    <row r="655">
      <c r="E655" s="50"/>
      <c r="F655" s="50"/>
      <c r="G655" s="50"/>
      <c r="H655" s="51"/>
      <c r="I655" s="52"/>
      <c r="J655" s="52"/>
      <c r="K655" s="52"/>
      <c r="L655" s="53"/>
      <c r="O655" s="6"/>
      <c r="P655" s="6"/>
      <c r="Q655" s="9"/>
      <c r="S655" s="54"/>
      <c r="T655" s="54"/>
    </row>
    <row r="656">
      <c r="E656" s="50"/>
      <c r="F656" s="50"/>
      <c r="G656" s="50"/>
      <c r="H656" s="51"/>
      <c r="I656" s="52"/>
      <c r="J656" s="52"/>
      <c r="K656" s="52"/>
      <c r="L656" s="53"/>
      <c r="O656" s="6"/>
      <c r="P656" s="6"/>
      <c r="Q656" s="9"/>
      <c r="S656" s="54"/>
      <c r="T656" s="54"/>
    </row>
    <row r="657">
      <c r="E657" s="50"/>
      <c r="F657" s="50"/>
      <c r="G657" s="50"/>
      <c r="H657" s="51"/>
      <c r="I657" s="52"/>
      <c r="J657" s="52"/>
      <c r="K657" s="52"/>
      <c r="L657" s="53"/>
      <c r="O657" s="6"/>
      <c r="P657" s="6"/>
      <c r="Q657" s="9"/>
      <c r="S657" s="54"/>
      <c r="T657" s="54"/>
    </row>
    <row r="658">
      <c r="E658" s="50"/>
      <c r="F658" s="50"/>
      <c r="G658" s="50"/>
      <c r="H658" s="51"/>
      <c r="I658" s="52"/>
      <c r="J658" s="52"/>
      <c r="K658" s="52"/>
      <c r="L658" s="53"/>
      <c r="O658" s="6"/>
      <c r="P658" s="6"/>
      <c r="Q658" s="9"/>
      <c r="S658" s="54"/>
      <c r="T658" s="54"/>
    </row>
    <row r="659">
      <c r="E659" s="50"/>
      <c r="F659" s="50"/>
      <c r="G659" s="50"/>
      <c r="H659" s="51"/>
      <c r="I659" s="52"/>
      <c r="J659" s="52"/>
      <c r="K659" s="52"/>
      <c r="L659" s="53"/>
      <c r="O659" s="6"/>
      <c r="P659" s="6"/>
      <c r="Q659" s="9"/>
      <c r="S659" s="54"/>
      <c r="T659" s="54"/>
    </row>
    <row r="660">
      <c r="E660" s="50"/>
      <c r="F660" s="50"/>
      <c r="G660" s="50"/>
      <c r="H660" s="51"/>
      <c r="I660" s="52"/>
      <c r="J660" s="52"/>
      <c r="K660" s="52"/>
      <c r="L660" s="53"/>
      <c r="O660" s="6"/>
      <c r="P660" s="6"/>
      <c r="Q660" s="9"/>
      <c r="S660" s="54"/>
      <c r="T660" s="54"/>
    </row>
    <row r="661">
      <c r="E661" s="50"/>
      <c r="F661" s="50"/>
      <c r="G661" s="50"/>
      <c r="H661" s="51"/>
      <c r="I661" s="52"/>
      <c r="J661" s="52"/>
      <c r="K661" s="52"/>
      <c r="L661" s="53"/>
      <c r="O661" s="6"/>
      <c r="P661" s="6"/>
      <c r="Q661" s="9"/>
      <c r="S661" s="54"/>
      <c r="T661" s="54"/>
    </row>
    <row r="662">
      <c r="E662" s="50"/>
      <c r="F662" s="50"/>
      <c r="G662" s="50"/>
      <c r="H662" s="51"/>
      <c r="I662" s="52"/>
      <c r="J662" s="52"/>
      <c r="K662" s="52"/>
      <c r="L662" s="53"/>
      <c r="O662" s="6"/>
      <c r="P662" s="6"/>
      <c r="Q662" s="9"/>
      <c r="S662" s="54"/>
      <c r="T662" s="54"/>
    </row>
    <row r="663">
      <c r="E663" s="50"/>
      <c r="F663" s="50"/>
      <c r="G663" s="50"/>
      <c r="H663" s="51"/>
      <c r="I663" s="52"/>
      <c r="J663" s="52"/>
      <c r="K663" s="52"/>
      <c r="L663" s="53"/>
      <c r="O663" s="6"/>
      <c r="P663" s="6"/>
      <c r="Q663" s="9"/>
      <c r="S663" s="54"/>
      <c r="T663" s="54"/>
    </row>
    <row r="664">
      <c r="E664" s="50"/>
      <c r="F664" s="50"/>
      <c r="G664" s="50"/>
      <c r="H664" s="51"/>
      <c r="I664" s="52"/>
      <c r="J664" s="52"/>
      <c r="K664" s="52"/>
      <c r="L664" s="53"/>
      <c r="O664" s="6"/>
      <c r="P664" s="6"/>
      <c r="Q664" s="9"/>
      <c r="S664" s="54"/>
      <c r="T664" s="54"/>
    </row>
    <row r="665">
      <c r="E665" s="50"/>
      <c r="F665" s="50"/>
      <c r="G665" s="50"/>
      <c r="H665" s="51"/>
      <c r="I665" s="52"/>
      <c r="J665" s="52"/>
      <c r="K665" s="52"/>
      <c r="L665" s="53"/>
      <c r="O665" s="6"/>
      <c r="P665" s="6"/>
      <c r="Q665" s="9"/>
      <c r="S665" s="54"/>
      <c r="T665" s="54"/>
    </row>
    <row r="666">
      <c r="E666" s="50"/>
      <c r="F666" s="50"/>
      <c r="G666" s="50"/>
      <c r="H666" s="51"/>
      <c r="I666" s="52"/>
      <c r="J666" s="52"/>
      <c r="K666" s="52"/>
      <c r="L666" s="53"/>
      <c r="O666" s="6"/>
      <c r="P666" s="6"/>
      <c r="Q666" s="9"/>
      <c r="S666" s="54"/>
      <c r="T666" s="54"/>
    </row>
    <row r="667">
      <c r="E667" s="50"/>
      <c r="F667" s="50"/>
      <c r="G667" s="50"/>
      <c r="H667" s="51"/>
      <c r="I667" s="52"/>
      <c r="J667" s="52"/>
      <c r="K667" s="52"/>
      <c r="L667" s="53"/>
      <c r="O667" s="6"/>
      <c r="P667" s="6"/>
      <c r="Q667" s="9"/>
      <c r="S667" s="54"/>
      <c r="T667" s="54"/>
    </row>
    <row r="668">
      <c r="E668" s="50"/>
      <c r="F668" s="50"/>
      <c r="G668" s="50"/>
      <c r="H668" s="51"/>
      <c r="I668" s="52"/>
      <c r="J668" s="52"/>
      <c r="K668" s="52"/>
      <c r="L668" s="53"/>
      <c r="O668" s="6"/>
      <c r="P668" s="6"/>
      <c r="Q668" s="9"/>
      <c r="S668" s="54"/>
      <c r="T668" s="54"/>
    </row>
    <row r="669">
      <c r="E669" s="50"/>
      <c r="F669" s="50"/>
      <c r="G669" s="50"/>
      <c r="H669" s="51"/>
      <c r="I669" s="52"/>
      <c r="J669" s="52"/>
      <c r="K669" s="52"/>
      <c r="L669" s="53"/>
      <c r="O669" s="6"/>
      <c r="P669" s="6"/>
      <c r="Q669" s="9"/>
      <c r="S669" s="54"/>
      <c r="T669" s="54"/>
    </row>
    <row r="670">
      <c r="E670" s="50"/>
      <c r="F670" s="50"/>
      <c r="G670" s="50"/>
      <c r="H670" s="51"/>
      <c r="I670" s="52"/>
      <c r="J670" s="52"/>
      <c r="K670" s="52"/>
      <c r="L670" s="53"/>
      <c r="O670" s="6"/>
      <c r="P670" s="6"/>
      <c r="Q670" s="9"/>
      <c r="S670" s="54"/>
      <c r="T670" s="54"/>
    </row>
    <row r="671">
      <c r="E671" s="50"/>
      <c r="F671" s="50"/>
      <c r="G671" s="50"/>
      <c r="H671" s="51"/>
      <c r="I671" s="52"/>
      <c r="J671" s="52"/>
      <c r="K671" s="52"/>
      <c r="L671" s="53"/>
      <c r="O671" s="6"/>
      <c r="P671" s="6"/>
      <c r="Q671" s="9"/>
      <c r="S671" s="54"/>
      <c r="T671" s="54"/>
    </row>
    <row r="672">
      <c r="E672" s="50"/>
      <c r="F672" s="50"/>
      <c r="G672" s="50"/>
      <c r="H672" s="51"/>
      <c r="I672" s="52"/>
      <c r="J672" s="52"/>
      <c r="K672" s="52"/>
      <c r="L672" s="53"/>
      <c r="O672" s="6"/>
      <c r="P672" s="6"/>
      <c r="Q672" s="9"/>
      <c r="S672" s="54"/>
      <c r="T672" s="54"/>
    </row>
    <row r="673">
      <c r="E673" s="50"/>
      <c r="F673" s="50"/>
      <c r="G673" s="50"/>
      <c r="H673" s="51"/>
      <c r="I673" s="52"/>
      <c r="J673" s="52"/>
      <c r="K673" s="52"/>
      <c r="L673" s="53"/>
      <c r="O673" s="6"/>
      <c r="P673" s="6"/>
      <c r="Q673" s="9"/>
      <c r="S673" s="54"/>
      <c r="T673" s="54"/>
    </row>
    <row r="674">
      <c r="E674" s="50"/>
      <c r="F674" s="50"/>
      <c r="G674" s="50"/>
      <c r="H674" s="51"/>
      <c r="I674" s="52"/>
      <c r="J674" s="52"/>
      <c r="K674" s="52"/>
      <c r="L674" s="53"/>
      <c r="O674" s="6"/>
      <c r="P674" s="6"/>
      <c r="Q674" s="9"/>
      <c r="S674" s="54"/>
      <c r="T674" s="54"/>
    </row>
    <row r="675">
      <c r="E675" s="50"/>
      <c r="F675" s="50"/>
      <c r="G675" s="50"/>
      <c r="H675" s="51"/>
      <c r="I675" s="52"/>
      <c r="J675" s="52"/>
      <c r="K675" s="52"/>
      <c r="L675" s="53"/>
      <c r="O675" s="6"/>
      <c r="P675" s="6"/>
      <c r="Q675" s="9"/>
      <c r="S675" s="54"/>
      <c r="T675" s="54"/>
    </row>
    <row r="676">
      <c r="E676" s="50"/>
      <c r="F676" s="50"/>
      <c r="G676" s="50"/>
      <c r="H676" s="51"/>
      <c r="I676" s="52"/>
      <c r="J676" s="52"/>
      <c r="K676" s="52"/>
      <c r="L676" s="53"/>
      <c r="O676" s="6"/>
      <c r="P676" s="6"/>
      <c r="Q676" s="9"/>
      <c r="S676" s="54"/>
      <c r="T676" s="54"/>
    </row>
    <row r="677">
      <c r="E677" s="50"/>
      <c r="F677" s="50"/>
      <c r="G677" s="50"/>
      <c r="H677" s="51"/>
      <c r="I677" s="52"/>
      <c r="J677" s="52"/>
      <c r="K677" s="52"/>
      <c r="L677" s="53"/>
      <c r="O677" s="6"/>
      <c r="P677" s="6"/>
      <c r="Q677" s="9"/>
      <c r="S677" s="54"/>
      <c r="T677" s="54"/>
    </row>
    <row r="678">
      <c r="E678" s="50"/>
      <c r="F678" s="50"/>
      <c r="G678" s="50"/>
      <c r="H678" s="51"/>
      <c r="I678" s="52"/>
      <c r="J678" s="52"/>
      <c r="K678" s="52"/>
      <c r="L678" s="53"/>
      <c r="O678" s="6"/>
      <c r="P678" s="6"/>
      <c r="Q678" s="9"/>
      <c r="S678" s="54"/>
      <c r="T678" s="54"/>
    </row>
    <row r="679">
      <c r="E679" s="50"/>
      <c r="F679" s="50"/>
      <c r="G679" s="50"/>
      <c r="H679" s="51"/>
      <c r="I679" s="52"/>
      <c r="J679" s="52"/>
      <c r="K679" s="52"/>
      <c r="L679" s="53"/>
      <c r="O679" s="6"/>
      <c r="P679" s="6"/>
      <c r="Q679" s="9"/>
      <c r="S679" s="54"/>
      <c r="T679" s="54"/>
    </row>
    <row r="680">
      <c r="E680" s="50"/>
      <c r="F680" s="50"/>
      <c r="G680" s="50"/>
      <c r="H680" s="51"/>
      <c r="I680" s="52"/>
      <c r="J680" s="52"/>
      <c r="K680" s="52"/>
      <c r="L680" s="53"/>
      <c r="O680" s="6"/>
      <c r="P680" s="6"/>
      <c r="Q680" s="9"/>
      <c r="S680" s="54"/>
      <c r="T680" s="54"/>
    </row>
    <row r="681">
      <c r="E681" s="50"/>
      <c r="F681" s="50"/>
      <c r="G681" s="50"/>
      <c r="H681" s="51"/>
      <c r="I681" s="52"/>
      <c r="J681" s="52"/>
      <c r="K681" s="52"/>
      <c r="L681" s="53"/>
      <c r="O681" s="6"/>
      <c r="P681" s="6"/>
      <c r="Q681" s="9"/>
      <c r="S681" s="54"/>
      <c r="T681" s="54"/>
    </row>
    <row r="682">
      <c r="E682" s="50"/>
      <c r="F682" s="50"/>
      <c r="G682" s="50"/>
      <c r="H682" s="51"/>
      <c r="I682" s="52"/>
      <c r="J682" s="52"/>
      <c r="K682" s="52"/>
      <c r="L682" s="53"/>
      <c r="O682" s="6"/>
      <c r="P682" s="6"/>
      <c r="Q682" s="9"/>
      <c r="S682" s="54"/>
      <c r="T682" s="54"/>
    </row>
    <row r="683">
      <c r="E683" s="50"/>
      <c r="F683" s="50"/>
      <c r="G683" s="50"/>
      <c r="H683" s="51"/>
      <c r="I683" s="52"/>
      <c r="J683" s="52"/>
      <c r="K683" s="52"/>
      <c r="L683" s="53"/>
      <c r="O683" s="6"/>
      <c r="P683" s="6"/>
      <c r="Q683" s="9"/>
      <c r="S683" s="54"/>
      <c r="T683" s="54"/>
    </row>
    <row r="684">
      <c r="E684" s="50"/>
      <c r="F684" s="50"/>
      <c r="G684" s="50"/>
      <c r="H684" s="51"/>
      <c r="I684" s="52"/>
      <c r="J684" s="52"/>
      <c r="K684" s="52"/>
      <c r="L684" s="53"/>
      <c r="O684" s="6"/>
      <c r="P684" s="6"/>
      <c r="Q684" s="9"/>
      <c r="S684" s="54"/>
      <c r="T684" s="54"/>
    </row>
    <row r="685">
      <c r="E685" s="50"/>
      <c r="F685" s="50"/>
      <c r="G685" s="50"/>
      <c r="H685" s="51"/>
      <c r="I685" s="52"/>
      <c r="J685" s="52"/>
      <c r="K685" s="52"/>
      <c r="L685" s="53"/>
      <c r="O685" s="6"/>
      <c r="P685" s="6"/>
      <c r="Q685" s="9"/>
      <c r="S685" s="54"/>
      <c r="T685" s="54"/>
    </row>
    <row r="686">
      <c r="E686" s="50"/>
      <c r="F686" s="50"/>
      <c r="G686" s="50"/>
      <c r="H686" s="51"/>
      <c r="I686" s="52"/>
      <c r="J686" s="52"/>
      <c r="K686" s="52"/>
      <c r="L686" s="53"/>
      <c r="O686" s="6"/>
      <c r="P686" s="6"/>
      <c r="Q686" s="9"/>
      <c r="S686" s="54"/>
      <c r="T686" s="54"/>
    </row>
    <row r="687">
      <c r="E687" s="50"/>
      <c r="F687" s="50"/>
      <c r="G687" s="50"/>
      <c r="H687" s="51"/>
      <c r="I687" s="52"/>
      <c r="J687" s="52"/>
      <c r="K687" s="52"/>
      <c r="L687" s="53"/>
      <c r="O687" s="6"/>
      <c r="P687" s="6"/>
      <c r="Q687" s="9"/>
      <c r="S687" s="54"/>
      <c r="T687" s="54"/>
    </row>
    <row r="688">
      <c r="E688" s="50"/>
      <c r="F688" s="50"/>
      <c r="G688" s="50"/>
      <c r="H688" s="51"/>
      <c r="I688" s="52"/>
      <c r="J688" s="52"/>
      <c r="K688" s="52"/>
      <c r="L688" s="53"/>
      <c r="O688" s="6"/>
      <c r="P688" s="6"/>
      <c r="Q688" s="9"/>
      <c r="S688" s="54"/>
      <c r="T688" s="54"/>
    </row>
    <row r="689">
      <c r="E689" s="50"/>
      <c r="F689" s="50"/>
      <c r="G689" s="50"/>
      <c r="H689" s="51"/>
      <c r="I689" s="52"/>
      <c r="J689" s="52"/>
      <c r="K689" s="52"/>
      <c r="L689" s="53"/>
      <c r="O689" s="6"/>
      <c r="P689" s="6"/>
      <c r="Q689" s="9"/>
      <c r="S689" s="54"/>
      <c r="T689" s="54"/>
    </row>
    <row r="690">
      <c r="E690" s="50"/>
      <c r="F690" s="50"/>
      <c r="G690" s="50"/>
      <c r="H690" s="51"/>
      <c r="I690" s="52"/>
      <c r="J690" s="52"/>
      <c r="K690" s="52"/>
      <c r="L690" s="53"/>
      <c r="O690" s="6"/>
      <c r="P690" s="6"/>
      <c r="Q690" s="9"/>
      <c r="S690" s="54"/>
      <c r="T690" s="54"/>
    </row>
    <row r="691">
      <c r="E691" s="50"/>
      <c r="F691" s="50"/>
      <c r="G691" s="50"/>
      <c r="H691" s="51"/>
      <c r="I691" s="52"/>
      <c r="J691" s="52"/>
      <c r="K691" s="52"/>
      <c r="L691" s="53"/>
      <c r="O691" s="6"/>
      <c r="P691" s="6"/>
      <c r="Q691" s="9"/>
      <c r="S691" s="54"/>
      <c r="T691" s="54"/>
    </row>
    <row r="692">
      <c r="E692" s="50"/>
      <c r="F692" s="50"/>
      <c r="G692" s="50"/>
      <c r="H692" s="51"/>
      <c r="I692" s="52"/>
      <c r="J692" s="52"/>
      <c r="K692" s="52"/>
      <c r="L692" s="53"/>
      <c r="O692" s="6"/>
      <c r="P692" s="6"/>
      <c r="Q692" s="9"/>
      <c r="S692" s="54"/>
      <c r="T692" s="54"/>
    </row>
    <row r="693">
      <c r="E693" s="50"/>
      <c r="F693" s="50"/>
      <c r="G693" s="50"/>
      <c r="H693" s="51"/>
      <c r="I693" s="52"/>
      <c r="J693" s="52"/>
      <c r="K693" s="52"/>
      <c r="L693" s="53"/>
      <c r="O693" s="6"/>
      <c r="P693" s="6"/>
      <c r="Q693" s="9"/>
      <c r="S693" s="54"/>
      <c r="T693" s="54"/>
    </row>
    <row r="694">
      <c r="E694" s="50"/>
      <c r="F694" s="50"/>
      <c r="G694" s="50"/>
      <c r="H694" s="51"/>
      <c r="I694" s="52"/>
      <c r="J694" s="52"/>
      <c r="K694" s="52"/>
      <c r="L694" s="53"/>
      <c r="O694" s="6"/>
      <c r="P694" s="6"/>
      <c r="Q694" s="9"/>
      <c r="S694" s="54"/>
      <c r="T694" s="54"/>
    </row>
    <row r="695">
      <c r="E695" s="50"/>
      <c r="F695" s="50"/>
      <c r="G695" s="50"/>
      <c r="H695" s="51"/>
      <c r="I695" s="52"/>
      <c r="J695" s="52"/>
      <c r="K695" s="52"/>
      <c r="L695" s="53"/>
      <c r="O695" s="6"/>
      <c r="P695" s="6"/>
      <c r="Q695" s="9"/>
      <c r="S695" s="54"/>
      <c r="T695" s="54"/>
    </row>
    <row r="696">
      <c r="E696" s="50"/>
      <c r="F696" s="50"/>
      <c r="G696" s="50"/>
      <c r="H696" s="51"/>
      <c r="I696" s="52"/>
      <c r="J696" s="52"/>
      <c r="K696" s="52"/>
      <c r="L696" s="53"/>
      <c r="O696" s="6"/>
      <c r="P696" s="6"/>
      <c r="Q696" s="9"/>
      <c r="S696" s="54"/>
      <c r="T696" s="54"/>
    </row>
    <row r="697">
      <c r="E697" s="50"/>
      <c r="F697" s="50"/>
      <c r="G697" s="50"/>
      <c r="H697" s="51"/>
      <c r="I697" s="52"/>
      <c r="J697" s="52"/>
      <c r="K697" s="52"/>
      <c r="L697" s="53"/>
      <c r="O697" s="6"/>
      <c r="P697" s="6"/>
      <c r="Q697" s="9"/>
      <c r="S697" s="54"/>
      <c r="T697" s="54"/>
    </row>
    <row r="698">
      <c r="E698" s="50"/>
      <c r="F698" s="50"/>
      <c r="G698" s="50"/>
      <c r="H698" s="51"/>
      <c r="I698" s="52"/>
      <c r="J698" s="52"/>
      <c r="K698" s="52"/>
      <c r="L698" s="53"/>
      <c r="O698" s="6"/>
      <c r="P698" s="6"/>
      <c r="Q698" s="9"/>
      <c r="S698" s="54"/>
      <c r="T698" s="54"/>
    </row>
    <row r="699">
      <c r="E699" s="50"/>
      <c r="F699" s="50"/>
      <c r="G699" s="50"/>
      <c r="H699" s="51"/>
      <c r="I699" s="52"/>
      <c r="J699" s="52"/>
      <c r="K699" s="52"/>
      <c r="L699" s="53"/>
      <c r="O699" s="6"/>
      <c r="P699" s="6"/>
      <c r="Q699" s="9"/>
      <c r="S699" s="54"/>
      <c r="T699" s="54"/>
    </row>
    <row r="700">
      <c r="E700" s="50"/>
      <c r="F700" s="50"/>
      <c r="G700" s="50"/>
      <c r="H700" s="51"/>
      <c r="I700" s="52"/>
      <c r="J700" s="52"/>
      <c r="K700" s="52"/>
      <c r="L700" s="53"/>
      <c r="O700" s="6"/>
      <c r="P700" s="6"/>
      <c r="Q700" s="9"/>
      <c r="S700" s="54"/>
      <c r="T700" s="54"/>
    </row>
    <row r="701">
      <c r="E701" s="50"/>
      <c r="F701" s="50"/>
      <c r="G701" s="50"/>
      <c r="H701" s="51"/>
      <c r="I701" s="52"/>
      <c r="J701" s="52"/>
      <c r="K701" s="52"/>
      <c r="L701" s="53"/>
      <c r="O701" s="6"/>
      <c r="P701" s="6"/>
      <c r="Q701" s="9"/>
      <c r="S701" s="54"/>
      <c r="T701" s="54"/>
    </row>
    <row r="702">
      <c r="E702" s="50"/>
      <c r="F702" s="50"/>
      <c r="G702" s="50"/>
      <c r="H702" s="51"/>
      <c r="I702" s="52"/>
      <c r="J702" s="52"/>
      <c r="K702" s="52"/>
      <c r="L702" s="53"/>
      <c r="O702" s="6"/>
      <c r="P702" s="6"/>
      <c r="Q702" s="9"/>
      <c r="S702" s="54"/>
      <c r="T702" s="54"/>
    </row>
    <row r="703">
      <c r="E703" s="50"/>
      <c r="F703" s="50"/>
      <c r="G703" s="50"/>
      <c r="H703" s="51"/>
      <c r="I703" s="52"/>
      <c r="J703" s="52"/>
      <c r="K703" s="52"/>
      <c r="L703" s="53"/>
      <c r="O703" s="6"/>
      <c r="P703" s="6"/>
      <c r="Q703" s="9"/>
      <c r="S703" s="54"/>
      <c r="T703" s="54"/>
    </row>
    <row r="704">
      <c r="E704" s="50"/>
      <c r="F704" s="50"/>
      <c r="G704" s="50"/>
      <c r="H704" s="51"/>
      <c r="I704" s="52"/>
      <c r="J704" s="52"/>
      <c r="K704" s="52"/>
      <c r="L704" s="53"/>
      <c r="O704" s="6"/>
      <c r="P704" s="6"/>
      <c r="Q704" s="9"/>
      <c r="S704" s="54"/>
      <c r="T704" s="54"/>
    </row>
    <row r="705">
      <c r="E705" s="50"/>
      <c r="F705" s="50"/>
      <c r="G705" s="50"/>
      <c r="H705" s="51"/>
      <c r="I705" s="52"/>
      <c r="J705" s="52"/>
      <c r="K705" s="52"/>
      <c r="L705" s="53"/>
      <c r="O705" s="6"/>
      <c r="P705" s="6"/>
      <c r="Q705" s="9"/>
      <c r="S705" s="54"/>
      <c r="T705" s="54"/>
    </row>
    <row r="706">
      <c r="E706" s="50"/>
      <c r="F706" s="50"/>
      <c r="G706" s="50"/>
      <c r="H706" s="51"/>
      <c r="I706" s="52"/>
      <c r="J706" s="52"/>
      <c r="K706" s="52"/>
      <c r="L706" s="53"/>
      <c r="O706" s="6"/>
      <c r="P706" s="6"/>
      <c r="Q706" s="9"/>
      <c r="S706" s="54"/>
      <c r="T706" s="54"/>
    </row>
    <row r="707">
      <c r="E707" s="50"/>
      <c r="F707" s="50"/>
      <c r="G707" s="50"/>
      <c r="H707" s="51"/>
      <c r="I707" s="52"/>
      <c r="J707" s="52"/>
      <c r="K707" s="52"/>
      <c r="L707" s="53"/>
      <c r="O707" s="6"/>
      <c r="P707" s="6"/>
      <c r="Q707" s="9"/>
      <c r="S707" s="54"/>
      <c r="T707" s="54"/>
    </row>
    <row r="708">
      <c r="E708" s="50"/>
      <c r="F708" s="50"/>
      <c r="G708" s="50"/>
      <c r="H708" s="51"/>
      <c r="I708" s="52"/>
      <c r="J708" s="52"/>
      <c r="K708" s="52"/>
      <c r="L708" s="53"/>
      <c r="O708" s="6"/>
      <c r="P708" s="6"/>
      <c r="Q708" s="9"/>
      <c r="S708" s="54"/>
      <c r="T708" s="54"/>
    </row>
    <row r="709">
      <c r="E709" s="50"/>
      <c r="F709" s="50"/>
      <c r="G709" s="50"/>
      <c r="H709" s="51"/>
      <c r="I709" s="52"/>
      <c r="J709" s="52"/>
      <c r="K709" s="52"/>
      <c r="L709" s="53"/>
      <c r="O709" s="6"/>
      <c r="P709" s="6"/>
      <c r="Q709" s="9"/>
      <c r="S709" s="54"/>
      <c r="T709" s="54"/>
    </row>
    <row r="710">
      <c r="E710" s="50"/>
      <c r="F710" s="50"/>
      <c r="G710" s="50"/>
      <c r="H710" s="51"/>
      <c r="I710" s="52"/>
      <c r="J710" s="52"/>
      <c r="K710" s="52"/>
      <c r="L710" s="53"/>
      <c r="O710" s="6"/>
      <c r="P710" s="6"/>
      <c r="Q710" s="9"/>
      <c r="S710" s="54"/>
      <c r="T710" s="54"/>
    </row>
    <row r="711">
      <c r="E711" s="50"/>
      <c r="F711" s="50"/>
      <c r="G711" s="50"/>
      <c r="H711" s="51"/>
      <c r="I711" s="52"/>
      <c r="J711" s="52"/>
      <c r="K711" s="52"/>
      <c r="L711" s="53"/>
      <c r="O711" s="6"/>
      <c r="P711" s="6"/>
      <c r="Q711" s="9"/>
      <c r="S711" s="54"/>
      <c r="T711" s="54"/>
    </row>
    <row r="712">
      <c r="E712" s="50"/>
      <c r="F712" s="50"/>
      <c r="G712" s="50"/>
      <c r="H712" s="51"/>
      <c r="I712" s="52"/>
      <c r="J712" s="52"/>
      <c r="K712" s="52"/>
      <c r="L712" s="53"/>
      <c r="O712" s="6"/>
      <c r="P712" s="6"/>
      <c r="Q712" s="9"/>
      <c r="S712" s="54"/>
      <c r="T712" s="54"/>
    </row>
    <row r="713">
      <c r="E713" s="50"/>
      <c r="F713" s="50"/>
      <c r="G713" s="50"/>
      <c r="H713" s="51"/>
      <c r="I713" s="52"/>
      <c r="J713" s="52"/>
      <c r="K713" s="52"/>
      <c r="L713" s="53"/>
      <c r="O713" s="6"/>
      <c r="P713" s="6"/>
      <c r="Q713" s="9"/>
      <c r="S713" s="54"/>
      <c r="T713" s="54"/>
    </row>
    <row r="714">
      <c r="E714" s="50"/>
      <c r="F714" s="50"/>
      <c r="G714" s="50"/>
      <c r="H714" s="51"/>
      <c r="I714" s="52"/>
      <c r="J714" s="52"/>
      <c r="K714" s="52"/>
      <c r="L714" s="53"/>
      <c r="O714" s="6"/>
      <c r="P714" s="6"/>
      <c r="Q714" s="9"/>
      <c r="S714" s="54"/>
      <c r="T714" s="54"/>
    </row>
    <row r="715">
      <c r="E715" s="50"/>
      <c r="F715" s="50"/>
      <c r="G715" s="50"/>
      <c r="H715" s="51"/>
      <c r="I715" s="52"/>
      <c r="J715" s="52"/>
      <c r="K715" s="52"/>
      <c r="L715" s="53"/>
      <c r="O715" s="6"/>
      <c r="P715" s="6"/>
      <c r="Q715" s="9"/>
      <c r="S715" s="54"/>
      <c r="T715" s="54"/>
    </row>
    <row r="716">
      <c r="E716" s="50"/>
      <c r="F716" s="50"/>
      <c r="G716" s="50"/>
      <c r="H716" s="51"/>
      <c r="I716" s="52"/>
      <c r="J716" s="52"/>
      <c r="K716" s="52"/>
      <c r="L716" s="53"/>
      <c r="O716" s="6"/>
      <c r="P716" s="6"/>
      <c r="Q716" s="9"/>
      <c r="S716" s="54"/>
      <c r="T716" s="54"/>
    </row>
    <row r="717">
      <c r="E717" s="50"/>
      <c r="F717" s="50"/>
      <c r="G717" s="50"/>
      <c r="H717" s="51"/>
      <c r="I717" s="52"/>
      <c r="J717" s="52"/>
      <c r="K717" s="52"/>
      <c r="L717" s="53"/>
      <c r="O717" s="6"/>
      <c r="P717" s="6"/>
      <c r="Q717" s="9"/>
      <c r="S717" s="54"/>
      <c r="T717" s="54"/>
    </row>
    <row r="718">
      <c r="E718" s="50"/>
      <c r="F718" s="50"/>
      <c r="G718" s="50"/>
      <c r="H718" s="51"/>
      <c r="I718" s="52"/>
      <c r="J718" s="52"/>
      <c r="K718" s="52"/>
      <c r="L718" s="53"/>
      <c r="O718" s="6"/>
      <c r="P718" s="6"/>
      <c r="Q718" s="9"/>
      <c r="S718" s="54"/>
      <c r="T718" s="54"/>
    </row>
    <row r="719">
      <c r="E719" s="50"/>
      <c r="F719" s="50"/>
      <c r="G719" s="50"/>
      <c r="H719" s="51"/>
      <c r="I719" s="52"/>
      <c r="J719" s="52"/>
      <c r="K719" s="52"/>
      <c r="L719" s="53"/>
      <c r="O719" s="6"/>
      <c r="P719" s="6"/>
      <c r="Q719" s="9"/>
      <c r="S719" s="54"/>
      <c r="T719" s="54"/>
    </row>
    <row r="720">
      <c r="E720" s="50"/>
      <c r="F720" s="50"/>
      <c r="G720" s="50"/>
      <c r="H720" s="51"/>
      <c r="I720" s="52"/>
      <c r="J720" s="52"/>
      <c r="K720" s="52"/>
      <c r="L720" s="53"/>
      <c r="O720" s="6"/>
      <c r="P720" s="6"/>
      <c r="Q720" s="9"/>
      <c r="S720" s="54"/>
      <c r="T720" s="54"/>
    </row>
    <row r="721">
      <c r="E721" s="50"/>
      <c r="F721" s="50"/>
      <c r="G721" s="50"/>
      <c r="H721" s="51"/>
      <c r="I721" s="52"/>
      <c r="J721" s="52"/>
      <c r="K721" s="52"/>
      <c r="L721" s="53"/>
      <c r="O721" s="6"/>
      <c r="P721" s="6"/>
      <c r="Q721" s="9"/>
      <c r="S721" s="54"/>
      <c r="T721" s="54"/>
    </row>
    <row r="722">
      <c r="E722" s="50"/>
      <c r="F722" s="50"/>
      <c r="G722" s="50"/>
      <c r="H722" s="51"/>
      <c r="I722" s="52"/>
      <c r="J722" s="52"/>
      <c r="K722" s="52"/>
      <c r="L722" s="53"/>
      <c r="O722" s="6"/>
      <c r="P722" s="6"/>
      <c r="Q722" s="9"/>
      <c r="S722" s="54"/>
      <c r="T722" s="54"/>
    </row>
    <row r="723">
      <c r="E723" s="50"/>
      <c r="F723" s="50"/>
      <c r="G723" s="50"/>
      <c r="H723" s="51"/>
      <c r="I723" s="52"/>
      <c r="J723" s="52"/>
      <c r="K723" s="52"/>
      <c r="L723" s="53"/>
      <c r="O723" s="6"/>
      <c r="P723" s="6"/>
      <c r="Q723" s="9"/>
      <c r="S723" s="54"/>
      <c r="T723" s="54"/>
    </row>
    <row r="724">
      <c r="E724" s="50"/>
      <c r="F724" s="50"/>
      <c r="G724" s="50"/>
      <c r="H724" s="51"/>
      <c r="I724" s="52"/>
      <c r="J724" s="52"/>
      <c r="K724" s="52"/>
      <c r="L724" s="53"/>
      <c r="O724" s="6"/>
      <c r="P724" s="6"/>
      <c r="Q724" s="9"/>
      <c r="S724" s="54"/>
      <c r="T724" s="54"/>
    </row>
    <row r="725">
      <c r="E725" s="50"/>
      <c r="F725" s="50"/>
      <c r="G725" s="50"/>
      <c r="H725" s="51"/>
      <c r="I725" s="52"/>
      <c r="J725" s="52"/>
      <c r="K725" s="52"/>
      <c r="L725" s="53"/>
      <c r="O725" s="6"/>
      <c r="P725" s="6"/>
      <c r="Q725" s="9"/>
      <c r="S725" s="54"/>
      <c r="T725" s="54"/>
    </row>
    <row r="726">
      <c r="E726" s="50"/>
      <c r="F726" s="50"/>
      <c r="G726" s="50"/>
      <c r="H726" s="51"/>
      <c r="I726" s="52"/>
      <c r="J726" s="52"/>
      <c r="K726" s="52"/>
      <c r="L726" s="53"/>
      <c r="O726" s="6"/>
      <c r="P726" s="6"/>
      <c r="Q726" s="9"/>
      <c r="S726" s="54"/>
      <c r="T726" s="54"/>
    </row>
    <row r="727">
      <c r="E727" s="50"/>
      <c r="F727" s="50"/>
      <c r="G727" s="50"/>
      <c r="H727" s="51"/>
      <c r="I727" s="52"/>
      <c r="J727" s="52"/>
      <c r="K727" s="52"/>
      <c r="L727" s="53"/>
      <c r="O727" s="6"/>
      <c r="P727" s="6"/>
      <c r="Q727" s="9"/>
      <c r="S727" s="54"/>
      <c r="T727" s="54"/>
    </row>
    <row r="728">
      <c r="E728" s="50"/>
      <c r="F728" s="50"/>
      <c r="G728" s="50"/>
      <c r="H728" s="51"/>
      <c r="I728" s="52"/>
      <c r="J728" s="52"/>
      <c r="K728" s="52"/>
      <c r="L728" s="53"/>
      <c r="O728" s="6"/>
      <c r="P728" s="6"/>
      <c r="Q728" s="9"/>
      <c r="S728" s="54"/>
      <c r="T728" s="54"/>
    </row>
    <row r="729">
      <c r="E729" s="50"/>
      <c r="F729" s="50"/>
      <c r="G729" s="50"/>
      <c r="H729" s="51"/>
      <c r="I729" s="52"/>
      <c r="J729" s="52"/>
      <c r="K729" s="52"/>
      <c r="L729" s="53"/>
      <c r="O729" s="6"/>
      <c r="P729" s="6"/>
      <c r="Q729" s="9"/>
      <c r="S729" s="54"/>
      <c r="T729" s="54"/>
    </row>
    <row r="730">
      <c r="E730" s="50"/>
      <c r="F730" s="50"/>
      <c r="G730" s="50"/>
      <c r="H730" s="51"/>
      <c r="I730" s="52"/>
      <c r="J730" s="52"/>
      <c r="K730" s="52"/>
      <c r="L730" s="53"/>
      <c r="O730" s="6"/>
      <c r="P730" s="6"/>
      <c r="Q730" s="9"/>
      <c r="S730" s="54"/>
      <c r="T730" s="54"/>
    </row>
    <row r="731">
      <c r="E731" s="50"/>
      <c r="F731" s="50"/>
      <c r="G731" s="50"/>
      <c r="H731" s="51"/>
      <c r="I731" s="52"/>
      <c r="J731" s="52"/>
      <c r="K731" s="52"/>
      <c r="L731" s="53"/>
      <c r="O731" s="6"/>
      <c r="P731" s="6"/>
      <c r="Q731" s="9"/>
      <c r="S731" s="54"/>
      <c r="T731" s="54"/>
    </row>
    <row r="732">
      <c r="E732" s="50"/>
      <c r="F732" s="50"/>
      <c r="G732" s="50"/>
      <c r="H732" s="51"/>
      <c r="I732" s="52"/>
      <c r="J732" s="52"/>
      <c r="K732" s="52"/>
      <c r="L732" s="53"/>
      <c r="O732" s="6"/>
      <c r="P732" s="6"/>
      <c r="Q732" s="9"/>
      <c r="S732" s="54"/>
      <c r="T732" s="54"/>
    </row>
    <row r="733">
      <c r="E733" s="50"/>
      <c r="F733" s="50"/>
      <c r="G733" s="50"/>
      <c r="H733" s="51"/>
      <c r="I733" s="52"/>
      <c r="J733" s="52"/>
      <c r="K733" s="52"/>
      <c r="L733" s="53"/>
      <c r="O733" s="6"/>
      <c r="P733" s="6"/>
      <c r="Q733" s="9"/>
      <c r="S733" s="54"/>
      <c r="T733" s="54"/>
    </row>
    <row r="734">
      <c r="E734" s="50"/>
      <c r="F734" s="50"/>
      <c r="G734" s="50"/>
      <c r="H734" s="51"/>
      <c r="I734" s="52"/>
      <c r="J734" s="52"/>
      <c r="K734" s="52"/>
      <c r="L734" s="53"/>
      <c r="O734" s="6"/>
      <c r="P734" s="6"/>
      <c r="Q734" s="9"/>
      <c r="S734" s="54"/>
      <c r="T734" s="54"/>
    </row>
    <row r="735">
      <c r="E735" s="50"/>
      <c r="F735" s="50"/>
      <c r="G735" s="50"/>
      <c r="H735" s="51"/>
      <c r="I735" s="52"/>
      <c r="J735" s="52"/>
      <c r="K735" s="52"/>
      <c r="L735" s="53"/>
      <c r="O735" s="6"/>
      <c r="P735" s="6"/>
      <c r="Q735" s="9"/>
      <c r="S735" s="54"/>
      <c r="T735" s="54"/>
    </row>
    <row r="736">
      <c r="E736" s="50"/>
      <c r="F736" s="50"/>
      <c r="G736" s="50"/>
      <c r="H736" s="51"/>
      <c r="I736" s="52"/>
      <c r="J736" s="52"/>
      <c r="K736" s="52"/>
      <c r="L736" s="53"/>
      <c r="O736" s="6"/>
      <c r="P736" s="6"/>
      <c r="Q736" s="9"/>
      <c r="S736" s="54"/>
      <c r="T736" s="54"/>
    </row>
    <row r="737">
      <c r="E737" s="50"/>
      <c r="F737" s="50"/>
      <c r="G737" s="50"/>
      <c r="H737" s="51"/>
      <c r="I737" s="52"/>
      <c r="J737" s="52"/>
      <c r="K737" s="52"/>
      <c r="L737" s="53"/>
      <c r="O737" s="6"/>
      <c r="P737" s="6"/>
      <c r="Q737" s="9"/>
      <c r="S737" s="54"/>
      <c r="T737" s="54"/>
    </row>
    <row r="738">
      <c r="E738" s="50"/>
      <c r="F738" s="50"/>
      <c r="G738" s="50"/>
      <c r="H738" s="51"/>
      <c r="I738" s="52"/>
      <c r="J738" s="52"/>
      <c r="K738" s="52"/>
      <c r="L738" s="53"/>
      <c r="O738" s="6"/>
      <c r="P738" s="6"/>
      <c r="Q738" s="9"/>
      <c r="S738" s="54"/>
      <c r="T738" s="54"/>
    </row>
    <row r="739">
      <c r="E739" s="50"/>
      <c r="F739" s="50"/>
      <c r="G739" s="50"/>
      <c r="H739" s="51"/>
      <c r="I739" s="52"/>
      <c r="J739" s="52"/>
      <c r="K739" s="52"/>
      <c r="L739" s="53"/>
      <c r="O739" s="6"/>
      <c r="P739" s="6"/>
      <c r="Q739" s="9"/>
      <c r="S739" s="54"/>
      <c r="T739" s="54"/>
    </row>
    <row r="740">
      <c r="E740" s="50"/>
      <c r="F740" s="50"/>
      <c r="G740" s="50"/>
      <c r="H740" s="51"/>
      <c r="I740" s="52"/>
      <c r="J740" s="52"/>
      <c r="K740" s="52"/>
      <c r="L740" s="53"/>
      <c r="O740" s="6"/>
      <c r="P740" s="6"/>
      <c r="Q740" s="9"/>
      <c r="S740" s="54"/>
      <c r="T740" s="54"/>
    </row>
    <row r="741">
      <c r="E741" s="50"/>
      <c r="F741" s="50"/>
      <c r="G741" s="50"/>
      <c r="H741" s="51"/>
      <c r="I741" s="52"/>
      <c r="J741" s="52"/>
      <c r="K741" s="52"/>
      <c r="L741" s="53"/>
      <c r="O741" s="6"/>
      <c r="P741" s="6"/>
      <c r="Q741" s="9"/>
      <c r="S741" s="54"/>
      <c r="T741" s="54"/>
    </row>
    <row r="742">
      <c r="E742" s="50"/>
      <c r="F742" s="50"/>
      <c r="G742" s="50"/>
      <c r="H742" s="51"/>
      <c r="I742" s="52"/>
      <c r="J742" s="52"/>
      <c r="K742" s="52"/>
      <c r="L742" s="53"/>
      <c r="O742" s="6"/>
      <c r="P742" s="6"/>
      <c r="Q742" s="9"/>
      <c r="S742" s="54"/>
      <c r="T742" s="54"/>
    </row>
    <row r="743">
      <c r="E743" s="50"/>
      <c r="F743" s="50"/>
      <c r="G743" s="50"/>
      <c r="H743" s="51"/>
      <c r="I743" s="52"/>
      <c r="J743" s="52"/>
      <c r="K743" s="52"/>
      <c r="L743" s="53"/>
      <c r="O743" s="6"/>
      <c r="P743" s="6"/>
      <c r="Q743" s="9"/>
      <c r="S743" s="54"/>
      <c r="T743" s="54"/>
    </row>
    <row r="744">
      <c r="E744" s="50"/>
      <c r="F744" s="50"/>
      <c r="G744" s="50"/>
      <c r="H744" s="51"/>
      <c r="I744" s="52"/>
      <c r="J744" s="52"/>
      <c r="K744" s="52"/>
      <c r="L744" s="53"/>
      <c r="O744" s="6"/>
      <c r="P744" s="6"/>
      <c r="Q744" s="9"/>
      <c r="S744" s="54"/>
      <c r="T744" s="54"/>
    </row>
    <row r="745">
      <c r="E745" s="50"/>
      <c r="F745" s="50"/>
      <c r="G745" s="50"/>
      <c r="H745" s="51"/>
      <c r="I745" s="52"/>
      <c r="J745" s="52"/>
      <c r="K745" s="52"/>
      <c r="L745" s="53"/>
      <c r="O745" s="6"/>
      <c r="P745" s="6"/>
      <c r="Q745" s="9"/>
      <c r="S745" s="54"/>
      <c r="T745" s="54"/>
    </row>
    <row r="746">
      <c r="E746" s="50"/>
      <c r="F746" s="50"/>
      <c r="G746" s="50"/>
      <c r="H746" s="51"/>
      <c r="I746" s="52"/>
      <c r="J746" s="52"/>
      <c r="K746" s="52"/>
      <c r="L746" s="53"/>
      <c r="O746" s="6"/>
      <c r="P746" s="6"/>
      <c r="Q746" s="9"/>
      <c r="S746" s="54"/>
      <c r="T746" s="54"/>
    </row>
    <row r="747">
      <c r="E747" s="50"/>
      <c r="F747" s="50"/>
      <c r="G747" s="50"/>
      <c r="H747" s="51"/>
      <c r="I747" s="52"/>
      <c r="J747" s="52"/>
      <c r="K747" s="52"/>
      <c r="L747" s="53"/>
      <c r="O747" s="6"/>
      <c r="P747" s="6"/>
      <c r="Q747" s="9"/>
      <c r="S747" s="54"/>
      <c r="T747" s="54"/>
    </row>
    <row r="748">
      <c r="E748" s="50"/>
      <c r="F748" s="50"/>
      <c r="G748" s="50"/>
      <c r="H748" s="51"/>
      <c r="I748" s="52"/>
      <c r="J748" s="52"/>
      <c r="K748" s="52"/>
      <c r="L748" s="53"/>
      <c r="O748" s="6"/>
      <c r="P748" s="6"/>
      <c r="Q748" s="9"/>
      <c r="S748" s="54"/>
      <c r="T748" s="54"/>
    </row>
    <row r="749">
      <c r="E749" s="50"/>
      <c r="F749" s="50"/>
      <c r="G749" s="50"/>
      <c r="H749" s="51"/>
      <c r="I749" s="52"/>
      <c r="J749" s="52"/>
      <c r="K749" s="52"/>
      <c r="L749" s="53"/>
      <c r="O749" s="6"/>
      <c r="P749" s="6"/>
      <c r="Q749" s="9"/>
      <c r="S749" s="54"/>
      <c r="T749" s="54"/>
    </row>
    <row r="750">
      <c r="E750" s="50"/>
      <c r="F750" s="50"/>
      <c r="G750" s="50"/>
      <c r="H750" s="51"/>
      <c r="I750" s="52"/>
      <c r="J750" s="52"/>
      <c r="K750" s="52"/>
      <c r="L750" s="53"/>
      <c r="O750" s="6"/>
      <c r="P750" s="6"/>
      <c r="Q750" s="9"/>
      <c r="S750" s="54"/>
      <c r="T750" s="54"/>
    </row>
    <row r="751">
      <c r="E751" s="50"/>
      <c r="F751" s="50"/>
      <c r="G751" s="50"/>
      <c r="H751" s="51"/>
      <c r="I751" s="52"/>
      <c r="J751" s="52"/>
      <c r="K751" s="52"/>
      <c r="L751" s="53"/>
      <c r="O751" s="6"/>
      <c r="P751" s="6"/>
      <c r="Q751" s="9"/>
      <c r="S751" s="54"/>
      <c r="T751" s="54"/>
    </row>
    <row r="752">
      <c r="E752" s="50"/>
      <c r="F752" s="50"/>
      <c r="G752" s="50"/>
      <c r="H752" s="51"/>
      <c r="I752" s="52"/>
      <c r="J752" s="52"/>
      <c r="K752" s="52"/>
      <c r="L752" s="53"/>
      <c r="O752" s="6"/>
      <c r="P752" s="6"/>
      <c r="Q752" s="9"/>
      <c r="S752" s="54"/>
      <c r="T752" s="54"/>
    </row>
    <row r="753">
      <c r="E753" s="50"/>
      <c r="F753" s="50"/>
      <c r="G753" s="50"/>
      <c r="H753" s="51"/>
      <c r="I753" s="52"/>
      <c r="J753" s="52"/>
      <c r="K753" s="52"/>
      <c r="L753" s="53"/>
      <c r="O753" s="6"/>
      <c r="P753" s="6"/>
      <c r="Q753" s="9"/>
      <c r="S753" s="54"/>
      <c r="T753" s="54"/>
    </row>
    <row r="754">
      <c r="E754" s="50"/>
      <c r="F754" s="50"/>
      <c r="G754" s="50"/>
      <c r="H754" s="51"/>
      <c r="I754" s="52"/>
      <c r="J754" s="52"/>
      <c r="K754" s="52"/>
      <c r="L754" s="53"/>
      <c r="O754" s="6"/>
      <c r="P754" s="6"/>
      <c r="Q754" s="9"/>
      <c r="S754" s="54"/>
      <c r="T754" s="54"/>
    </row>
    <row r="755">
      <c r="E755" s="50"/>
      <c r="F755" s="50"/>
      <c r="G755" s="50"/>
      <c r="H755" s="51"/>
      <c r="I755" s="52"/>
      <c r="J755" s="52"/>
      <c r="K755" s="52"/>
      <c r="L755" s="53"/>
      <c r="O755" s="6"/>
      <c r="P755" s="6"/>
      <c r="Q755" s="9"/>
      <c r="S755" s="54"/>
      <c r="T755" s="54"/>
    </row>
    <row r="756">
      <c r="E756" s="50"/>
      <c r="F756" s="50"/>
      <c r="G756" s="50"/>
      <c r="H756" s="51"/>
      <c r="I756" s="52"/>
      <c r="J756" s="52"/>
      <c r="K756" s="52"/>
      <c r="L756" s="53"/>
      <c r="O756" s="6"/>
      <c r="P756" s="6"/>
      <c r="Q756" s="9"/>
      <c r="S756" s="54"/>
      <c r="T756" s="54"/>
    </row>
    <row r="757">
      <c r="E757" s="50"/>
      <c r="F757" s="50"/>
      <c r="G757" s="50"/>
      <c r="H757" s="51"/>
      <c r="I757" s="52"/>
      <c r="J757" s="52"/>
      <c r="K757" s="52"/>
      <c r="L757" s="53"/>
      <c r="O757" s="6"/>
      <c r="P757" s="6"/>
      <c r="Q757" s="9"/>
      <c r="S757" s="54"/>
      <c r="T757" s="54"/>
    </row>
    <row r="758">
      <c r="E758" s="50"/>
      <c r="F758" s="50"/>
      <c r="G758" s="50"/>
      <c r="H758" s="51"/>
      <c r="I758" s="52"/>
      <c r="J758" s="52"/>
      <c r="K758" s="52"/>
      <c r="L758" s="53"/>
      <c r="O758" s="6"/>
      <c r="P758" s="6"/>
      <c r="Q758" s="9"/>
      <c r="S758" s="54"/>
      <c r="T758" s="54"/>
    </row>
    <row r="759">
      <c r="E759" s="50"/>
      <c r="F759" s="50"/>
      <c r="G759" s="50"/>
      <c r="H759" s="51"/>
      <c r="I759" s="52"/>
      <c r="J759" s="52"/>
      <c r="K759" s="52"/>
      <c r="L759" s="53"/>
      <c r="O759" s="6"/>
      <c r="P759" s="6"/>
      <c r="Q759" s="9"/>
      <c r="S759" s="54"/>
      <c r="T759" s="54"/>
    </row>
    <row r="760">
      <c r="E760" s="50"/>
      <c r="F760" s="50"/>
      <c r="G760" s="50"/>
      <c r="H760" s="51"/>
      <c r="I760" s="52"/>
      <c r="J760" s="52"/>
      <c r="K760" s="52"/>
      <c r="L760" s="53"/>
      <c r="O760" s="6"/>
      <c r="P760" s="6"/>
      <c r="Q760" s="9"/>
      <c r="S760" s="54"/>
      <c r="T760" s="54"/>
    </row>
    <row r="761">
      <c r="E761" s="50"/>
      <c r="F761" s="50"/>
      <c r="G761" s="50"/>
      <c r="H761" s="51"/>
      <c r="I761" s="52"/>
      <c r="J761" s="52"/>
      <c r="K761" s="52"/>
      <c r="L761" s="53"/>
      <c r="O761" s="6"/>
      <c r="P761" s="6"/>
      <c r="Q761" s="9"/>
      <c r="S761" s="54"/>
      <c r="T761" s="54"/>
    </row>
    <row r="762">
      <c r="E762" s="50"/>
      <c r="F762" s="50"/>
      <c r="G762" s="50"/>
      <c r="H762" s="51"/>
      <c r="I762" s="52"/>
      <c r="J762" s="52"/>
      <c r="K762" s="52"/>
      <c r="L762" s="53"/>
      <c r="O762" s="6"/>
      <c r="P762" s="6"/>
      <c r="Q762" s="9"/>
      <c r="S762" s="54"/>
      <c r="T762" s="54"/>
    </row>
    <row r="763">
      <c r="E763" s="50"/>
      <c r="F763" s="50"/>
      <c r="G763" s="50"/>
      <c r="H763" s="51"/>
      <c r="I763" s="52"/>
      <c r="J763" s="52"/>
      <c r="K763" s="52"/>
      <c r="L763" s="53"/>
      <c r="O763" s="6"/>
      <c r="P763" s="6"/>
      <c r="Q763" s="9"/>
      <c r="S763" s="54"/>
      <c r="T763" s="54"/>
    </row>
    <row r="764">
      <c r="E764" s="50"/>
      <c r="F764" s="50"/>
      <c r="G764" s="50"/>
      <c r="H764" s="51"/>
      <c r="I764" s="52"/>
      <c r="J764" s="52"/>
      <c r="K764" s="52"/>
      <c r="L764" s="53"/>
      <c r="O764" s="6"/>
      <c r="P764" s="6"/>
      <c r="Q764" s="9"/>
      <c r="S764" s="54"/>
      <c r="T764" s="54"/>
    </row>
    <row r="765">
      <c r="E765" s="50"/>
      <c r="F765" s="50"/>
      <c r="G765" s="50"/>
      <c r="H765" s="51"/>
      <c r="I765" s="52"/>
      <c r="J765" s="52"/>
      <c r="K765" s="52"/>
      <c r="L765" s="53"/>
      <c r="O765" s="6"/>
      <c r="P765" s="6"/>
      <c r="Q765" s="9"/>
      <c r="S765" s="54"/>
      <c r="T765" s="54"/>
    </row>
    <row r="766">
      <c r="E766" s="50"/>
      <c r="F766" s="50"/>
      <c r="G766" s="50"/>
      <c r="H766" s="51"/>
      <c r="I766" s="52"/>
      <c r="J766" s="52"/>
      <c r="K766" s="52"/>
      <c r="L766" s="53"/>
      <c r="O766" s="6"/>
      <c r="P766" s="6"/>
      <c r="Q766" s="9"/>
      <c r="S766" s="54"/>
      <c r="T766" s="54"/>
    </row>
    <row r="767">
      <c r="E767" s="50"/>
      <c r="F767" s="50"/>
      <c r="G767" s="50"/>
      <c r="H767" s="51"/>
      <c r="I767" s="52"/>
      <c r="J767" s="52"/>
      <c r="K767" s="52"/>
      <c r="L767" s="53"/>
      <c r="O767" s="6"/>
      <c r="P767" s="6"/>
      <c r="Q767" s="9"/>
      <c r="S767" s="54"/>
      <c r="T767" s="54"/>
    </row>
    <row r="768">
      <c r="E768" s="50"/>
      <c r="F768" s="50"/>
      <c r="G768" s="50"/>
      <c r="H768" s="51"/>
      <c r="I768" s="52"/>
      <c r="J768" s="52"/>
      <c r="K768" s="52"/>
      <c r="L768" s="53"/>
      <c r="O768" s="6"/>
      <c r="P768" s="6"/>
      <c r="Q768" s="9"/>
      <c r="S768" s="54"/>
      <c r="T768" s="54"/>
    </row>
    <row r="769">
      <c r="E769" s="50"/>
      <c r="F769" s="50"/>
      <c r="G769" s="50"/>
      <c r="H769" s="51"/>
      <c r="I769" s="52"/>
      <c r="J769" s="52"/>
      <c r="K769" s="52"/>
      <c r="L769" s="53"/>
      <c r="O769" s="6"/>
      <c r="P769" s="6"/>
      <c r="Q769" s="9"/>
      <c r="S769" s="54"/>
      <c r="T769" s="54"/>
    </row>
    <row r="770">
      <c r="E770" s="50"/>
      <c r="F770" s="50"/>
      <c r="G770" s="50"/>
      <c r="H770" s="51"/>
      <c r="I770" s="52"/>
      <c r="J770" s="52"/>
      <c r="K770" s="52"/>
      <c r="L770" s="53"/>
      <c r="O770" s="6"/>
      <c r="P770" s="6"/>
      <c r="Q770" s="9"/>
      <c r="S770" s="54"/>
      <c r="T770" s="54"/>
    </row>
    <row r="771">
      <c r="E771" s="50"/>
      <c r="F771" s="50"/>
      <c r="G771" s="50"/>
      <c r="H771" s="51"/>
      <c r="I771" s="52"/>
      <c r="J771" s="52"/>
      <c r="K771" s="52"/>
      <c r="L771" s="53"/>
      <c r="O771" s="6"/>
      <c r="P771" s="6"/>
      <c r="Q771" s="9"/>
      <c r="S771" s="54"/>
      <c r="T771" s="54"/>
    </row>
    <row r="772">
      <c r="E772" s="50"/>
      <c r="F772" s="50"/>
      <c r="G772" s="50"/>
      <c r="H772" s="51"/>
      <c r="I772" s="52"/>
      <c r="J772" s="52"/>
      <c r="K772" s="52"/>
      <c r="L772" s="53"/>
      <c r="O772" s="6"/>
      <c r="P772" s="6"/>
      <c r="Q772" s="9"/>
      <c r="S772" s="54"/>
      <c r="T772" s="54"/>
    </row>
    <row r="773">
      <c r="E773" s="50"/>
      <c r="F773" s="50"/>
      <c r="G773" s="50"/>
      <c r="H773" s="51"/>
      <c r="I773" s="52"/>
      <c r="J773" s="52"/>
      <c r="K773" s="52"/>
      <c r="L773" s="53"/>
      <c r="O773" s="6"/>
      <c r="P773" s="6"/>
      <c r="Q773" s="9"/>
      <c r="S773" s="54"/>
      <c r="T773" s="54"/>
    </row>
    <row r="774">
      <c r="E774" s="50"/>
      <c r="F774" s="50"/>
      <c r="G774" s="50"/>
      <c r="H774" s="51"/>
      <c r="I774" s="52"/>
      <c r="J774" s="52"/>
      <c r="K774" s="52"/>
      <c r="L774" s="53"/>
      <c r="O774" s="6"/>
      <c r="P774" s="6"/>
      <c r="Q774" s="9"/>
      <c r="S774" s="54"/>
      <c r="T774" s="54"/>
    </row>
    <row r="775">
      <c r="E775" s="50"/>
      <c r="F775" s="50"/>
      <c r="G775" s="50"/>
      <c r="H775" s="51"/>
      <c r="I775" s="52"/>
      <c r="J775" s="52"/>
      <c r="K775" s="52"/>
      <c r="L775" s="53"/>
      <c r="O775" s="6"/>
      <c r="P775" s="6"/>
      <c r="Q775" s="9"/>
      <c r="S775" s="54"/>
      <c r="T775" s="54"/>
    </row>
    <row r="776">
      <c r="E776" s="50"/>
      <c r="F776" s="50"/>
      <c r="G776" s="50"/>
      <c r="H776" s="51"/>
      <c r="I776" s="52"/>
      <c r="J776" s="52"/>
      <c r="K776" s="52"/>
      <c r="L776" s="53"/>
      <c r="O776" s="6"/>
      <c r="P776" s="6"/>
      <c r="Q776" s="9"/>
      <c r="S776" s="54"/>
      <c r="T776" s="54"/>
    </row>
    <row r="777">
      <c r="E777" s="50"/>
      <c r="F777" s="50"/>
      <c r="G777" s="50"/>
      <c r="H777" s="51"/>
      <c r="I777" s="52"/>
      <c r="J777" s="52"/>
      <c r="K777" s="52"/>
      <c r="L777" s="53"/>
      <c r="O777" s="6"/>
      <c r="P777" s="6"/>
      <c r="Q777" s="9"/>
      <c r="S777" s="54"/>
      <c r="T777" s="54"/>
    </row>
    <row r="778">
      <c r="E778" s="50"/>
      <c r="F778" s="50"/>
      <c r="G778" s="50"/>
      <c r="H778" s="51"/>
      <c r="I778" s="52"/>
      <c r="J778" s="52"/>
      <c r="K778" s="52"/>
      <c r="L778" s="53"/>
      <c r="O778" s="6"/>
      <c r="P778" s="6"/>
      <c r="Q778" s="9"/>
      <c r="S778" s="54"/>
      <c r="T778" s="54"/>
    </row>
    <row r="779">
      <c r="E779" s="50"/>
      <c r="F779" s="50"/>
      <c r="G779" s="50"/>
      <c r="H779" s="51"/>
      <c r="I779" s="52"/>
      <c r="J779" s="52"/>
      <c r="K779" s="52"/>
      <c r="L779" s="53"/>
      <c r="O779" s="6"/>
      <c r="P779" s="6"/>
      <c r="Q779" s="9"/>
      <c r="S779" s="54"/>
      <c r="T779" s="54"/>
    </row>
    <row r="780">
      <c r="E780" s="50"/>
      <c r="F780" s="50"/>
      <c r="G780" s="50"/>
      <c r="H780" s="51"/>
      <c r="I780" s="52"/>
      <c r="J780" s="52"/>
      <c r="K780" s="52"/>
      <c r="L780" s="53"/>
      <c r="O780" s="6"/>
      <c r="P780" s="6"/>
      <c r="Q780" s="9"/>
      <c r="S780" s="54"/>
      <c r="T780" s="54"/>
    </row>
    <row r="781">
      <c r="E781" s="50"/>
      <c r="F781" s="50"/>
      <c r="G781" s="50"/>
      <c r="H781" s="51"/>
      <c r="I781" s="52"/>
      <c r="J781" s="52"/>
      <c r="K781" s="52"/>
      <c r="L781" s="53"/>
      <c r="O781" s="6"/>
      <c r="P781" s="6"/>
      <c r="Q781" s="9"/>
      <c r="S781" s="54"/>
      <c r="T781" s="54"/>
    </row>
    <row r="782">
      <c r="E782" s="50"/>
      <c r="F782" s="50"/>
      <c r="G782" s="50"/>
      <c r="H782" s="51"/>
      <c r="I782" s="52"/>
      <c r="J782" s="52"/>
      <c r="K782" s="52"/>
      <c r="L782" s="53"/>
      <c r="O782" s="6"/>
      <c r="P782" s="6"/>
      <c r="Q782" s="9"/>
      <c r="S782" s="54"/>
      <c r="T782" s="54"/>
    </row>
    <row r="783">
      <c r="E783" s="50"/>
      <c r="F783" s="50"/>
      <c r="G783" s="50"/>
      <c r="H783" s="51"/>
      <c r="I783" s="52"/>
      <c r="J783" s="52"/>
      <c r="K783" s="52"/>
      <c r="L783" s="53"/>
      <c r="O783" s="6"/>
      <c r="P783" s="6"/>
      <c r="Q783" s="9"/>
      <c r="S783" s="54"/>
      <c r="T783" s="54"/>
    </row>
    <row r="784">
      <c r="E784" s="50"/>
      <c r="F784" s="50"/>
      <c r="G784" s="50"/>
      <c r="H784" s="51"/>
      <c r="I784" s="52"/>
      <c r="J784" s="52"/>
      <c r="K784" s="52"/>
      <c r="L784" s="53"/>
      <c r="O784" s="6"/>
      <c r="P784" s="6"/>
      <c r="Q784" s="9"/>
      <c r="S784" s="54"/>
      <c r="T784" s="54"/>
    </row>
    <row r="785">
      <c r="E785" s="50"/>
      <c r="F785" s="50"/>
      <c r="G785" s="50"/>
      <c r="H785" s="51"/>
      <c r="I785" s="52"/>
      <c r="J785" s="52"/>
      <c r="K785" s="52"/>
      <c r="L785" s="53"/>
      <c r="O785" s="6"/>
      <c r="P785" s="6"/>
      <c r="Q785" s="9"/>
      <c r="S785" s="54"/>
      <c r="T785" s="54"/>
    </row>
    <row r="786">
      <c r="E786" s="50"/>
      <c r="F786" s="50"/>
      <c r="G786" s="50"/>
      <c r="H786" s="51"/>
      <c r="I786" s="52"/>
      <c r="J786" s="52"/>
      <c r="K786" s="52"/>
      <c r="L786" s="53"/>
      <c r="O786" s="6"/>
      <c r="P786" s="6"/>
      <c r="Q786" s="9"/>
      <c r="S786" s="54"/>
      <c r="T786" s="54"/>
    </row>
    <row r="787">
      <c r="E787" s="50"/>
      <c r="F787" s="50"/>
      <c r="G787" s="50"/>
      <c r="H787" s="51"/>
      <c r="I787" s="52"/>
      <c r="J787" s="52"/>
      <c r="K787" s="52"/>
      <c r="L787" s="53"/>
      <c r="O787" s="6"/>
      <c r="P787" s="6"/>
      <c r="Q787" s="9"/>
      <c r="S787" s="54"/>
      <c r="T787" s="54"/>
    </row>
    <row r="788">
      <c r="E788" s="50"/>
      <c r="F788" s="50"/>
      <c r="G788" s="50"/>
      <c r="H788" s="51"/>
      <c r="I788" s="52"/>
      <c r="J788" s="52"/>
      <c r="K788" s="52"/>
      <c r="L788" s="53"/>
      <c r="O788" s="6"/>
      <c r="P788" s="6"/>
      <c r="Q788" s="9"/>
      <c r="S788" s="54"/>
      <c r="T788" s="54"/>
    </row>
    <row r="789">
      <c r="E789" s="50"/>
      <c r="F789" s="50"/>
      <c r="G789" s="50"/>
      <c r="H789" s="51"/>
      <c r="I789" s="52"/>
      <c r="J789" s="52"/>
      <c r="K789" s="52"/>
      <c r="L789" s="53"/>
      <c r="O789" s="6"/>
      <c r="P789" s="6"/>
      <c r="Q789" s="9"/>
      <c r="S789" s="54"/>
      <c r="T789" s="54"/>
    </row>
    <row r="790">
      <c r="E790" s="50"/>
      <c r="F790" s="50"/>
      <c r="G790" s="50"/>
      <c r="H790" s="51"/>
      <c r="I790" s="52"/>
      <c r="J790" s="52"/>
      <c r="K790" s="52"/>
      <c r="L790" s="53"/>
      <c r="O790" s="6"/>
      <c r="P790" s="6"/>
      <c r="Q790" s="9"/>
      <c r="S790" s="54"/>
      <c r="T790" s="54"/>
    </row>
    <row r="791">
      <c r="E791" s="50"/>
      <c r="F791" s="50"/>
      <c r="G791" s="50"/>
      <c r="H791" s="51"/>
      <c r="I791" s="52"/>
      <c r="J791" s="52"/>
      <c r="K791" s="52"/>
      <c r="L791" s="53"/>
      <c r="O791" s="6"/>
      <c r="P791" s="6"/>
      <c r="Q791" s="9"/>
      <c r="S791" s="54"/>
      <c r="T791" s="54"/>
    </row>
    <row r="792">
      <c r="E792" s="50"/>
      <c r="F792" s="50"/>
      <c r="G792" s="50"/>
      <c r="H792" s="51"/>
      <c r="I792" s="52"/>
      <c r="J792" s="52"/>
      <c r="K792" s="52"/>
      <c r="L792" s="53"/>
      <c r="O792" s="6"/>
      <c r="P792" s="6"/>
      <c r="Q792" s="9"/>
      <c r="S792" s="54"/>
      <c r="T792" s="54"/>
    </row>
    <row r="793">
      <c r="E793" s="50"/>
      <c r="F793" s="50"/>
      <c r="G793" s="50"/>
      <c r="H793" s="51"/>
      <c r="I793" s="52"/>
      <c r="J793" s="52"/>
      <c r="K793" s="52"/>
      <c r="L793" s="53"/>
      <c r="O793" s="6"/>
      <c r="P793" s="6"/>
      <c r="Q793" s="9"/>
      <c r="S793" s="54"/>
      <c r="T793" s="54"/>
    </row>
    <row r="794">
      <c r="E794" s="50"/>
      <c r="F794" s="50"/>
      <c r="G794" s="50"/>
      <c r="H794" s="51"/>
      <c r="I794" s="52"/>
      <c r="J794" s="52"/>
      <c r="K794" s="52"/>
      <c r="L794" s="53"/>
      <c r="O794" s="6"/>
      <c r="P794" s="6"/>
      <c r="Q794" s="9"/>
      <c r="S794" s="54"/>
      <c r="T794" s="54"/>
    </row>
    <row r="795">
      <c r="E795" s="50"/>
      <c r="F795" s="50"/>
      <c r="G795" s="50"/>
      <c r="H795" s="51"/>
      <c r="I795" s="52"/>
      <c r="J795" s="52"/>
      <c r="K795" s="52"/>
      <c r="L795" s="53"/>
      <c r="O795" s="6"/>
      <c r="P795" s="6"/>
      <c r="Q795" s="9"/>
      <c r="S795" s="54"/>
      <c r="T795" s="54"/>
    </row>
    <row r="796">
      <c r="E796" s="50"/>
      <c r="F796" s="50"/>
      <c r="G796" s="50"/>
      <c r="H796" s="51"/>
      <c r="I796" s="52"/>
      <c r="J796" s="52"/>
      <c r="K796" s="52"/>
      <c r="L796" s="53"/>
      <c r="O796" s="6"/>
      <c r="P796" s="6"/>
      <c r="Q796" s="9"/>
      <c r="S796" s="54"/>
      <c r="T796" s="54"/>
    </row>
    <row r="797">
      <c r="E797" s="50"/>
      <c r="F797" s="50"/>
      <c r="G797" s="50"/>
      <c r="H797" s="51"/>
      <c r="I797" s="52"/>
      <c r="J797" s="52"/>
      <c r="K797" s="52"/>
      <c r="L797" s="53"/>
      <c r="O797" s="6"/>
      <c r="P797" s="6"/>
      <c r="Q797" s="9"/>
      <c r="S797" s="54"/>
      <c r="T797" s="54"/>
    </row>
    <row r="798">
      <c r="E798" s="50"/>
      <c r="F798" s="50"/>
      <c r="G798" s="50"/>
      <c r="H798" s="51"/>
      <c r="I798" s="52"/>
      <c r="J798" s="52"/>
      <c r="K798" s="52"/>
      <c r="L798" s="53"/>
      <c r="O798" s="6"/>
      <c r="P798" s="6"/>
      <c r="Q798" s="9"/>
      <c r="S798" s="54"/>
      <c r="T798" s="54"/>
    </row>
    <row r="799">
      <c r="E799" s="50"/>
      <c r="F799" s="50"/>
      <c r="G799" s="50"/>
      <c r="H799" s="51"/>
      <c r="I799" s="52"/>
      <c r="J799" s="52"/>
      <c r="K799" s="52"/>
      <c r="L799" s="53"/>
      <c r="O799" s="6"/>
      <c r="P799" s="6"/>
      <c r="Q799" s="9"/>
      <c r="S799" s="54"/>
      <c r="T799" s="54"/>
    </row>
    <row r="800">
      <c r="E800" s="50"/>
      <c r="F800" s="50"/>
      <c r="G800" s="50"/>
      <c r="H800" s="51"/>
      <c r="I800" s="52"/>
      <c r="J800" s="52"/>
      <c r="K800" s="52"/>
      <c r="L800" s="53"/>
      <c r="O800" s="6"/>
      <c r="P800" s="6"/>
      <c r="Q800" s="9"/>
      <c r="S800" s="54"/>
      <c r="T800" s="54"/>
    </row>
    <row r="801">
      <c r="E801" s="50"/>
      <c r="F801" s="50"/>
      <c r="G801" s="50"/>
      <c r="H801" s="51"/>
      <c r="I801" s="52"/>
      <c r="J801" s="52"/>
      <c r="K801" s="52"/>
      <c r="L801" s="53"/>
      <c r="O801" s="6"/>
      <c r="P801" s="6"/>
      <c r="Q801" s="9"/>
      <c r="S801" s="54"/>
      <c r="T801" s="54"/>
    </row>
    <row r="802">
      <c r="E802" s="50"/>
      <c r="F802" s="50"/>
      <c r="G802" s="50"/>
      <c r="H802" s="51"/>
      <c r="I802" s="52"/>
      <c r="J802" s="52"/>
      <c r="K802" s="52"/>
      <c r="L802" s="53"/>
      <c r="O802" s="6"/>
      <c r="P802" s="6"/>
      <c r="Q802" s="9"/>
      <c r="S802" s="54"/>
      <c r="T802" s="54"/>
    </row>
    <row r="803">
      <c r="E803" s="50"/>
      <c r="F803" s="50"/>
      <c r="G803" s="50"/>
      <c r="H803" s="51"/>
      <c r="I803" s="52"/>
      <c r="J803" s="52"/>
      <c r="K803" s="52"/>
      <c r="L803" s="53"/>
      <c r="O803" s="6"/>
      <c r="P803" s="6"/>
      <c r="Q803" s="9"/>
      <c r="S803" s="54"/>
      <c r="T803" s="54"/>
    </row>
    <row r="804">
      <c r="E804" s="50"/>
      <c r="F804" s="50"/>
      <c r="G804" s="50"/>
      <c r="H804" s="51"/>
      <c r="I804" s="52"/>
      <c r="J804" s="52"/>
      <c r="K804" s="52"/>
      <c r="L804" s="53"/>
      <c r="O804" s="6"/>
      <c r="P804" s="6"/>
      <c r="Q804" s="9"/>
      <c r="S804" s="54"/>
      <c r="T804" s="54"/>
    </row>
    <row r="805">
      <c r="E805" s="50"/>
      <c r="F805" s="50"/>
      <c r="G805" s="50"/>
      <c r="H805" s="51"/>
      <c r="I805" s="52"/>
      <c r="J805" s="52"/>
      <c r="K805" s="52"/>
      <c r="L805" s="53"/>
      <c r="O805" s="6"/>
      <c r="P805" s="6"/>
      <c r="Q805" s="9"/>
      <c r="S805" s="54"/>
      <c r="T805" s="54"/>
    </row>
    <row r="806">
      <c r="E806" s="50"/>
      <c r="F806" s="50"/>
      <c r="G806" s="50"/>
      <c r="H806" s="51"/>
      <c r="I806" s="52"/>
      <c r="J806" s="52"/>
      <c r="K806" s="52"/>
      <c r="L806" s="53"/>
      <c r="O806" s="6"/>
      <c r="P806" s="6"/>
      <c r="Q806" s="9"/>
      <c r="S806" s="54"/>
      <c r="T806" s="54"/>
    </row>
    <row r="807">
      <c r="E807" s="50"/>
      <c r="F807" s="50"/>
      <c r="G807" s="50"/>
      <c r="H807" s="51"/>
      <c r="I807" s="52"/>
      <c r="J807" s="52"/>
      <c r="K807" s="52"/>
      <c r="L807" s="53"/>
      <c r="O807" s="6"/>
      <c r="P807" s="6"/>
      <c r="Q807" s="9"/>
      <c r="S807" s="54"/>
      <c r="T807" s="54"/>
    </row>
    <row r="808">
      <c r="E808" s="50"/>
      <c r="F808" s="50"/>
      <c r="G808" s="50"/>
      <c r="H808" s="51"/>
      <c r="I808" s="52"/>
      <c r="J808" s="52"/>
      <c r="K808" s="52"/>
      <c r="L808" s="53"/>
      <c r="O808" s="6"/>
      <c r="P808" s="6"/>
      <c r="Q808" s="9"/>
      <c r="S808" s="54"/>
      <c r="T808" s="54"/>
    </row>
    <row r="809">
      <c r="E809" s="50"/>
      <c r="F809" s="50"/>
      <c r="G809" s="50"/>
      <c r="H809" s="51"/>
      <c r="I809" s="52"/>
      <c r="J809" s="52"/>
      <c r="K809" s="52"/>
      <c r="L809" s="53"/>
      <c r="O809" s="6"/>
      <c r="P809" s="6"/>
      <c r="Q809" s="9"/>
      <c r="S809" s="54"/>
      <c r="T809" s="54"/>
    </row>
    <row r="810">
      <c r="E810" s="50"/>
      <c r="F810" s="50"/>
      <c r="G810" s="50"/>
      <c r="H810" s="51"/>
      <c r="I810" s="52"/>
      <c r="J810" s="52"/>
      <c r="K810" s="52"/>
      <c r="L810" s="53"/>
      <c r="O810" s="6"/>
      <c r="P810" s="6"/>
      <c r="Q810" s="9"/>
      <c r="S810" s="54"/>
      <c r="T810" s="54"/>
    </row>
    <row r="811">
      <c r="E811" s="50"/>
      <c r="F811" s="50"/>
      <c r="G811" s="50"/>
      <c r="H811" s="51"/>
      <c r="I811" s="52"/>
      <c r="J811" s="52"/>
      <c r="K811" s="52"/>
      <c r="L811" s="53"/>
      <c r="O811" s="6"/>
      <c r="P811" s="6"/>
      <c r="Q811" s="9"/>
      <c r="S811" s="54"/>
      <c r="T811" s="54"/>
    </row>
    <row r="812">
      <c r="E812" s="50"/>
      <c r="F812" s="50"/>
      <c r="G812" s="50"/>
      <c r="H812" s="51"/>
      <c r="I812" s="52"/>
      <c r="J812" s="52"/>
      <c r="K812" s="52"/>
      <c r="L812" s="53"/>
      <c r="O812" s="6"/>
      <c r="P812" s="6"/>
      <c r="Q812" s="9"/>
      <c r="S812" s="54"/>
      <c r="T812" s="54"/>
    </row>
    <row r="813">
      <c r="E813" s="50"/>
      <c r="F813" s="50"/>
      <c r="G813" s="50"/>
      <c r="H813" s="51"/>
      <c r="I813" s="52"/>
      <c r="J813" s="52"/>
      <c r="K813" s="52"/>
      <c r="L813" s="53"/>
      <c r="O813" s="6"/>
      <c r="P813" s="6"/>
      <c r="Q813" s="9"/>
      <c r="S813" s="54"/>
      <c r="T813" s="54"/>
    </row>
    <row r="814">
      <c r="E814" s="50"/>
      <c r="F814" s="50"/>
      <c r="G814" s="50"/>
      <c r="H814" s="51"/>
      <c r="I814" s="52"/>
      <c r="J814" s="52"/>
      <c r="K814" s="52"/>
      <c r="L814" s="53"/>
      <c r="O814" s="6"/>
      <c r="P814" s="6"/>
      <c r="Q814" s="9"/>
      <c r="S814" s="54"/>
      <c r="T814" s="54"/>
    </row>
    <row r="815">
      <c r="E815" s="50"/>
      <c r="F815" s="50"/>
      <c r="G815" s="50"/>
      <c r="H815" s="51"/>
      <c r="I815" s="52"/>
      <c r="J815" s="52"/>
      <c r="K815" s="52"/>
      <c r="L815" s="53"/>
      <c r="O815" s="6"/>
      <c r="P815" s="6"/>
      <c r="Q815" s="9"/>
      <c r="S815" s="54"/>
      <c r="T815" s="54"/>
    </row>
    <row r="816">
      <c r="E816" s="50"/>
      <c r="F816" s="50"/>
      <c r="G816" s="50"/>
      <c r="H816" s="51"/>
      <c r="I816" s="52"/>
      <c r="J816" s="52"/>
      <c r="K816" s="52"/>
      <c r="L816" s="53"/>
      <c r="O816" s="6"/>
      <c r="P816" s="6"/>
      <c r="Q816" s="9"/>
      <c r="S816" s="54"/>
      <c r="T816" s="54"/>
    </row>
    <row r="817">
      <c r="E817" s="50"/>
      <c r="F817" s="50"/>
      <c r="G817" s="50"/>
      <c r="H817" s="51"/>
      <c r="I817" s="52"/>
      <c r="J817" s="52"/>
      <c r="K817" s="52"/>
      <c r="L817" s="53"/>
      <c r="O817" s="6"/>
      <c r="P817" s="6"/>
      <c r="Q817" s="9"/>
      <c r="S817" s="54"/>
      <c r="T817" s="54"/>
    </row>
    <row r="818">
      <c r="E818" s="50"/>
      <c r="F818" s="50"/>
      <c r="G818" s="50"/>
      <c r="H818" s="51"/>
      <c r="I818" s="52"/>
      <c r="J818" s="52"/>
      <c r="K818" s="52"/>
      <c r="L818" s="53"/>
      <c r="O818" s="6"/>
      <c r="P818" s="6"/>
      <c r="Q818" s="9"/>
      <c r="S818" s="54"/>
      <c r="T818" s="54"/>
    </row>
    <row r="819">
      <c r="E819" s="50"/>
      <c r="F819" s="50"/>
      <c r="G819" s="50"/>
      <c r="H819" s="51"/>
      <c r="I819" s="52"/>
      <c r="J819" s="52"/>
      <c r="K819" s="52"/>
      <c r="L819" s="53"/>
      <c r="O819" s="6"/>
      <c r="P819" s="6"/>
      <c r="Q819" s="9"/>
      <c r="S819" s="54"/>
      <c r="T819" s="54"/>
    </row>
    <row r="820">
      <c r="E820" s="50"/>
      <c r="F820" s="50"/>
      <c r="G820" s="50"/>
      <c r="H820" s="51"/>
      <c r="I820" s="52"/>
      <c r="J820" s="52"/>
      <c r="K820" s="52"/>
      <c r="L820" s="53"/>
      <c r="O820" s="6"/>
      <c r="P820" s="6"/>
      <c r="Q820" s="9"/>
      <c r="S820" s="54"/>
      <c r="T820" s="54"/>
    </row>
    <row r="821">
      <c r="E821" s="50"/>
      <c r="F821" s="50"/>
      <c r="G821" s="50"/>
      <c r="H821" s="51"/>
      <c r="I821" s="52"/>
      <c r="J821" s="52"/>
      <c r="K821" s="52"/>
      <c r="L821" s="53"/>
      <c r="O821" s="6"/>
      <c r="P821" s="6"/>
      <c r="Q821" s="9"/>
      <c r="S821" s="54"/>
      <c r="T821" s="54"/>
    </row>
    <row r="822">
      <c r="E822" s="50"/>
      <c r="F822" s="50"/>
      <c r="G822" s="50"/>
      <c r="H822" s="51"/>
      <c r="I822" s="52"/>
      <c r="J822" s="52"/>
      <c r="K822" s="52"/>
      <c r="L822" s="53"/>
      <c r="O822" s="6"/>
      <c r="P822" s="6"/>
      <c r="Q822" s="9"/>
      <c r="S822" s="54"/>
      <c r="T822" s="54"/>
    </row>
    <row r="823">
      <c r="E823" s="50"/>
      <c r="F823" s="50"/>
      <c r="G823" s="50"/>
      <c r="H823" s="51"/>
      <c r="I823" s="52"/>
      <c r="J823" s="52"/>
      <c r="K823" s="52"/>
      <c r="L823" s="53"/>
      <c r="O823" s="6"/>
      <c r="P823" s="6"/>
      <c r="Q823" s="9"/>
      <c r="S823" s="54"/>
      <c r="T823" s="54"/>
    </row>
    <row r="824">
      <c r="E824" s="50"/>
      <c r="F824" s="50"/>
      <c r="G824" s="50"/>
      <c r="H824" s="51"/>
      <c r="I824" s="52"/>
      <c r="J824" s="52"/>
      <c r="K824" s="52"/>
      <c r="L824" s="53"/>
      <c r="O824" s="6"/>
      <c r="P824" s="6"/>
      <c r="Q824" s="9"/>
      <c r="S824" s="54"/>
      <c r="T824" s="54"/>
    </row>
    <row r="825">
      <c r="E825" s="50"/>
      <c r="F825" s="50"/>
      <c r="G825" s="50"/>
      <c r="H825" s="51"/>
      <c r="I825" s="52"/>
      <c r="J825" s="52"/>
      <c r="K825" s="52"/>
      <c r="L825" s="53"/>
      <c r="O825" s="6"/>
      <c r="P825" s="6"/>
      <c r="Q825" s="9"/>
      <c r="S825" s="54"/>
      <c r="T825" s="54"/>
    </row>
    <row r="826">
      <c r="E826" s="50"/>
      <c r="F826" s="50"/>
      <c r="G826" s="50"/>
      <c r="H826" s="51"/>
      <c r="I826" s="52"/>
      <c r="J826" s="52"/>
      <c r="K826" s="52"/>
      <c r="L826" s="53"/>
      <c r="O826" s="6"/>
      <c r="P826" s="6"/>
      <c r="Q826" s="9"/>
      <c r="S826" s="54"/>
      <c r="T826" s="54"/>
    </row>
    <row r="827">
      <c r="E827" s="50"/>
      <c r="F827" s="50"/>
      <c r="G827" s="50"/>
      <c r="H827" s="51"/>
      <c r="I827" s="52"/>
      <c r="J827" s="52"/>
      <c r="K827" s="52"/>
      <c r="L827" s="53"/>
      <c r="O827" s="6"/>
      <c r="P827" s="6"/>
      <c r="Q827" s="9"/>
      <c r="S827" s="54"/>
      <c r="T827" s="54"/>
    </row>
    <row r="828">
      <c r="E828" s="50"/>
      <c r="F828" s="50"/>
      <c r="G828" s="50"/>
      <c r="H828" s="51"/>
      <c r="I828" s="52"/>
      <c r="J828" s="52"/>
      <c r="K828" s="52"/>
      <c r="L828" s="53"/>
      <c r="O828" s="6"/>
      <c r="P828" s="6"/>
      <c r="Q828" s="9"/>
      <c r="S828" s="54"/>
      <c r="T828" s="54"/>
    </row>
    <row r="829">
      <c r="E829" s="50"/>
      <c r="F829" s="50"/>
      <c r="G829" s="50"/>
      <c r="H829" s="51"/>
      <c r="I829" s="52"/>
      <c r="J829" s="52"/>
      <c r="K829" s="52"/>
      <c r="L829" s="53"/>
      <c r="O829" s="6"/>
      <c r="P829" s="6"/>
      <c r="Q829" s="9"/>
      <c r="S829" s="54"/>
      <c r="T829" s="54"/>
    </row>
    <row r="830">
      <c r="E830" s="50"/>
      <c r="F830" s="50"/>
      <c r="G830" s="50"/>
      <c r="H830" s="51"/>
      <c r="I830" s="52"/>
      <c r="J830" s="52"/>
      <c r="K830" s="52"/>
      <c r="L830" s="53"/>
      <c r="O830" s="6"/>
      <c r="P830" s="6"/>
      <c r="Q830" s="9"/>
      <c r="S830" s="54"/>
      <c r="T830" s="54"/>
    </row>
    <row r="831">
      <c r="E831" s="50"/>
      <c r="F831" s="50"/>
      <c r="G831" s="50"/>
      <c r="H831" s="51"/>
      <c r="I831" s="52"/>
      <c r="J831" s="52"/>
      <c r="K831" s="52"/>
      <c r="L831" s="53"/>
      <c r="O831" s="6"/>
      <c r="P831" s="6"/>
      <c r="Q831" s="9"/>
      <c r="S831" s="54"/>
      <c r="T831" s="54"/>
    </row>
    <row r="832">
      <c r="E832" s="50"/>
      <c r="F832" s="50"/>
      <c r="G832" s="50"/>
      <c r="H832" s="51"/>
      <c r="I832" s="52"/>
      <c r="J832" s="52"/>
      <c r="K832" s="52"/>
      <c r="L832" s="53"/>
      <c r="O832" s="6"/>
      <c r="P832" s="6"/>
      <c r="Q832" s="9"/>
      <c r="S832" s="54"/>
      <c r="T832" s="54"/>
    </row>
    <row r="833">
      <c r="E833" s="50"/>
      <c r="F833" s="50"/>
      <c r="G833" s="50"/>
      <c r="H833" s="51"/>
      <c r="I833" s="52"/>
      <c r="J833" s="52"/>
      <c r="K833" s="52"/>
      <c r="L833" s="53"/>
      <c r="O833" s="6"/>
      <c r="P833" s="6"/>
      <c r="Q833" s="9"/>
      <c r="S833" s="54"/>
      <c r="T833" s="54"/>
    </row>
    <row r="834">
      <c r="E834" s="50"/>
      <c r="F834" s="50"/>
      <c r="G834" s="50"/>
      <c r="H834" s="51"/>
      <c r="I834" s="52"/>
      <c r="J834" s="52"/>
      <c r="K834" s="52"/>
      <c r="L834" s="53"/>
      <c r="O834" s="6"/>
      <c r="P834" s="6"/>
      <c r="Q834" s="9"/>
      <c r="S834" s="54"/>
      <c r="T834" s="54"/>
    </row>
    <row r="835">
      <c r="E835" s="50"/>
      <c r="F835" s="50"/>
      <c r="G835" s="50"/>
      <c r="H835" s="51"/>
      <c r="I835" s="52"/>
      <c r="J835" s="52"/>
      <c r="K835" s="52"/>
      <c r="L835" s="53"/>
      <c r="O835" s="6"/>
      <c r="P835" s="6"/>
      <c r="Q835" s="9"/>
      <c r="S835" s="54"/>
      <c r="T835" s="54"/>
    </row>
    <row r="836">
      <c r="E836" s="50"/>
      <c r="F836" s="50"/>
      <c r="G836" s="50"/>
      <c r="H836" s="51"/>
      <c r="I836" s="52"/>
      <c r="J836" s="52"/>
      <c r="K836" s="52"/>
      <c r="L836" s="53"/>
      <c r="O836" s="6"/>
      <c r="P836" s="6"/>
      <c r="Q836" s="9"/>
      <c r="S836" s="54"/>
      <c r="T836" s="54"/>
    </row>
    <row r="837">
      <c r="E837" s="50"/>
      <c r="F837" s="50"/>
      <c r="G837" s="50"/>
      <c r="H837" s="51"/>
      <c r="I837" s="52"/>
      <c r="J837" s="52"/>
      <c r="K837" s="52"/>
      <c r="L837" s="53"/>
      <c r="O837" s="6"/>
      <c r="P837" s="6"/>
      <c r="Q837" s="9"/>
      <c r="S837" s="54"/>
      <c r="T837" s="54"/>
    </row>
    <row r="838">
      <c r="E838" s="50"/>
      <c r="F838" s="50"/>
      <c r="G838" s="50"/>
      <c r="H838" s="51"/>
      <c r="I838" s="52"/>
      <c r="J838" s="52"/>
      <c r="K838" s="52"/>
      <c r="L838" s="53"/>
      <c r="O838" s="6"/>
      <c r="P838" s="6"/>
      <c r="Q838" s="9"/>
      <c r="S838" s="54"/>
      <c r="T838" s="54"/>
    </row>
    <row r="839">
      <c r="E839" s="50"/>
      <c r="F839" s="50"/>
      <c r="G839" s="50"/>
      <c r="H839" s="51"/>
      <c r="I839" s="52"/>
      <c r="J839" s="52"/>
      <c r="K839" s="52"/>
      <c r="L839" s="53"/>
      <c r="O839" s="6"/>
      <c r="P839" s="6"/>
      <c r="Q839" s="9"/>
      <c r="S839" s="54"/>
      <c r="T839" s="54"/>
    </row>
    <row r="840">
      <c r="E840" s="50"/>
      <c r="F840" s="50"/>
      <c r="G840" s="50"/>
      <c r="H840" s="51"/>
      <c r="I840" s="52"/>
      <c r="J840" s="52"/>
      <c r="K840" s="52"/>
      <c r="L840" s="53"/>
      <c r="O840" s="6"/>
      <c r="P840" s="6"/>
      <c r="Q840" s="9"/>
      <c r="S840" s="54"/>
      <c r="T840" s="54"/>
    </row>
    <row r="841">
      <c r="E841" s="50"/>
      <c r="F841" s="50"/>
      <c r="G841" s="50"/>
      <c r="H841" s="51"/>
      <c r="I841" s="52"/>
      <c r="J841" s="52"/>
      <c r="K841" s="52"/>
      <c r="L841" s="53"/>
      <c r="O841" s="6"/>
      <c r="P841" s="6"/>
      <c r="Q841" s="9"/>
      <c r="S841" s="54"/>
      <c r="T841" s="54"/>
    </row>
    <row r="842">
      <c r="E842" s="50"/>
      <c r="F842" s="50"/>
      <c r="G842" s="50"/>
      <c r="H842" s="51"/>
      <c r="I842" s="52"/>
      <c r="J842" s="52"/>
      <c r="K842" s="52"/>
      <c r="L842" s="53"/>
      <c r="O842" s="6"/>
      <c r="P842" s="6"/>
      <c r="Q842" s="9"/>
      <c r="S842" s="54"/>
      <c r="T842" s="54"/>
    </row>
    <row r="843">
      <c r="E843" s="50"/>
      <c r="F843" s="50"/>
      <c r="G843" s="50"/>
      <c r="H843" s="51"/>
      <c r="I843" s="52"/>
      <c r="J843" s="52"/>
      <c r="K843" s="52"/>
      <c r="L843" s="53"/>
      <c r="O843" s="6"/>
      <c r="P843" s="6"/>
      <c r="Q843" s="9"/>
      <c r="S843" s="54"/>
      <c r="T843" s="54"/>
    </row>
    <row r="844">
      <c r="E844" s="50"/>
      <c r="F844" s="50"/>
      <c r="G844" s="50"/>
      <c r="H844" s="51"/>
      <c r="I844" s="52"/>
      <c r="J844" s="52"/>
      <c r="K844" s="52"/>
      <c r="L844" s="53"/>
      <c r="O844" s="6"/>
      <c r="P844" s="6"/>
      <c r="Q844" s="9"/>
      <c r="S844" s="54"/>
      <c r="T844" s="54"/>
    </row>
    <row r="845">
      <c r="E845" s="50"/>
      <c r="F845" s="50"/>
      <c r="G845" s="50"/>
      <c r="H845" s="51"/>
      <c r="I845" s="52"/>
      <c r="J845" s="52"/>
      <c r="K845" s="52"/>
      <c r="L845" s="53"/>
      <c r="O845" s="6"/>
      <c r="P845" s="6"/>
      <c r="Q845" s="9"/>
      <c r="S845" s="54"/>
      <c r="T845" s="54"/>
    </row>
    <row r="846">
      <c r="E846" s="50"/>
      <c r="F846" s="50"/>
      <c r="G846" s="50"/>
      <c r="H846" s="51"/>
      <c r="I846" s="52"/>
      <c r="J846" s="52"/>
      <c r="K846" s="52"/>
      <c r="L846" s="53"/>
      <c r="O846" s="6"/>
      <c r="P846" s="6"/>
      <c r="Q846" s="9"/>
      <c r="S846" s="54"/>
      <c r="T846" s="54"/>
    </row>
    <row r="847">
      <c r="E847" s="50"/>
      <c r="F847" s="50"/>
      <c r="G847" s="50"/>
      <c r="H847" s="51"/>
      <c r="I847" s="52"/>
      <c r="J847" s="52"/>
      <c r="K847" s="52"/>
      <c r="L847" s="53"/>
      <c r="O847" s="6"/>
      <c r="P847" s="6"/>
      <c r="Q847" s="9"/>
      <c r="S847" s="54"/>
      <c r="T847" s="54"/>
    </row>
    <row r="848">
      <c r="E848" s="50"/>
      <c r="F848" s="50"/>
      <c r="G848" s="50"/>
      <c r="H848" s="51"/>
      <c r="I848" s="52"/>
      <c r="J848" s="52"/>
      <c r="K848" s="52"/>
      <c r="L848" s="53"/>
      <c r="O848" s="6"/>
      <c r="P848" s="6"/>
      <c r="Q848" s="9"/>
      <c r="S848" s="54"/>
      <c r="T848" s="54"/>
    </row>
    <row r="849">
      <c r="E849" s="50"/>
      <c r="F849" s="50"/>
      <c r="G849" s="50"/>
      <c r="H849" s="51"/>
      <c r="I849" s="52"/>
      <c r="J849" s="52"/>
      <c r="K849" s="52"/>
      <c r="L849" s="53"/>
      <c r="O849" s="6"/>
      <c r="P849" s="6"/>
      <c r="Q849" s="9"/>
      <c r="S849" s="54"/>
      <c r="T849" s="54"/>
    </row>
    <row r="850">
      <c r="E850" s="50"/>
      <c r="F850" s="50"/>
      <c r="G850" s="50"/>
      <c r="H850" s="51"/>
      <c r="I850" s="52"/>
      <c r="J850" s="52"/>
      <c r="K850" s="52"/>
      <c r="L850" s="53"/>
      <c r="O850" s="6"/>
      <c r="P850" s="6"/>
      <c r="Q850" s="9"/>
      <c r="S850" s="54"/>
      <c r="T850" s="54"/>
    </row>
    <row r="851">
      <c r="E851" s="50"/>
      <c r="F851" s="50"/>
      <c r="G851" s="50"/>
      <c r="H851" s="51"/>
      <c r="I851" s="52"/>
      <c r="J851" s="52"/>
      <c r="K851" s="52"/>
      <c r="L851" s="53"/>
      <c r="O851" s="6"/>
      <c r="P851" s="6"/>
      <c r="Q851" s="9"/>
      <c r="S851" s="54"/>
      <c r="T851" s="54"/>
    </row>
    <row r="852">
      <c r="E852" s="50"/>
      <c r="F852" s="50"/>
      <c r="G852" s="50"/>
      <c r="H852" s="51"/>
      <c r="I852" s="52"/>
      <c r="J852" s="52"/>
      <c r="K852" s="52"/>
      <c r="L852" s="53"/>
      <c r="O852" s="6"/>
      <c r="P852" s="6"/>
      <c r="Q852" s="9"/>
      <c r="S852" s="54"/>
      <c r="T852" s="54"/>
    </row>
    <row r="853">
      <c r="E853" s="50"/>
      <c r="F853" s="50"/>
      <c r="G853" s="50"/>
      <c r="H853" s="51"/>
      <c r="I853" s="52"/>
      <c r="J853" s="52"/>
      <c r="K853" s="52"/>
      <c r="L853" s="53"/>
      <c r="O853" s="6"/>
      <c r="P853" s="6"/>
      <c r="Q853" s="9"/>
      <c r="S853" s="54"/>
      <c r="T853" s="54"/>
    </row>
    <row r="854">
      <c r="E854" s="50"/>
      <c r="F854" s="50"/>
      <c r="G854" s="50"/>
      <c r="H854" s="51"/>
      <c r="I854" s="52"/>
      <c r="J854" s="52"/>
      <c r="K854" s="52"/>
      <c r="L854" s="53"/>
      <c r="O854" s="6"/>
      <c r="P854" s="6"/>
      <c r="Q854" s="9"/>
      <c r="S854" s="54"/>
      <c r="T854" s="54"/>
    </row>
    <row r="855">
      <c r="E855" s="50"/>
      <c r="F855" s="50"/>
      <c r="G855" s="50"/>
      <c r="H855" s="51"/>
      <c r="I855" s="52"/>
      <c r="J855" s="52"/>
      <c r="K855" s="52"/>
      <c r="L855" s="53"/>
      <c r="O855" s="6"/>
      <c r="P855" s="6"/>
      <c r="Q855" s="9"/>
      <c r="S855" s="54"/>
      <c r="T855" s="54"/>
    </row>
    <row r="856">
      <c r="E856" s="50"/>
      <c r="F856" s="50"/>
      <c r="G856" s="50"/>
      <c r="H856" s="51"/>
      <c r="I856" s="52"/>
      <c r="J856" s="52"/>
      <c r="K856" s="52"/>
      <c r="L856" s="53"/>
      <c r="O856" s="6"/>
      <c r="P856" s="6"/>
      <c r="Q856" s="9"/>
      <c r="S856" s="54"/>
      <c r="T856" s="54"/>
    </row>
    <row r="857">
      <c r="E857" s="50"/>
      <c r="F857" s="50"/>
      <c r="G857" s="50"/>
      <c r="H857" s="51"/>
      <c r="I857" s="52"/>
      <c r="J857" s="52"/>
      <c r="K857" s="52"/>
      <c r="L857" s="53"/>
      <c r="O857" s="6"/>
      <c r="P857" s="6"/>
      <c r="Q857" s="9"/>
      <c r="S857" s="54"/>
      <c r="T857" s="54"/>
    </row>
    <row r="858">
      <c r="E858" s="50"/>
      <c r="F858" s="50"/>
      <c r="G858" s="50"/>
      <c r="H858" s="51"/>
      <c r="I858" s="52"/>
      <c r="J858" s="52"/>
      <c r="K858" s="52"/>
      <c r="L858" s="53"/>
      <c r="O858" s="6"/>
      <c r="P858" s="6"/>
      <c r="Q858" s="9"/>
      <c r="S858" s="54"/>
      <c r="T858" s="54"/>
    </row>
    <row r="859">
      <c r="E859" s="50"/>
      <c r="F859" s="50"/>
      <c r="G859" s="50"/>
      <c r="H859" s="51"/>
      <c r="I859" s="52"/>
      <c r="J859" s="52"/>
      <c r="K859" s="52"/>
      <c r="L859" s="53"/>
      <c r="O859" s="6"/>
      <c r="P859" s="6"/>
      <c r="Q859" s="9"/>
      <c r="S859" s="54"/>
      <c r="T859" s="54"/>
    </row>
    <row r="860">
      <c r="E860" s="50"/>
      <c r="F860" s="50"/>
      <c r="G860" s="50"/>
      <c r="H860" s="51"/>
      <c r="I860" s="52"/>
      <c r="J860" s="52"/>
      <c r="K860" s="52"/>
      <c r="L860" s="53"/>
      <c r="O860" s="6"/>
      <c r="P860" s="6"/>
      <c r="Q860" s="9"/>
      <c r="S860" s="54"/>
      <c r="T860" s="54"/>
    </row>
    <row r="861">
      <c r="E861" s="50"/>
      <c r="F861" s="50"/>
      <c r="G861" s="50"/>
      <c r="H861" s="51"/>
      <c r="I861" s="52"/>
      <c r="J861" s="52"/>
      <c r="K861" s="52"/>
      <c r="L861" s="53"/>
      <c r="O861" s="6"/>
      <c r="P861" s="6"/>
      <c r="Q861" s="9"/>
      <c r="S861" s="54"/>
      <c r="T861" s="54"/>
    </row>
    <row r="862">
      <c r="E862" s="50"/>
      <c r="F862" s="50"/>
      <c r="G862" s="50"/>
      <c r="H862" s="51"/>
      <c r="I862" s="52"/>
      <c r="J862" s="52"/>
      <c r="K862" s="52"/>
      <c r="L862" s="53"/>
      <c r="O862" s="6"/>
      <c r="P862" s="6"/>
      <c r="Q862" s="9"/>
      <c r="S862" s="54"/>
      <c r="T862" s="54"/>
    </row>
    <row r="863">
      <c r="E863" s="50"/>
      <c r="F863" s="50"/>
      <c r="G863" s="50"/>
      <c r="H863" s="51"/>
      <c r="I863" s="52"/>
      <c r="J863" s="52"/>
      <c r="K863" s="52"/>
      <c r="L863" s="53"/>
      <c r="O863" s="6"/>
      <c r="P863" s="6"/>
      <c r="Q863" s="9"/>
      <c r="S863" s="54"/>
      <c r="T863" s="54"/>
    </row>
    <row r="864">
      <c r="E864" s="50"/>
      <c r="F864" s="50"/>
      <c r="G864" s="50"/>
      <c r="H864" s="51"/>
      <c r="I864" s="52"/>
      <c r="J864" s="52"/>
      <c r="K864" s="52"/>
      <c r="L864" s="53"/>
      <c r="O864" s="6"/>
      <c r="P864" s="6"/>
      <c r="Q864" s="9"/>
      <c r="S864" s="54"/>
      <c r="T864" s="54"/>
    </row>
    <row r="865">
      <c r="E865" s="50"/>
      <c r="F865" s="50"/>
      <c r="G865" s="50"/>
      <c r="H865" s="51"/>
      <c r="I865" s="52"/>
      <c r="J865" s="52"/>
      <c r="K865" s="52"/>
      <c r="L865" s="53"/>
      <c r="O865" s="6"/>
      <c r="P865" s="6"/>
      <c r="Q865" s="9"/>
      <c r="S865" s="54"/>
      <c r="T865" s="54"/>
    </row>
    <row r="866">
      <c r="E866" s="50"/>
      <c r="F866" s="50"/>
      <c r="G866" s="50"/>
      <c r="H866" s="51"/>
      <c r="I866" s="52"/>
      <c r="J866" s="52"/>
      <c r="K866" s="52"/>
      <c r="L866" s="53"/>
      <c r="O866" s="6"/>
      <c r="P866" s="6"/>
      <c r="Q866" s="9"/>
      <c r="S866" s="54"/>
      <c r="T866" s="54"/>
    </row>
    <row r="867">
      <c r="E867" s="50"/>
      <c r="F867" s="50"/>
      <c r="G867" s="50"/>
      <c r="H867" s="51"/>
      <c r="I867" s="52"/>
      <c r="J867" s="52"/>
      <c r="K867" s="52"/>
      <c r="L867" s="53"/>
      <c r="O867" s="6"/>
      <c r="P867" s="6"/>
      <c r="Q867" s="9"/>
      <c r="S867" s="54"/>
      <c r="T867" s="54"/>
    </row>
    <row r="868">
      <c r="E868" s="50"/>
      <c r="F868" s="50"/>
      <c r="G868" s="50"/>
      <c r="H868" s="51"/>
      <c r="I868" s="52"/>
      <c r="J868" s="52"/>
      <c r="K868" s="52"/>
      <c r="L868" s="53"/>
      <c r="O868" s="6"/>
      <c r="P868" s="6"/>
      <c r="Q868" s="9"/>
      <c r="S868" s="54"/>
      <c r="T868" s="54"/>
    </row>
    <row r="869">
      <c r="E869" s="50"/>
      <c r="F869" s="50"/>
      <c r="G869" s="50"/>
      <c r="H869" s="51"/>
      <c r="I869" s="52"/>
      <c r="J869" s="52"/>
      <c r="K869" s="52"/>
      <c r="L869" s="53"/>
      <c r="O869" s="6"/>
      <c r="P869" s="6"/>
      <c r="Q869" s="9"/>
      <c r="S869" s="54"/>
      <c r="T869" s="54"/>
    </row>
    <row r="870">
      <c r="E870" s="50"/>
      <c r="F870" s="50"/>
      <c r="G870" s="50"/>
      <c r="H870" s="51"/>
      <c r="I870" s="52"/>
      <c r="J870" s="52"/>
      <c r="K870" s="52"/>
      <c r="L870" s="53"/>
      <c r="O870" s="6"/>
      <c r="P870" s="6"/>
      <c r="Q870" s="9"/>
      <c r="S870" s="54"/>
      <c r="T870" s="54"/>
    </row>
    <row r="871">
      <c r="E871" s="50"/>
      <c r="F871" s="50"/>
      <c r="G871" s="50"/>
      <c r="H871" s="51"/>
      <c r="I871" s="52"/>
      <c r="J871" s="52"/>
      <c r="K871" s="52"/>
      <c r="L871" s="53"/>
      <c r="O871" s="6"/>
      <c r="P871" s="6"/>
      <c r="Q871" s="9"/>
      <c r="S871" s="54"/>
      <c r="T871" s="54"/>
    </row>
    <row r="872">
      <c r="E872" s="50"/>
      <c r="F872" s="50"/>
      <c r="G872" s="50"/>
      <c r="H872" s="51"/>
      <c r="I872" s="52"/>
      <c r="J872" s="52"/>
      <c r="K872" s="52"/>
      <c r="L872" s="53"/>
      <c r="O872" s="6"/>
      <c r="P872" s="6"/>
      <c r="Q872" s="9"/>
      <c r="S872" s="54"/>
      <c r="T872" s="54"/>
    </row>
    <row r="873">
      <c r="E873" s="50"/>
      <c r="F873" s="50"/>
      <c r="G873" s="50"/>
      <c r="H873" s="51"/>
      <c r="I873" s="52"/>
      <c r="J873" s="52"/>
      <c r="K873" s="52"/>
      <c r="L873" s="53"/>
      <c r="O873" s="6"/>
      <c r="P873" s="6"/>
      <c r="Q873" s="9"/>
      <c r="S873" s="54"/>
      <c r="T873" s="54"/>
    </row>
    <row r="874">
      <c r="E874" s="50"/>
      <c r="F874" s="50"/>
      <c r="G874" s="50"/>
      <c r="H874" s="51"/>
      <c r="I874" s="52"/>
      <c r="J874" s="52"/>
      <c r="K874" s="52"/>
      <c r="L874" s="53"/>
      <c r="O874" s="6"/>
      <c r="P874" s="6"/>
      <c r="Q874" s="9"/>
      <c r="S874" s="54"/>
      <c r="T874" s="54"/>
    </row>
    <row r="875">
      <c r="E875" s="50"/>
      <c r="F875" s="50"/>
      <c r="G875" s="50"/>
      <c r="H875" s="51"/>
      <c r="I875" s="52"/>
      <c r="J875" s="52"/>
      <c r="K875" s="52"/>
      <c r="L875" s="53"/>
      <c r="O875" s="6"/>
      <c r="P875" s="6"/>
      <c r="Q875" s="9"/>
      <c r="S875" s="54"/>
      <c r="T875" s="54"/>
    </row>
    <row r="876">
      <c r="E876" s="50"/>
      <c r="F876" s="50"/>
      <c r="G876" s="50"/>
      <c r="H876" s="51"/>
      <c r="I876" s="52"/>
      <c r="J876" s="52"/>
      <c r="K876" s="52"/>
      <c r="L876" s="53"/>
      <c r="O876" s="6"/>
      <c r="P876" s="6"/>
      <c r="Q876" s="9"/>
      <c r="S876" s="54"/>
      <c r="T876" s="54"/>
    </row>
    <row r="877">
      <c r="E877" s="50"/>
      <c r="F877" s="50"/>
      <c r="G877" s="50"/>
      <c r="H877" s="51"/>
      <c r="I877" s="52"/>
      <c r="J877" s="52"/>
      <c r="K877" s="52"/>
      <c r="L877" s="53"/>
      <c r="O877" s="6"/>
      <c r="P877" s="6"/>
      <c r="Q877" s="9"/>
      <c r="S877" s="54"/>
      <c r="T877" s="54"/>
    </row>
    <row r="878">
      <c r="E878" s="50"/>
      <c r="F878" s="50"/>
      <c r="G878" s="50"/>
      <c r="H878" s="51"/>
      <c r="I878" s="52"/>
      <c r="J878" s="52"/>
      <c r="K878" s="52"/>
      <c r="L878" s="53"/>
      <c r="O878" s="6"/>
      <c r="P878" s="6"/>
      <c r="Q878" s="9"/>
      <c r="S878" s="54"/>
      <c r="T878" s="54"/>
    </row>
    <row r="879">
      <c r="E879" s="50"/>
      <c r="F879" s="50"/>
      <c r="G879" s="50"/>
      <c r="H879" s="51"/>
      <c r="I879" s="52"/>
      <c r="J879" s="52"/>
      <c r="K879" s="52"/>
      <c r="L879" s="53"/>
      <c r="O879" s="6"/>
      <c r="P879" s="6"/>
      <c r="Q879" s="9"/>
      <c r="S879" s="54"/>
      <c r="T879" s="54"/>
    </row>
    <row r="880">
      <c r="E880" s="50"/>
      <c r="F880" s="50"/>
      <c r="G880" s="50"/>
      <c r="H880" s="51"/>
      <c r="I880" s="52"/>
      <c r="J880" s="52"/>
      <c r="K880" s="52"/>
      <c r="L880" s="53"/>
      <c r="O880" s="6"/>
      <c r="P880" s="6"/>
      <c r="Q880" s="9"/>
      <c r="S880" s="54"/>
      <c r="T880" s="54"/>
    </row>
    <row r="881">
      <c r="E881" s="50"/>
      <c r="F881" s="50"/>
      <c r="G881" s="50"/>
      <c r="H881" s="51"/>
      <c r="I881" s="52"/>
      <c r="J881" s="52"/>
      <c r="K881" s="52"/>
      <c r="L881" s="53"/>
      <c r="O881" s="6"/>
      <c r="P881" s="6"/>
      <c r="Q881" s="9"/>
      <c r="S881" s="54"/>
      <c r="T881" s="54"/>
    </row>
    <row r="882">
      <c r="E882" s="50"/>
      <c r="F882" s="50"/>
      <c r="G882" s="50"/>
      <c r="H882" s="51"/>
      <c r="I882" s="52"/>
      <c r="J882" s="52"/>
      <c r="K882" s="52"/>
      <c r="L882" s="53"/>
      <c r="O882" s="6"/>
      <c r="P882" s="6"/>
      <c r="Q882" s="9"/>
      <c r="S882" s="54"/>
      <c r="T882" s="54"/>
    </row>
    <row r="883">
      <c r="E883" s="50"/>
      <c r="F883" s="50"/>
      <c r="G883" s="50"/>
      <c r="H883" s="51"/>
      <c r="I883" s="52"/>
      <c r="J883" s="52"/>
      <c r="K883" s="52"/>
      <c r="L883" s="53"/>
      <c r="O883" s="6"/>
      <c r="P883" s="6"/>
      <c r="Q883" s="9"/>
      <c r="S883" s="54"/>
      <c r="T883" s="54"/>
    </row>
    <row r="884">
      <c r="E884" s="50"/>
      <c r="F884" s="50"/>
      <c r="G884" s="50"/>
      <c r="H884" s="51"/>
      <c r="I884" s="52"/>
      <c r="J884" s="52"/>
      <c r="K884" s="52"/>
      <c r="L884" s="53"/>
      <c r="O884" s="6"/>
      <c r="P884" s="6"/>
      <c r="Q884" s="9"/>
      <c r="S884" s="54"/>
      <c r="T884" s="54"/>
    </row>
    <row r="885">
      <c r="E885" s="50"/>
      <c r="F885" s="50"/>
      <c r="G885" s="50"/>
      <c r="H885" s="51"/>
      <c r="I885" s="52"/>
      <c r="J885" s="52"/>
      <c r="K885" s="52"/>
      <c r="L885" s="53"/>
      <c r="O885" s="6"/>
      <c r="P885" s="6"/>
      <c r="Q885" s="9"/>
      <c r="S885" s="54"/>
      <c r="T885" s="54"/>
    </row>
    <row r="886">
      <c r="E886" s="50"/>
      <c r="F886" s="50"/>
      <c r="G886" s="50"/>
      <c r="H886" s="51"/>
      <c r="I886" s="52"/>
      <c r="J886" s="52"/>
      <c r="K886" s="52"/>
      <c r="L886" s="53"/>
      <c r="O886" s="6"/>
      <c r="P886" s="6"/>
      <c r="Q886" s="9"/>
      <c r="S886" s="54"/>
      <c r="T886" s="54"/>
    </row>
    <row r="887">
      <c r="E887" s="50"/>
      <c r="F887" s="50"/>
      <c r="G887" s="50"/>
      <c r="H887" s="51"/>
      <c r="I887" s="52"/>
      <c r="J887" s="52"/>
      <c r="K887" s="52"/>
      <c r="L887" s="53"/>
      <c r="O887" s="6"/>
      <c r="P887" s="6"/>
      <c r="Q887" s="9"/>
      <c r="S887" s="54"/>
      <c r="T887" s="54"/>
    </row>
    <row r="888">
      <c r="E888" s="50"/>
      <c r="F888" s="50"/>
      <c r="G888" s="50"/>
      <c r="H888" s="51"/>
      <c r="I888" s="52"/>
      <c r="J888" s="52"/>
      <c r="K888" s="52"/>
      <c r="L888" s="53"/>
      <c r="O888" s="6"/>
      <c r="P888" s="6"/>
      <c r="Q888" s="9"/>
      <c r="S888" s="54"/>
      <c r="T888" s="54"/>
    </row>
    <row r="889">
      <c r="E889" s="50"/>
      <c r="F889" s="50"/>
      <c r="G889" s="50"/>
      <c r="H889" s="51"/>
      <c r="I889" s="52"/>
      <c r="J889" s="52"/>
      <c r="K889" s="52"/>
      <c r="L889" s="53"/>
      <c r="O889" s="6"/>
      <c r="P889" s="6"/>
      <c r="Q889" s="9"/>
      <c r="S889" s="54"/>
      <c r="T889" s="54"/>
    </row>
    <row r="890">
      <c r="E890" s="50"/>
      <c r="F890" s="50"/>
      <c r="G890" s="50"/>
      <c r="H890" s="51"/>
      <c r="I890" s="52"/>
      <c r="J890" s="52"/>
      <c r="K890" s="52"/>
      <c r="L890" s="53"/>
      <c r="O890" s="6"/>
      <c r="P890" s="6"/>
      <c r="Q890" s="9"/>
      <c r="S890" s="54"/>
      <c r="T890" s="54"/>
    </row>
    <row r="891">
      <c r="E891" s="50"/>
      <c r="F891" s="50"/>
      <c r="G891" s="50"/>
      <c r="H891" s="51"/>
      <c r="I891" s="52"/>
      <c r="J891" s="52"/>
      <c r="K891" s="52"/>
      <c r="L891" s="53"/>
      <c r="O891" s="6"/>
      <c r="P891" s="6"/>
      <c r="Q891" s="9"/>
      <c r="S891" s="54"/>
      <c r="T891" s="54"/>
    </row>
    <row r="892">
      <c r="E892" s="50"/>
      <c r="F892" s="50"/>
      <c r="G892" s="50"/>
      <c r="H892" s="51"/>
      <c r="I892" s="52"/>
      <c r="J892" s="52"/>
      <c r="K892" s="52"/>
      <c r="L892" s="53"/>
      <c r="O892" s="6"/>
      <c r="P892" s="6"/>
      <c r="Q892" s="9"/>
      <c r="S892" s="54"/>
      <c r="T892" s="54"/>
    </row>
    <row r="893">
      <c r="E893" s="50"/>
      <c r="F893" s="50"/>
      <c r="G893" s="50"/>
      <c r="H893" s="51"/>
      <c r="I893" s="52"/>
      <c r="J893" s="52"/>
      <c r="K893" s="52"/>
      <c r="L893" s="53"/>
      <c r="O893" s="6"/>
      <c r="P893" s="6"/>
      <c r="Q893" s="9"/>
      <c r="S893" s="54"/>
      <c r="T893" s="54"/>
    </row>
    <row r="894">
      <c r="E894" s="50"/>
      <c r="F894" s="50"/>
      <c r="G894" s="50"/>
      <c r="H894" s="51"/>
      <c r="I894" s="52"/>
      <c r="J894" s="52"/>
      <c r="K894" s="52"/>
      <c r="L894" s="53"/>
      <c r="O894" s="6"/>
      <c r="P894" s="6"/>
      <c r="Q894" s="9"/>
      <c r="S894" s="54"/>
      <c r="T894" s="54"/>
    </row>
    <row r="895">
      <c r="E895" s="50"/>
      <c r="F895" s="50"/>
      <c r="G895" s="50"/>
      <c r="H895" s="51"/>
      <c r="I895" s="52"/>
      <c r="J895" s="52"/>
      <c r="K895" s="52"/>
      <c r="L895" s="53"/>
      <c r="O895" s="6"/>
      <c r="P895" s="6"/>
      <c r="Q895" s="9"/>
      <c r="S895" s="54"/>
      <c r="T895" s="54"/>
    </row>
    <row r="896">
      <c r="E896" s="50"/>
      <c r="F896" s="50"/>
      <c r="G896" s="50"/>
      <c r="H896" s="51"/>
      <c r="I896" s="52"/>
      <c r="J896" s="52"/>
      <c r="K896" s="52"/>
      <c r="L896" s="53"/>
      <c r="O896" s="6"/>
      <c r="P896" s="6"/>
      <c r="Q896" s="9"/>
      <c r="S896" s="54"/>
      <c r="T896" s="54"/>
    </row>
    <row r="897">
      <c r="E897" s="50"/>
      <c r="F897" s="50"/>
      <c r="G897" s="50"/>
      <c r="H897" s="51"/>
      <c r="I897" s="52"/>
      <c r="J897" s="52"/>
      <c r="K897" s="52"/>
      <c r="L897" s="53"/>
      <c r="O897" s="6"/>
      <c r="P897" s="6"/>
      <c r="Q897" s="9"/>
      <c r="S897" s="54"/>
      <c r="T897" s="54"/>
    </row>
    <row r="898">
      <c r="E898" s="50"/>
      <c r="F898" s="50"/>
      <c r="G898" s="50"/>
      <c r="H898" s="51"/>
      <c r="I898" s="52"/>
      <c r="J898" s="52"/>
      <c r="K898" s="52"/>
      <c r="L898" s="53"/>
      <c r="O898" s="6"/>
      <c r="P898" s="6"/>
      <c r="Q898" s="9"/>
      <c r="S898" s="54"/>
      <c r="T898" s="54"/>
    </row>
    <row r="899">
      <c r="E899" s="50"/>
      <c r="F899" s="50"/>
      <c r="G899" s="50"/>
      <c r="H899" s="51"/>
      <c r="I899" s="52"/>
      <c r="J899" s="52"/>
      <c r="K899" s="52"/>
      <c r="L899" s="53"/>
      <c r="O899" s="6"/>
      <c r="P899" s="6"/>
      <c r="Q899" s="9"/>
      <c r="S899" s="54"/>
      <c r="T899" s="54"/>
    </row>
    <row r="900">
      <c r="E900" s="50"/>
      <c r="F900" s="50"/>
      <c r="G900" s="50"/>
      <c r="H900" s="51"/>
      <c r="I900" s="52"/>
      <c r="J900" s="52"/>
      <c r="K900" s="52"/>
      <c r="L900" s="53"/>
      <c r="O900" s="6"/>
      <c r="P900" s="6"/>
      <c r="Q900" s="9"/>
      <c r="S900" s="54"/>
      <c r="T900" s="54"/>
    </row>
    <row r="901">
      <c r="E901" s="50"/>
      <c r="F901" s="50"/>
      <c r="G901" s="50"/>
      <c r="H901" s="51"/>
      <c r="I901" s="52"/>
      <c r="J901" s="52"/>
      <c r="K901" s="52"/>
      <c r="L901" s="53"/>
      <c r="O901" s="6"/>
      <c r="P901" s="6"/>
      <c r="Q901" s="9"/>
      <c r="S901" s="54"/>
      <c r="T901" s="54"/>
    </row>
    <row r="902">
      <c r="E902" s="50"/>
      <c r="F902" s="50"/>
      <c r="G902" s="50"/>
      <c r="H902" s="51"/>
      <c r="I902" s="52"/>
      <c r="J902" s="52"/>
      <c r="K902" s="52"/>
      <c r="L902" s="53"/>
      <c r="O902" s="6"/>
      <c r="P902" s="6"/>
      <c r="Q902" s="9"/>
      <c r="S902" s="54"/>
      <c r="T902" s="54"/>
    </row>
    <row r="903">
      <c r="E903" s="50"/>
      <c r="F903" s="50"/>
      <c r="G903" s="50"/>
      <c r="H903" s="51"/>
      <c r="I903" s="52"/>
      <c r="J903" s="52"/>
      <c r="K903" s="52"/>
      <c r="L903" s="53"/>
      <c r="O903" s="6"/>
      <c r="P903" s="6"/>
      <c r="Q903" s="9"/>
      <c r="S903" s="54"/>
      <c r="T903" s="54"/>
    </row>
    <row r="904">
      <c r="E904" s="50"/>
      <c r="F904" s="50"/>
      <c r="G904" s="50"/>
      <c r="H904" s="51"/>
      <c r="I904" s="52"/>
      <c r="J904" s="52"/>
      <c r="K904" s="52"/>
      <c r="L904" s="53"/>
      <c r="O904" s="6"/>
      <c r="P904" s="6"/>
      <c r="Q904" s="9"/>
      <c r="S904" s="54"/>
      <c r="T904" s="54"/>
    </row>
    <row r="905">
      <c r="E905" s="50"/>
      <c r="F905" s="50"/>
      <c r="G905" s="50"/>
      <c r="H905" s="51"/>
      <c r="I905" s="52"/>
      <c r="J905" s="52"/>
      <c r="K905" s="52"/>
      <c r="L905" s="53"/>
      <c r="O905" s="6"/>
      <c r="P905" s="6"/>
      <c r="Q905" s="9"/>
      <c r="S905" s="54"/>
      <c r="T905" s="54"/>
    </row>
    <row r="906">
      <c r="E906" s="50"/>
      <c r="F906" s="50"/>
      <c r="G906" s="50"/>
      <c r="H906" s="51"/>
      <c r="I906" s="52"/>
      <c r="J906" s="52"/>
      <c r="K906" s="52"/>
      <c r="L906" s="53"/>
      <c r="O906" s="6"/>
      <c r="P906" s="6"/>
      <c r="Q906" s="9"/>
      <c r="S906" s="54"/>
      <c r="T906" s="54"/>
    </row>
    <row r="907">
      <c r="E907" s="50"/>
      <c r="F907" s="50"/>
      <c r="G907" s="50"/>
      <c r="H907" s="51"/>
      <c r="I907" s="52"/>
      <c r="J907" s="52"/>
      <c r="K907" s="52"/>
      <c r="L907" s="53"/>
      <c r="O907" s="6"/>
      <c r="P907" s="6"/>
      <c r="Q907" s="9"/>
      <c r="S907" s="54"/>
      <c r="T907" s="54"/>
    </row>
    <row r="908">
      <c r="E908" s="50"/>
      <c r="F908" s="50"/>
      <c r="G908" s="50"/>
      <c r="H908" s="51"/>
      <c r="I908" s="52"/>
      <c r="J908" s="52"/>
      <c r="K908" s="52"/>
      <c r="L908" s="53"/>
      <c r="O908" s="6"/>
      <c r="P908" s="6"/>
      <c r="Q908" s="9"/>
      <c r="S908" s="54"/>
      <c r="T908" s="54"/>
    </row>
    <row r="909">
      <c r="E909" s="50"/>
      <c r="F909" s="50"/>
      <c r="G909" s="50"/>
      <c r="H909" s="51"/>
      <c r="I909" s="52"/>
      <c r="J909" s="52"/>
      <c r="K909" s="52"/>
      <c r="L909" s="53"/>
      <c r="O909" s="6"/>
      <c r="P909" s="6"/>
      <c r="Q909" s="9"/>
      <c r="S909" s="54"/>
      <c r="T909" s="54"/>
    </row>
    <row r="910">
      <c r="E910" s="50"/>
      <c r="F910" s="50"/>
      <c r="G910" s="50"/>
      <c r="H910" s="51"/>
      <c r="I910" s="52"/>
      <c r="J910" s="52"/>
      <c r="K910" s="52"/>
      <c r="L910" s="53"/>
      <c r="O910" s="6"/>
      <c r="P910" s="6"/>
      <c r="Q910" s="9"/>
      <c r="S910" s="54"/>
      <c r="T910" s="54"/>
    </row>
    <row r="911">
      <c r="E911" s="50"/>
      <c r="F911" s="50"/>
      <c r="G911" s="50"/>
      <c r="H911" s="51"/>
      <c r="I911" s="52"/>
      <c r="J911" s="52"/>
      <c r="K911" s="52"/>
      <c r="L911" s="53"/>
      <c r="O911" s="6"/>
      <c r="P911" s="6"/>
      <c r="Q911" s="9"/>
      <c r="S911" s="54"/>
      <c r="T911" s="54"/>
    </row>
    <row r="912">
      <c r="E912" s="50"/>
      <c r="F912" s="50"/>
      <c r="G912" s="50"/>
      <c r="H912" s="51"/>
      <c r="I912" s="52"/>
      <c r="J912" s="52"/>
      <c r="K912" s="52"/>
      <c r="L912" s="53"/>
      <c r="O912" s="6"/>
      <c r="P912" s="6"/>
      <c r="Q912" s="9"/>
      <c r="S912" s="54"/>
      <c r="T912" s="54"/>
    </row>
    <row r="913">
      <c r="E913" s="50"/>
      <c r="F913" s="50"/>
      <c r="G913" s="50"/>
      <c r="H913" s="51"/>
      <c r="I913" s="52"/>
      <c r="J913" s="52"/>
      <c r="K913" s="52"/>
      <c r="L913" s="53"/>
      <c r="O913" s="6"/>
      <c r="P913" s="6"/>
      <c r="Q913" s="9"/>
      <c r="S913" s="54"/>
      <c r="T913" s="54"/>
    </row>
    <row r="914">
      <c r="E914" s="50"/>
      <c r="F914" s="50"/>
      <c r="G914" s="50"/>
      <c r="H914" s="51"/>
      <c r="I914" s="52"/>
      <c r="J914" s="52"/>
      <c r="K914" s="52"/>
      <c r="L914" s="53"/>
      <c r="O914" s="6"/>
      <c r="P914" s="6"/>
      <c r="Q914" s="9"/>
      <c r="S914" s="54"/>
      <c r="T914" s="54"/>
    </row>
    <row r="915">
      <c r="E915" s="50"/>
      <c r="F915" s="50"/>
      <c r="G915" s="50"/>
      <c r="H915" s="51"/>
      <c r="I915" s="52"/>
      <c r="J915" s="52"/>
      <c r="K915" s="52"/>
      <c r="L915" s="53"/>
      <c r="O915" s="6"/>
      <c r="P915" s="6"/>
      <c r="Q915" s="9"/>
      <c r="S915" s="54"/>
      <c r="T915" s="54"/>
    </row>
    <row r="916">
      <c r="E916" s="50"/>
      <c r="F916" s="50"/>
      <c r="G916" s="50"/>
      <c r="H916" s="51"/>
      <c r="I916" s="52"/>
      <c r="J916" s="52"/>
      <c r="K916" s="52"/>
      <c r="L916" s="53"/>
      <c r="O916" s="6"/>
      <c r="P916" s="6"/>
      <c r="Q916" s="9"/>
      <c r="S916" s="54"/>
      <c r="T916" s="54"/>
    </row>
    <row r="917">
      <c r="E917" s="50"/>
      <c r="F917" s="50"/>
      <c r="G917" s="50"/>
      <c r="H917" s="51"/>
      <c r="I917" s="52"/>
      <c r="J917" s="52"/>
      <c r="K917" s="52"/>
      <c r="L917" s="53"/>
      <c r="O917" s="6"/>
      <c r="P917" s="6"/>
      <c r="Q917" s="9"/>
      <c r="S917" s="54"/>
      <c r="T917" s="54"/>
    </row>
    <row r="918">
      <c r="E918" s="50"/>
      <c r="F918" s="50"/>
      <c r="G918" s="50"/>
      <c r="H918" s="51"/>
      <c r="I918" s="52"/>
      <c r="J918" s="52"/>
      <c r="K918" s="52"/>
      <c r="L918" s="53"/>
      <c r="O918" s="6"/>
      <c r="P918" s="6"/>
      <c r="Q918" s="9"/>
      <c r="S918" s="54"/>
      <c r="T918" s="54"/>
    </row>
    <row r="919">
      <c r="E919" s="50"/>
      <c r="F919" s="50"/>
      <c r="G919" s="50"/>
      <c r="H919" s="51"/>
      <c r="I919" s="52"/>
      <c r="J919" s="52"/>
      <c r="K919" s="52"/>
      <c r="L919" s="53"/>
      <c r="O919" s="6"/>
      <c r="P919" s="6"/>
      <c r="Q919" s="9"/>
      <c r="S919" s="54"/>
      <c r="T919" s="54"/>
    </row>
    <row r="920">
      <c r="E920" s="50"/>
      <c r="F920" s="50"/>
      <c r="G920" s="50"/>
      <c r="H920" s="51"/>
      <c r="I920" s="52"/>
      <c r="J920" s="52"/>
      <c r="K920" s="52"/>
      <c r="L920" s="53"/>
      <c r="O920" s="6"/>
      <c r="P920" s="6"/>
      <c r="Q920" s="9"/>
      <c r="S920" s="54"/>
      <c r="T920" s="54"/>
    </row>
    <row r="921">
      <c r="E921" s="50"/>
      <c r="F921" s="50"/>
      <c r="G921" s="50"/>
      <c r="H921" s="51"/>
      <c r="I921" s="52"/>
      <c r="J921" s="52"/>
      <c r="K921" s="52"/>
      <c r="L921" s="53"/>
      <c r="O921" s="6"/>
      <c r="P921" s="6"/>
      <c r="Q921" s="9"/>
      <c r="S921" s="54"/>
      <c r="T921" s="54"/>
    </row>
    <row r="922">
      <c r="E922" s="50"/>
      <c r="F922" s="50"/>
      <c r="G922" s="50"/>
      <c r="H922" s="51"/>
      <c r="I922" s="52"/>
      <c r="J922" s="52"/>
      <c r="K922" s="52"/>
      <c r="L922" s="53"/>
      <c r="O922" s="6"/>
      <c r="P922" s="6"/>
      <c r="Q922" s="9"/>
      <c r="S922" s="54"/>
      <c r="T922" s="54"/>
    </row>
    <row r="923">
      <c r="E923" s="50"/>
      <c r="F923" s="50"/>
      <c r="G923" s="50"/>
      <c r="H923" s="51"/>
      <c r="I923" s="52"/>
      <c r="J923" s="52"/>
      <c r="K923" s="52"/>
      <c r="L923" s="53"/>
      <c r="O923" s="6"/>
      <c r="P923" s="6"/>
      <c r="Q923" s="9"/>
      <c r="S923" s="54"/>
      <c r="T923" s="54"/>
    </row>
    <row r="924">
      <c r="E924" s="50"/>
      <c r="F924" s="50"/>
      <c r="G924" s="50"/>
      <c r="H924" s="51"/>
      <c r="I924" s="52"/>
      <c r="J924" s="52"/>
      <c r="K924" s="52"/>
      <c r="L924" s="53"/>
      <c r="O924" s="6"/>
      <c r="P924" s="6"/>
      <c r="Q924" s="9"/>
      <c r="S924" s="54"/>
      <c r="T924" s="54"/>
    </row>
    <row r="925">
      <c r="E925" s="50"/>
      <c r="F925" s="50"/>
      <c r="G925" s="50"/>
      <c r="H925" s="51"/>
      <c r="I925" s="52"/>
      <c r="J925" s="52"/>
      <c r="K925" s="52"/>
      <c r="L925" s="53"/>
      <c r="O925" s="6"/>
      <c r="P925" s="6"/>
      <c r="Q925" s="9"/>
      <c r="S925" s="54"/>
      <c r="T925" s="54"/>
    </row>
    <row r="926">
      <c r="E926" s="50"/>
      <c r="F926" s="50"/>
      <c r="G926" s="50"/>
      <c r="H926" s="51"/>
      <c r="I926" s="52"/>
      <c r="J926" s="52"/>
      <c r="K926" s="52"/>
      <c r="L926" s="53"/>
      <c r="O926" s="6"/>
      <c r="P926" s="6"/>
      <c r="Q926" s="9"/>
      <c r="S926" s="54"/>
      <c r="T926" s="54"/>
    </row>
    <row r="927">
      <c r="E927" s="50"/>
      <c r="F927" s="50"/>
      <c r="G927" s="50"/>
      <c r="H927" s="51"/>
      <c r="I927" s="52"/>
      <c r="J927" s="52"/>
      <c r="K927" s="52"/>
      <c r="L927" s="53"/>
      <c r="O927" s="6"/>
      <c r="P927" s="6"/>
      <c r="Q927" s="9"/>
      <c r="S927" s="54"/>
      <c r="T927" s="54"/>
    </row>
    <row r="928">
      <c r="E928" s="50"/>
      <c r="F928" s="50"/>
      <c r="G928" s="50"/>
      <c r="H928" s="51"/>
      <c r="I928" s="52"/>
      <c r="J928" s="52"/>
      <c r="K928" s="52"/>
      <c r="L928" s="53"/>
      <c r="O928" s="6"/>
      <c r="P928" s="6"/>
      <c r="Q928" s="9"/>
      <c r="S928" s="54"/>
      <c r="T928" s="54"/>
    </row>
    <row r="929">
      <c r="E929" s="50"/>
      <c r="F929" s="50"/>
      <c r="G929" s="50"/>
      <c r="H929" s="51"/>
      <c r="I929" s="52"/>
      <c r="J929" s="52"/>
      <c r="K929" s="52"/>
      <c r="L929" s="53"/>
      <c r="O929" s="6"/>
      <c r="P929" s="6"/>
      <c r="Q929" s="9"/>
      <c r="S929" s="54"/>
      <c r="T929" s="54"/>
    </row>
    <row r="930">
      <c r="E930" s="50"/>
      <c r="F930" s="50"/>
      <c r="G930" s="50"/>
      <c r="H930" s="51"/>
      <c r="I930" s="52"/>
      <c r="J930" s="52"/>
      <c r="K930" s="52"/>
      <c r="L930" s="53"/>
      <c r="O930" s="6"/>
      <c r="P930" s="6"/>
      <c r="Q930" s="9"/>
      <c r="S930" s="54"/>
      <c r="T930" s="54"/>
    </row>
    <row r="931">
      <c r="E931" s="50"/>
      <c r="F931" s="50"/>
      <c r="G931" s="50"/>
      <c r="H931" s="51"/>
      <c r="I931" s="52"/>
      <c r="J931" s="52"/>
      <c r="K931" s="52"/>
      <c r="L931" s="53"/>
      <c r="O931" s="6"/>
      <c r="P931" s="6"/>
      <c r="Q931" s="9"/>
      <c r="S931" s="54"/>
      <c r="T931" s="54"/>
    </row>
    <row r="932">
      <c r="E932" s="50"/>
      <c r="F932" s="50"/>
      <c r="G932" s="50"/>
      <c r="H932" s="51"/>
      <c r="I932" s="52"/>
      <c r="J932" s="52"/>
      <c r="K932" s="52"/>
      <c r="L932" s="53"/>
      <c r="O932" s="6"/>
      <c r="P932" s="6"/>
      <c r="Q932" s="9"/>
      <c r="S932" s="54"/>
      <c r="T932" s="54"/>
    </row>
    <row r="933">
      <c r="E933" s="50"/>
      <c r="F933" s="50"/>
      <c r="G933" s="50"/>
      <c r="H933" s="51"/>
      <c r="I933" s="52"/>
      <c r="J933" s="52"/>
      <c r="K933" s="52"/>
      <c r="L933" s="53"/>
      <c r="O933" s="6"/>
      <c r="P933" s="6"/>
      <c r="Q933" s="9"/>
      <c r="S933" s="54"/>
      <c r="T933" s="54"/>
    </row>
    <row r="934">
      <c r="E934" s="50"/>
      <c r="F934" s="50"/>
      <c r="G934" s="50"/>
      <c r="H934" s="51"/>
      <c r="I934" s="52"/>
      <c r="J934" s="52"/>
      <c r="K934" s="52"/>
      <c r="L934" s="53"/>
      <c r="O934" s="6"/>
      <c r="P934" s="6"/>
      <c r="Q934" s="9"/>
      <c r="S934" s="54"/>
      <c r="T934" s="54"/>
    </row>
    <row r="935">
      <c r="E935" s="50"/>
      <c r="F935" s="50"/>
      <c r="G935" s="50"/>
      <c r="H935" s="51"/>
      <c r="I935" s="52"/>
      <c r="J935" s="52"/>
      <c r="K935" s="52"/>
      <c r="L935" s="53"/>
      <c r="O935" s="6"/>
      <c r="P935" s="6"/>
      <c r="Q935" s="9"/>
      <c r="S935" s="54"/>
      <c r="T935" s="54"/>
    </row>
    <row r="936">
      <c r="E936" s="50"/>
      <c r="F936" s="50"/>
      <c r="G936" s="50"/>
      <c r="H936" s="51"/>
      <c r="I936" s="52"/>
      <c r="J936" s="52"/>
      <c r="K936" s="52"/>
      <c r="L936" s="53"/>
      <c r="O936" s="6"/>
      <c r="P936" s="6"/>
      <c r="Q936" s="9"/>
      <c r="S936" s="54"/>
      <c r="T936" s="54"/>
    </row>
    <row r="937">
      <c r="E937" s="50"/>
      <c r="F937" s="50"/>
      <c r="G937" s="50"/>
      <c r="H937" s="51"/>
      <c r="I937" s="52"/>
      <c r="J937" s="52"/>
      <c r="K937" s="52"/>
      <c r="L937" s="53"/>
      <c r="O937" s="6"/>
      <c r="P937" s="6"/>
      <c r="Q937" s="9"/>
      <c r="S937" s="54"/>
      <c r="T937" s="54"/>
    </row>
    <row r="938">
      <c r="E938" s="50"/>
      <c r="F938" s="50"/>
      <c r="G938" s="50"/>
      <c r="H938" s="51"/>
      <c r="I938" s="52"/>
      <c r="J938" s="52"/>
      <c r="K938" s="52"/>
      <c r="L938" s="53"/>
      <c r="O938" s="6"/>
      <c r="P938" s="6"/>
      <c r="Q938" s="9"/>
      <c r="S938" s="54"/>
      <c r="T938" s="54"/>
    </row>
    <row r="939">
      <c r="E939" s="50"/>
      <c r="F939" s="50"/>
      <c r="G939" s="50"/>
      <c r="H939" s="51"/>
      <c r="I939" s="52"/>
      <c r="J939" s="52"/>
      <c r="K939" s="52"/>
      <c r="L939" s="53"/>
      <c r="O939" s="6"/>
      <c r="P939" s="6"/>
      <c r="Q939" s="9"/>
      <c r="S939" s="54"/>
      <c r="T939" s="54"/>
    </row>
    <row r="940">
      <c r="E940" s="50"/>
      <c r="F940" s="50"/>
      <c r="G940" s="50"/>
      <c r="H940" s="51"/>
      <c r="I940" s="52"/>
      <c r="J940" s="52"/>
      <c r="K940" s="52"/>
      <c r="L940" s="53"/>
      <c r="O940" s="6"/>
      <c r="P940" s="6"/>
      <c r="Q940" s="9"/>
      <c r="S940" s="54"/>
      <c r="T940" s="54"/>
    </row>
    <row r="941">
      <c r="E941" s="50"/>
      <c r="F941" s="50"/>
      <c r="G941" s="50"/>
      <c r="H941" s="51"/>
      <c r="I941" s="52"/>
      <c r="J941" s="52"/>
      <c r="K941" s="52"/>
      <c r="L941" s="53"/>
      <c r="O941" s="6"/>
      <c r="P941" s="6"/>
      <c r="Q941" s="9"/>
      <c r="S941" s="54"/>
      <c r="T941" s="54"/>
    </row>
    <row r="942">
      <c r="E942" s="50"/>
      <c r="F942" s="50"/>
      <c r="G942" s="50"/>
      <c r="H942" s="51"/>
      <c r="I942" s="52"/>
      <c r="J942" s="52"/>
      <c r="K942" s="52"/>
      <c r="L942" s="53"/>
      <c r="O942" s="6"/>
      <c r="P942" s="6"/>
      <c r="Q942" s="9"/>
      <c r="S942" s="54"/>
      <c r="T942" s="54"/>
    </row>
    <row r="943">
      <c r="E943" s="50"/>
      <c r="F943" s="50"/>
      <c r="G943" s="50"/>
      <c r="H943" s="51"/>
      <c r="I943" s="52"/>
      <c r="J943" s="52"/>
      <c r="K943" s="52"/>
      <c r="L943" s="53"/>
      <c r="O943" s="6"/>
      <c r="P943" s="6"/>
      <c r="Q943" s="9"/>
      <c r="S943" s="54"/>
      <c r="T943" s="54"/>
    </row>
    <row r="944">
      <c r="E944" s="50"/>
      <c r="F944" s="50"/>
      <c r="G944" s="50"/>
      <c r="H944" s="51"/>
      <c r="I944" s="52"/>
      <c r="J944" s="52"/>
      <c r="K944" s="52"/>
      <c r="L944" s="53"/>
      <c r="O944" s="6"/>
      <c r="P944" s="6"/>
      <c r="Q944" s="9"/>
      <c r="S944" s="54"/>
      <c r="T944" s="54"/>
    </row>
    <row r="945">
      <c r="E945" s="50"/>
      <c r="F945" s="50"/>
      <c r="G945" s="50"/>
      <c r="H945" s="51"/>
      <c r="I945" s="52"/>
      <c r="J945" s="52"/>
      <c r="K945" s="52"/>
      <c r="L945" s="53"/>
      <c r="O945" s="6"/>
      <c r="P945" s="6"/>
      <c r="Q945" s="9"/>
      <c r="S945" s="54"/>
      <c r="T945" s="54"/>
    </row>
    <row r="946">
      <c r="E946" s="50"/>
      <c r="F946" s="50"/>
      <c r="G946" s="50"/>
      <c r="H946" s="51"/>
      <c r="I946" s="52"/>
      <c r="J946" s="52"/>
      <c r="K946" s="52"/>
      <c r="L946" s="53"/>
      <c r="O946" s="6"/>
      <c r="P946" s="6"/>
      <c r="Q946" s="9"/>
      <c r="S946" s="54"/>
      <c r="T946" s="54"/>
    </row>
    <row r="947">
      <c r="E947" s="50"/>
      <c r="F947" s="50"/>
      <c r="G947" s="50"/>
      <c r="H947" s="51"/>
      <c r="I947" s="52"/>
      <c r="J947" s="52"/>
      <c r="K947" s="52"/>
      <c r="L947" s="53"/>
      <c r="O947" s="6"/>
      <c r="P947" s="6"/>
      <c r="Q947" s="9"/>
      <c r="S947" s="54"/>
      <c r="T947" s="54"/>
    </row>
    <row r="948">
      <c r="E948" s="50"/>
      <c r="F948" s="50"/>
      <c r="G948" s="50"/>
      <c r="H948" s="51"/>
      <c r="I948" s="52"/>
      <c r="J948" s="52"/>
      <c r="K948" s="52"/>
      <c r="L948" s="53"/>
      <c r="O948" s="6"/>
      <c r="P948" s="6"/>
      <c r="Q948" s="9"/>
      <c r="S948" s="54"/>
      <c r="T948" s="54"/>
    </row>
    <row r="949">
      <c r="E949" s="50"/>
      <c r="F949" s="50"/>
      <c r="G949" s="50"/>
      <c r="H949" s="51"/>
      <c r="I949" s="52"/>
      <c r="J949" s="52"/>
      <c r="K949" s="52"/>
      <c r="L949" s="53"/>
      <c r="O949" s="6"/>
      <c r="P949" s="6"/>
      <c r="Q949" s="9"/>
      <c r="S949" s="54"/>
      <c r="T949" s="54"/>
    </row>
    <row r="950">
      <c r="E950" s="50"/>
      <c r="F950" s="50"/>
      <c r="G950" s="50"/>
      <c r="H950" s="51"/>
      <c r="I950" s="52"/>
      <c r="J950" s="52"/>
      <c r="K950" s="52"/>
      <c r="L950" s="53"/>
      <c r="O950" s="6"/>
      <c r="P950" s="6"/>
      <c r="Q950" s="9"/>
      <c r="S950" s="54"/>
      <c r="T950" s="54"/>
    </row>
    <row r="951">
      <c r="E951" s="50"/>
      <c r="F951" s="50"/>
      <c r="G951" s="50"/>
      <c r="H951" s="51"/>
      <c r="I951" s="52"/>
      <c r="J951" s="52"/>
      <c r="K951" s="52"/>
      <c r="L951" s="53"/>
      <c r="O951" s="6"/>
      <c r="P951" s="6"/>
      <c r="Q951" s="9"/>
      <c r="S951" s="54"/>
      <c r="T951" s="54"/>
    </row>
    <row r="952">
      <c r="E952" s="50"/>
      <c r="F952" s="50"/>
      <c r="G952" s="50"/>
      <c r="H952" s="51"/>
      <c r="I952" s="52"/>
      <c r="J952" s="52"/>
      <c r="K952" s="52"/>
      <c r="L952" s="53"/>
      <c r="O952" s="6"/>
      <c r="P952" s="6"/>
      <c r="Q952" s="9"/>
      <c r="S952" s="54"/>
      <c r="T952" s="54"/>
    </row>
    <row r="953">
      <c r="E953" s="50"/>
      <c r="F953" s="50"/>
      <c r="G953" s="50"/>
      <c r="H953" s="51"/>
      <c r="I953" s="52"/>
      <c r="J953" s="52"/>
      <c r="K953" s="52"/>
      <c r="L953" s="53"/>
      <c r="O953" s="6"/>
      <c r="P953" s="6"/>
      <c r="Q953" s="9"/>
      <c r="S953" s="54"/>
      <c r="T953" s="54"/>
    </row>
    <row r="954">
      <c r="E954" s="50"/>
      <c r="F954" s="50"/>
      <c r="G954" s="50"/>
      <c r="H954" s="51"/>
      <c r="I954" s="52"/>
      <c r="J954" s="52"/>
      <c r="K954" s="52"/>
      <c r="L954" s="53"/>
      <c r="O954" s="6"/>
      <c r="P954" s="6"/>
      <c r="Q954" s="9"/>
      <c r="S954" s="54"/>
      <c r="T954" s="54"/>
    </row>
    <row r="955">
      <c r="E955" s="50"/>
      <c r="F955" s="50"/>
      <c r="G955" s="50"/>
      <c r="H955" s="51"/>
      <c r="I955" s="52"/>
      <c r="J955" s="52"/>
      <c r="K955" s="52"/>
      <c r="L955" s="53"/>
      <c r="O955" s="6"/>
      <c r="P955" s="6"/>
      <c r="Q955" s="9"/>
      <c r="S955" s="54"/>
      <c r="T955" s="54"/>
    </row>
    <row r="956">
      <c r="E956" s="50"/>
      <c r="F956" s="50"/>
      <c r="G956" s="50"/>
      <c r="H956" s="51"/>
      <c r="I956" s="52"/>
      <c r="J956" s="52"/>
      <c r="K956" s="52"/>
      <c r="L956" s="53"/>
      <c r="O956" s="6"/>
      <c r="P956" s="6"/>
      <c r="Q956" s="9"/>
      <c r="S956" s="54"/>
      <c r="T956" s="54"/>
    </row>
    <row r="957">
      <c r="E957" s="50"/>
      <c r="F957" s="50"/>
      <c r="G957" s="50"/>
      <c r="H957" s="51"/>
      <c r="I957" s="52"/>
      <c r="J957" s="52"/>
      <c r="K957" s="52"/>
      <c r="L957" s="53"/>
      <c r="O957" s="6"/>
      <c r="P957" s="6"/>
      <c r="Q957" s="9"/>
      <c r="S957" s="54"/>
      <c r="T957" s="54"/>
    </row>
    <row r="958">
      <c r="E958" s="50"/>
      <c r="F958" s="50"/>
      <c r="G958" s="50"/>
      <c r="H958" s="51"/>
      <c r="I958" s="52"/>
      <c r="J958" s="52"/>
      <c r="K958" s="52"/>
      <c r="L958" s="53"/>
      <c r="O958" s="6"/>
      <c r="P958" s="6"/>
      <c r="Q958" s="9"/>
      <c r="S958" s="54"/>
      <c r="T958" s="54"/>
    </row>
    <row r="959">
      <c r="E959" s="50"/>
      <c r="F959" s="50"/>
      <c r="G959" s="50"/>
      <c r="H959" s="51"/>
      <c r="I959" s="52"/>
      <c r="J959" s="52"/>
      <c r="K959" s="52"/>
      <c r="L959" s="53"/>
      <c r="O959" s="6"/>
      <c r="P959" s="6"/>
      <c r="Q959" s="9"/>
      <c r="S959" s="54"/>
      <c r="T959" s="54"/>
    </row>
    <row r="960">
      <c r="E960" s="50"/>
      <c r="F960" s="50"/>
      <c r="G960" s="50"/>
      <c r="H960" s="51"/>
      <c r="I960" s="52"/>
      <c r="J960" s="52"/>
      <c r="K960" s="52"/>
      <c r="L960" s="53"/>
      <c r="O960" s="6"/>
      <c r="P960" s="6"/>
      <c r="Q960" s="9"/>
      <c r="S960" s="54"/>
      <c r="T960" s="54"/>
    </row>
    <row r="961">
      <c r="E961" s="50"/>
      <c r="F961" s="50"/>
      <c r="G961" s="50"/>
      <c r="H961" s="51"/>
      <c r="I961" s="52"/>
      <c r="J961" s="52"/>
      <c r="K961" s="52"/>
      <c r="L961" s="53"/>
      <c r="O961" s="6"/>
      <c r="P961" s="6"/>
      <c r="Q961" s="9"/>
      <c r="S961" s="54"/>
      <c r="T961" s="54"/>
    </row>
    <row r="962">
      <c r="E962" s="50"/>
      <c r="F962" s="50"/>
      <c r="G962" s="50"/>
      <c r="H962" s="51"/>
      <c r="I962" s="52"/>
      <c r="J962" s="52"/>
      <c r="K962" s="52"/>
      <c r="L962" s="53"/>
      <c r="O962" s="6"/>
      <c r="P962" s="6"/>
      <c r="Q962" s="9"/>
      <c r="S962" s="54"/>
      <c r="T962" s="54"/>
    </row>
    <row r="963">
      <c r="E963" s="50"/>
      <c r="F963" s="50"/>
      <c r="G963" s="50"/>
      <c r="H963" s="51"/>
      <c r="I963" s="52"/>
      <c r="J963" s="52"/>
      <c r="K963" s="52"/>
      <c r="L963" s="53"/>
      <c r="O963" s="6"/>
      <c r="P963" s="6"/>
      <c r="Q963" s="9"/>
      <c r="S963" s="54"/>
      <c r="T963" s="54"/>
    </row>
    <row r="964">
      <c r="E964" s="50"/>
      <c r="F964" s="50"/>
      <c r="G964" s="50"/>
      <c r="H964" s="51"/>
      <c r="I964" s="52"/>
      <c r="J964" s="52"/>
      <c r="K964" s="52"/>
      <c r="L964" s="53"/>
      <c r="O964" s="6"/>
      <c r="P964" s="6"/>
      <c r="Q964" s="9"/>
      <c r="S964" s="54"/>
      <c r="T964" s="54"/>
    </row>
    <row r="965">
      <c r="E965" s="50"/>
      <c r="F965" s="50"/>
      <c r="G965" s="50"/>
      <c r="H965" s="51"/>
      <c r="I965" s="52"/>
      <c r="J965" s="52"/>
      <c r="K965" s="52"/>
      <c r="L965" s="53"/>
      <c r="O965" s="6"/>
      <c r="P965" s="6"/>
      <c r="Q965" s="9"/>
      <c r="S965" s="54"/>
      <c r="T965" s="54"/>
    </row>
    <row r="966">
      <c r="E966" s="50"/>
      <c r="F966" s="50"/>
      <c r="G966" s="50"/>
      <c r="H966" s="51"/>
      <c r="I966" s="52"/>
      <c r="J966" s="52"/>
      <c r="K966" s="52"/>
      <c r="L966" s="53"/>
      <c r="O966" s="6"/>
      <c r="P966" s="6"/>
      <c r="Q966" s="9"/>
      <c r="S966" s="54"/>
      <c r="T966" s="54"/>
    </row>
    <row r="967">
      <c r="E967" s="50"/>
      <c r="F967" s="50"/>
      <c r="G967" s="50"/>
      <c r="H967" s="51"/>
      <c r="I967" s="52"/>
      <c r="J967" s="52"/>
      <c r="K967" s="52"/>
      <c r="L967" s="53"/>
      <c r="O967" s="6"/>
      <c r="P967" s="6"/>
      <c r="Q967" s="9"/>
      <c r="S967" s="54"/>
      <c r="T967" s="54"/>
    </row>
    <row r="968">
      <c r="E968" s="50"/>
      <c r="F968" s="50"/>
      <c r="G968" s="50"/>
      <c r="H968" s="51"/>
      <c r="I968" s="52"/>
      <c r="J968" s="52"/>
      <c r="K968" s="52"/>
      <c r="L968" s="53"/>
      <c r="O968" s="6"/>
      <c r="P968" s="6"/>
      <c r="Q968" s="9"/>
      <c r="S968" s="54"/>
      <c r="T968" s="54"/>
    </row>
    <row r="969">
      <c r="E969" s="50"/>
      <c r="F969" s="50"/>
      <c r="G969" s="50"/>
      <c r="H969" s="51"/>
      <c r="I969" s="52"/>
      <c r="J969" s="52"/>
      <c r="K969" s="52"/>
      <c r="L969" s="53"/>
      <c r="O969" s="6"/>
      <c r="P969" s="6"/>
      <c r="Q969" s="9"/>
      <c r="S969" s="54"/>
      <c r="T969" s="54"/>
    </row>
    <row r="970">
      <c r="E970" s="50"/>
      <c r="F970" s="50"/>
      <c r="G970" s="50"/>
      <c r="H970" s="51"/>
      <c r="I970" s="52"/>
      <c r="J970" s="52"/>
      <c r="K970" s="52"/>
      <c r="L970" s="53"/>
      <c r="O970" s="6"/>
      <c r="P970" s="6"/>
      <c r="Q970" s="9"/>
      <c r="S970" s="54"/>
      <c r="T970" s="54"/>
    </row>
    <row r="971">
      <c r="E971" s="50"/>
      <c r="F971" s="50"/>
      <c r="G971" s="50"/>
      <c r="H971" s="51"/>
      <c r="I971" s="52"/>
      <c r="J971" s="52"/>
      <c r="K971" s="52"/>
      <c r="L971" s="53"/>
      <c r="O971" s="6"/>
      <c r="P971" s="6"/>
      <c r="Q971" s="9"/>
      <c r="S971" s="54"/>
      <c r="T971" s="54"/>
    </row>
    <row r="972">
      <c r="E972" s="50"/>
      <c r="F972" s="50"/>
      <c r="G972" s="50"/>
      <c r="H972" s="51"/>
      <c r="I972" s="52"/>
      <c r="J972" s="52"/>
      <c r="K972" s="52"/>
      <c r="L972" s="53"/>
      <c r="O972" s="6"/>
      <c r="P972" s="6"/>
      <c r="Q972" s="9"/>
      <c r="S972" s="54"/>
      <c r="T972" s="54"/>
    </row>
    <row r="973">
      <c r="E973" s="50"/>
      <c r="F973" s="50"/>
      <c r="G973" s="50"/>
      <c r="H973" s="51"/>
      <c r="I973" s="52"/>
      <c r="J973" s="52"/>
      <c r="K973" s="52"/>
      <c r="L973" s="53"/>
      <c r="O973" s="6"/>
      <c r="P973" s="6"/>
      <c r="Q973" s="9"/>
      <c r="S973" s="54"/>
      <c r="T973" s="54"/>
    </row>
    <row r="974">
      <c r="E974" s="50"/>
      <c r="F974" s="50"/>
      <c r="G974" s="50"/>
      <c r="H974" s="51"/>
      <c r="I974" s="52"/>
      <c r="J974" s="52"/>
      <c r="K974" s="52"/>
      <c r="L974" s="53"/>
      <c r="O974" s="6"/>
      <c r="P974" s="6"/>
      <c r="Q974" s="9"/>
      <c r="S974" s="54"/>
      <c r="T974" s="54"/>
    </row>
    <row r="975">
      <c r="E975" s="50"/>
      <c r="F975" s="50"/>
      <c r="G975" s="50"/>
      <c r="H975" s="51"/>
      <c r="I975" s="52"/>
      <c r="J975" s="52"/>
      <c r="K975" s="52"/>
      <c r="L975" s="53"/>
      <c r="O975" s="6"/>
      <c r="P975" s="6"/>
      <c r="Q975" s="9"/>
      <c r="S975" s="54"/>
      <c r="T975" s="54"/>
    </row>
    <row r="976">
      <c r="E976" s="50"/>
      <c r="F976" s="50"/>
      <c r="G976" s="50"/>
      <c r="H976" s="51"/>
      <c r="I976" s="52"/>
      <c r="J976" s="52"/>
      <c r="K976" s="52"/>
      <c r="L976" s="53"/>
      <c r="O976" s="6"/>
      <c r="P976" s="6"/>
      <c r="Q976" s="9"/>
      <c r="S976" s="54"/>
      <c r="T976" s="54"/>
    </row>
    <row r="977">
      <c r="E977" s="50"/>
      <c r="F977" s="50"/>
      <c r="G977" s="50"/>
      <c r="H977" s="51"/>
      <c r="I977" s="52"/>
      <c r="J977" s="52"/>
      <c r="K977" s="52"/>
      <c r="L977" s="53"/>
      <c r="O977" s="6"/>
      <c r="P977" s="6"/>
      <c r="Q977" s="9"/>
      <c r="S977" s="54"/>
      <c r="T977" s="54"/>
    </row>
    <row r="978">
      <c r="E978" s="50"/>
      <c r="F978" s="50"/>
      <c r="G978" s="50"/>
      <c r="H978" s="51"/>
      <c r="I978" s="52"/>
      <c r="J978" s="52"/>
      <c r="K978" s="52"/>
      <c r="L978" s="53"/>
      <c r="O978" s="6"/>
      <c r="P978" s="6"/>
      <c r="Q978" s="9"/>
      <c r="S978" s="54"/>
      <c r="T978" s="54"/>
    </row>
    <row r="979">
      <c r="E979" s="50"/>
      <c r="F979" s="50"/>
      <c r="G979" s="50"/>
      <c r="H979" s="51"/>
      <c r="I979" s="52"/>
      <c r="J979" s="52"/>
      <c r="K979" s="52"/>
      <c r="L979" s="53"/>
      <c r="O979" s="6"/>
      <c r="P979" s="6"/>
      <c r="Q979" s="9"/>
      <c r="S979" s="54"/>
      <c r="T979" s="54"/>
    </row>
    <row r="980">
      <c r="E980" s="50"/>
      <c r="F980" s="50"/>
      <c r="G980" s="50"/>
      <c r="H980" s="51"/>
      <c r="I980" s="52"/>
      <c r="J980" s="52"/>
      <c r="K980" s="52"/>
      <c r="L980" s="53"/>
      <c r="O980" s="6"/>
      <c r="P980" s="6"/>
      <c r="Q980" s="9"/>
      <c r="S980" s="54"/>
      <c r="T980" s="54"/>
    </row>
    <row r="981">
      <c r="E981" s="50"/>
      <c r="F981" s="50"/>
      <c r="G981" s="50"/>
      <c r="H981" s="51"/>
      <c r="I981" s="52"/>
      <c r="J981" s="52"/>
      <c r="K981" s="52"/>
      <c r="L981" s="53"/>
      <c r="O981" s="6"/>
      <c r="P981" s="6"/>
      <c r="Q981" s="9"/>
      <c r="S981" s="54"/>
      <c r="T981" s="54"/>
    </row>
    <row r="982">
      <c r="E982" s="50"/>
      <c r="F982" s="50"/>
      <c r="G982" s="50"/>
      <c r="H982" s="51"/>
      <c r="I982" s="52"/>
      <c r="J982" s="52"/>
      <c r="K982" s="52"/>
      <c r="L982" s="53"/>
      <c r="O982" s="6"/>
      <c r="P982" s="6"/>
      <c r="Q982" s="9"/>
      <c r="S982" s="54"/>
      <c r="T982" s="54"/>
    </row>
    <row r="983">
      <c r="E983" s="50"/>
      <c r="F983" s="50"/>
      <c r="G983" s="50"/>
      <c r="H983" s="51"/>
      <c r="I983" s="52"/>
      <c r="J983" s="52"/>
      <c r="K983" s="52"/>
      <c r="L983" s="53"/>
      <c r="O983" s="6"/>
      <c r="P983" s="6"/>
      <c r="Q983" s="9"/>
      <c r="S983" s="54"/>
      <c r="T983" s="54"/>
    </row>
    <row r="984">
      <c r="E984" s="50"/>
      <c r="F984" s="50"/>
      <c r="G984" s="50"/>
      <c r="H984" s="51"/>
      <c r="I984" s="52"/>
      <c r="J984" s="52"/>
      <c r="K984" s="52"/>
      <c r="L984" s="53"/>
      <c r="O984" s="6"/>
      <c r="P984" s="6"/>
      <c r="Q984" s="9"/>
      <c r="S984" s="54"/>
      <c r="T984" s="54"/>
    </row>
    <row r="985">
      <c r="E985" s="50"/>
      <c r="F985" s="50"/>
      <c r="G985" s="50"/>
      <c r="H985" s="51"/>
      <c r="I985" s="52"/>
      <c r="J985" s="52"/>
      <c r="K985" s="52"/>
      <c r="L985" s="53"/>
      <c r="O985" s="6"/>
      <c r="P985" s="6"/>
      <c r="Q985" s="9"/>
      <c r="S985" s="54"/>
      <c r="T985" s="54"/>
    </row>
    <row r="986">
      <c r="E986" s="50"/>
      <c r="F986" s="50"/>
      <c r="G986" s="50"/>
      <c r="H986" s="51"/>
      <c r="I986" s="52"/>
      <c r="J986" s="52"/>
      <c r="K986" s="52"/>
      <c r="L986" s="53"/>
      <c r="O986" s="6"/>
      <c r="P986" s="6"/>
      <c r="Q986" s="9"/>
      <c r="S986" s="54"/>
      <c r="T986" s="54"/>
    </row>
    <row r="987">
      <c r="E987" s="50"/>
      <c r="F987" s="50"/>
      <c r="G987" s="50"/>
      <c r="H987" s="51"/>
      <c r="I987" s="52"/>
      <c r="J987" s="52"/>
      <c r="K987" s="52"/>
      <c r="L987" s="53"/>
      <c r="O987" s="6"/>
      <c r="P987" s="6"/>
      <c r="Q987" s="9"/>
      <c r="S987" s="54"/>
      <c r="T987" s="54"/>
    </row>
    <row r="988">
      <c r="E988" s="50"/>
      <c r="F988" s="50"/>
      <c r="G988" s="50"/>
      <c r="H988" s="51"/>
      <c r="I988" s="52"/>
      <c r="J988" s="52"/>
      <c r="K988" s="52"/>
      <c r="L988" s="53"/>
      <c r="O988" s="6"/>
      <c r="P988" s="6"/>
      <c r="Q988" s="9"/>
      <c r="S988" s="54"/>
      <c r="T988" s="54"/>
    </row>
    <row r="989">
      <c r="E989" s="50"/>
      <c r="F989" s="50"/>
      <c r="G989" s="50"/>
      <c r="H989" s="51"/>
      <c r="I989" s="52"/>
      <c r="J989" s="52"/>
      <c r="K989" s="52"/>
      <c r="L989" s="53"/>
      <c r="O989" s="6"/>
      <c r="P989" s="6"/>
      <c r="Q989" s="9"/>
      <c r="S989" s="54"/>
      <c r="T989" s="54"/>
    </row>
    <row r="990">
      <c r="E990" s="50"/>
      <c r="F990" s="50"/>
      <c r="G990" s="50"/>
      <c r="H990" s="51"/>
      <c r="I990" s="52"/>
      <c r="J990" s="52"/>
      <c r="K990" s="52"/>
      <c r="L990" s="53"/>
      <c r="O990" s="6"/>
      <c r="P990" s="6"/>
      <c r="Q990" s="9"/>
      <c r="S990" s="54"/>
      <c r="T990" s="54"/>
    </row>
    <row r="991">
      <c r="E991" s="50"/>
      <c r="F991" s="50"/>
      <c r="G991" s="50"/>
      <c r="H991" s="51"/>
      <c r="I991" s="52"/>
      <c r="J991" s="52"/>
      <c r="K991" s="52"/>
      <c r="L991" s="53"/>
      <c r="O991" s="6"/>
      <c r="P991" s="6"/>
      <c r="Q991" s="9"/>
      <c r="S991" s="54"/>
      <c r="T991" s="54"/>
    </row>
    <row r="992">
      <c r="E992" s="50"/>
      <c r="F992" s="50"/>
      <c r="G992" s="50"/>
      <c r="H992" s="51"/>
      <c r="I992" s="52"/>
      <c r="J992" s="52"/>
      <c r="K992" s="52"/>
      <c r="L992" s="53"/>
      <c r="O992" s="6"/>
      <c r="P992" s="6"/>
      <c r="Q992" s="9"/>
      <c r="S992" s="54"/>
      <c r="T992" s="54"/>
    </row>
    <row r="993">
      <c r="E993" s="50"/>
      <c r="F993" s="50"/>
      <c r="G993" s="50"/>
      <c r="H993" s="51"/>
      <c r="I993" s="52"/>
      <c r="J993" s="52"/>
      <c r="K993" s="52"/>
      <c r="L993" s="53"/>
      <c r="O993" s="6"/>
      <c r="P993" s="6"/>
      <c r="Q993" s="9"/>
      <c r="S993" s="54"/>
      <c r="T993" s="54"/>
    </row>
    <row r="994">
      <c r="E994" s="50"/>
      <c r="F994" s="50"/>
      <c r="G994" s="50"/>
      <c r="H994" s="51"/>
      <c r="I994" s="52"/>
      <c r="J994" s="52"/>
      <c r="K994" s="52"/>
      <c r="L994" s="53"/>
      <c r="O994" s="6"/>
      <c r="P994" s="6"/>
      <c r="Q994" s="9"/>
      <c r="S994" s="54"/>
      <c r="T994" s="54"/>
    </row>
    <row r="995">
      <c r="E995" s="50"/>
      <c r="F995" s="50"/>
      <c r="G995" s="50"/>
      <c r="H995" s="51"/>
      <c r="I995" s="52"/>
      <c r="J995" s="52"/>
      <c r="K995" s="52"/>
      <c r="L995" s="53"/>
      <c r="O995" s="6"/>
      <c r="P995" s="6"/>
      <c r="Q995" s="9"/>
      <c r="S995" s="54"/>
      <c r="T995" s="54"/>
    </row>
    <row r="996">
      <c r="E996" s="50"/>
      <c r="F996" s="50"/>
      <c r="G996" s="50"/>
      <c r="H996" s="51"/>
      <c r="I996" s="52"/>
      <c r="J996" s="52"/>
      <c r="K996" s="52"/>
      <c r="L996" s="53"/>
      <c r="O996" s="6"/>
      <c r="P996" s="6"/>
      <c r="Q996" s="9"/>
      <c r="S996" s="54"/>
      <c r="T996" s="54"/>
    </row>
    <row r="997">
      <c r="E997" s="50"/>
      <c r="F997" s="50"/>
      <c r="G997" s="50"/>
      <c r="H997" s="51"/>
      <c r="I997" s="52"/>
      <c r="J997" s="52"/>
      <c r="K997" s="52"/>
      <c r="L997" s="53"/>
      <c r="O997" s="6"/>
      <c r="P997" s="6"/>
      <c r="Q997" s="9"/>
      <c r="S997" s="54"/>
      <c r="T997" s="54"/>
    </row>
    <row r="998">
      <c r="E998" s="50"/>
      <c r="F998" s="50"/>
      <c r="G998" s="50"/>
      <c r="H998" s="51"/>
      <c r="I998" s="52"/>
      <c r="J998" s="52"/>
      <c r="K998" s="52"/>
      <c r="L998" s="53"/>
      <c r="O998" s="6"/>
      <c r="P998" s="6"/>
      <c r="Q998" s="9"/>
      <c r="S998" s="54"/>
      <c r="T998" s="54"/>
    </row>
    <row r="999">
      <c r="E999" s="50"/>
      <c r="F999" s="50"/>
      <c r="G999" s="50"/>
      <c r="H999" s="51"/>
      <c r="I999" s="52"/>
      <c r="J999" s="52"/>
      <c r="K999" s="52"/>
      <c r="L999" s="53"/>
      <c r="O999" s="6"/>
      <c r="P999" s="6"/>
      <c r="Q999" s="9"/>
      <c r="S999" s="54"/>
      <c r="T999" s="54"/>
    </row>
    <row r="1000">
      <c r="E1000" s="50"/>
      <c r="F1000" s="50"/>
      <c r="G1000" s="50"/>
      <c r="H1000" s="51"/>
      <c r="I1000" s="52"/>
      <c r="J1000" s="52"/>
      <c r="K1000" s="52"/>
      <c r="L1000" s="53"/>
      <c r="O1000" s="6"/>
      <c r="P1000" s="6"/>
      <c r="Q1000" s="9"/>
      <c r="S1000" s="54"/>
      <c r="T1000" s="54"/>
    </row>
  </sheetData>
  <customSheetViews>
    <customSheetView guid="{89295CDF-FB07-4C48-A0E6-29F0E77B1F0C}" filter="1" showAutoFilter="1">
      <autoFilter ref="$B$2:$AX$4"/>
      <extLst>
        <ext uri="GoogleSheetsCustomDataVersion1">
          <go:sheetsCustomData xmlns:go="http://customooxmlschemas.google.com/" filterViewId="1565752744"/>
        </ext>
      </extLst>
    </customSheetView>
  </customSheetView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1.22" defaultRowHeight="15.0"/>
  <cols>
    <col customWidth="1" min="1" max="1" width="13.0"/>
    <col customWidth="1" min="2" max="2" width="17.67"/>
    <col customWidth="1" min="3" max="4" width="17.22"/>
    <col customWidth="1" min="5" max="5" width="60.11"/>
    <col customWidth="1" hidden="1" min="6" max="6" width="2.22"/>
    <col customWidth="1" min="7" max="30" width="22.67"/>
    <col customWidth="1" min="31" max="31" width="12.78"/>
    <col customWidth="1" min="32" max="60" width="22.67"/>
  </cols>
  <sheetData>
    <row r="1" ht="70.5" hidden="1" customHeight="1">
      <c r="A1" s="55"/>
      <c r="B1" s="56" t="s">
        <v>53</v>
      </c>
      <c r="C1" s="55"/>
      <c r="D1" s="55"/>
      <c r="E1" s="55"/>
      <c r="F1" s="55"/>
      <c r="G1" s="55"/>
      <c r="H1" s="57">
        <v>3.0</v>
      </c>
      <c r="I1" s="57">
        <v>4.0</v>
      </c>
      <c r="J1" s="57">
        <v>5.0</v>
      </c>
      <c r="K1" s="57">
        <v>6.0</v>
      </c>
      <c r="L1" s="57">
        <v>7.0</v>
      </c>
      <c r="M1" s="57">
        <v>8.0</v>
      </c>
      <c r="N1" s="57">
        <v>9.0</v>
      </c>
      <c r="O1" s="57">
        <v>10.0</v>
      </c>
      <c r="P1" s="57">
        <v>11.0</v>
      </c>
      <c r="Q1" s="57">
        <v>12.0</v>
      </c>
      <c r="R1" s="57">
        <v>13.0</v>
      </c>
      <c r="S1" s="57">
        <v>14.0</v>
      </c>
      <c r="T1" s="57">
        <v>15.0</v>
      </c>
      <c r="U1" s="57">
        <v>16.0</v>
      </c>
      <c r="V1" s="57">
        <v>17.0</v>
      </c>
      <c r="W1" s="57">
        <v>18.0</v>
      </c>
      <c r="X1" s="57">
        <v>19.0</v>
      </c>
      <c r="Y1" s="57">
        <v>20.0</v>
      </c>
      <c r="Z1" s="57">
        <v>21.0</v>
      </c>
      <c r="AA1" s="57">
        <v>22.0</v>
      </c>
      <c r="AB1" s="57">
        <v>23.0</v>
      </c>
      <c r="AC1" s="57">
        <v>24.0</v>
      </c>
      <c r="AD1" s="57">
        <v>25.0</v>
      </c>
      <c r="AE1" s="57">
        <v>26.0</v>
      </c>
      <c r="AF1" s="57">
        <v>27.0</v>
      </c>
      <c r="AG1" s="57">
        <v>28.0</v>
      </c>
      <c r="AH1" s="57">
        <v>29.0</v>
      </c>
      <c r="AI1" s="57">
        <v>30.0</v>
      </c>
      <c r="AJ1" s="57">
        <v>31.0</v>
      </c>
      <c r="AK1" s="57">
        <v>32.0</v>
      </c>
      <c r="AL1" s="57">
        <v>33.0</v>
      </c>
      <c r="AM1" s="57">
        <v>34.0</v>
      </c>
      <c r="AN1" s="57">
        <v>35.0</v>
      </c>
      <c r="AO1" s="57">
        <v>36.0</v>
      </c>
      <c r="AP1" s="57">
        <v>37.0</v>
      </c>
      <c r="AQ1" s="57">
        <v>38.0</v>
      </c>
      <c r="AR1" s="57">
        <v>39.0</v>
      </c>
      <c r="AS1" s="57">
        <v>40.0</v>
      </c>
      <c r="AT1" s="57">
        <v>41.0</v>
      </c>
      <c r="AU1" s="57">
        <v>42.0</v>
      </c>
      <c r="AV1" s="57">
        <v>43.0</v>
      </c>
      <c r="AW1" s="57">
        <v>44.0</v>
      </c>
      <c r="AX1" s="57">
        <v>45.0</v>
      </c>
      <c r="AY1" s="57">
        <v>46.0</v>
      </c>
      <c r="AZ1" s="57">
        <v>47.0</v>
      </c>
      <c r="BA1" s="57">
        <v>48.0</v>
      </c>
      <c r="BB1" s="57">
        <v>49.0</v>
      </c>
      <c r="BC1" s="57">
        <v>50.0</v>
      </c>
      <c r="BD1" s="57">
        <v>51.0</v>
      </c>
      <c r="BE1" s="57">
        <v>52.0</v>
      </c>
      <c r="BF1" s="57">
        <v>53.0</v>
      </c>
      <c r="BG1" s="57">
        <v>54.0</v>
      </c>
      <c r="BH1" s="55"/>
    </row>
    <row r="2" ht="45.0" customHeight="1">
      <c r="A2" s="55"/>
      <c r="B2" s="56"/>
      <c r="C2" s="55"/>
      <c r="D2" s="55"/>
      <c r="E2" s="55"/>
      <c r="F2" s="55"/>
      <c r="G2" s="58" t="s">
        <v>54</v>
      </c>
      <c r="H2" s="59">
        <f t="shared" ref="H2:AK2" si="1">IFERROR((H4-G4)/G4,0)</f>
        <v>0</v>
      </c>
      <c r="I2" s="59">
        <f t="shared" si="1"/>
        <v>0</v>
      </c>
      <c r="J2" s="59">
        <f t="shared" si="1"/>
        <v>0</v>
      </c>
      <c r="K2" s="59">
        <f t="shared" si="1"/>
        <v>0</v>
      </c>
      <c r="L2" s="59">
        <f t="shared" si="1"/>
        <v>0</v>
      </c>
      <c r="M2" s="59">
        <f t="shared" si="1"/>
        <v>0</v>
      </c>
      <c r="N2" s="59">
        <f t="shared" si="1"/>
        <v>0</v>
      </c>
      <c r="O2" s="59">
        <f t="shared" si="1"/>
        <v>0</v>
      </c>
      <c r="P2" s="59">
        <f t="shared" si="1"/>
        <v>0</v>
      </c>
      <c r="Q2" s="59">
        <f t="shared" si="1"/>
        <v>0</v>
      </c>
      <c r="R2" s="59">
        <f t="shared" si="1"/>
        <v>0</v>
      </c>
      <c r="S2" s="59">
        <f t="shared" si="1"/>
        <v>0</v>
      </c>
      <c r="T2" s="59">
        <f t="shared" si="1"/>
        <v>0</v>
      </c>
      <c r="U2" s="59">
        <f t="shared" si="1"/>
        <v>0</v>
      </c>
      <c r="V2" s="59">
        <f t="shared" si="1"/>
        <v>0</v>
      </c>
      <c r="W2" s="59">
        <f t="shared" si="1"/>
        <v>0</v>
      </c>
      <c r="X2" s="59">
        <f t="shared" si="1"/>
        <v>0</v>
      </c>
      <c r="Y2" s="59">
        <f t="shared" si="1"/>
        <v>0</v>
      </c>
      <c r="Z2" s="59">
        <f t="shared" si="1"/>
        <v>0</v>
      </c>
      <c r="AA2" s="59">
        <f t="shared" si="1"/>
        <v>0</v>
      </c>
      <c r="AB2" s="59">
        <f t="shared" si="1"/>
        <v>0</v>
      </c>
      <c r="AC2" s="59">
        <f t="shared" si="1"/>
        <v>0</v>
      </c>
      <c r="AD2" s="59">
        <f t="shared" si="1"/>
        <v>0</v>
      </c>
      <c r="AE2" s="59">
        <f t="shared" si="1"/>
        <v>0</v>
      </c>
      <c r="AF2" s="59">
        <f t="shared" si="1"/>
        <v>0</v>
      </c>
      <c r="AG2" s="59">
        <f t="shared" si="1"/>
        <v>0</v>
      </c>
      <c r="AH2" s="59">
        <f t="shared" si="1"/>
        <v>0</v>
      </c>
      <c r="AI2" s="59">
        <f t="shared" si="1"/>
        <v>0</v>
      </c>
      <c r="AJ2" s="59">
        <f t="shared" si="1"/>
        <v>0</v>
      </c>
      <c r="AK2" s="59">
        <f t="shared" si="1"/>
        <v>0</v>
      </c>
      <c r="AL2" s="60">
        <f t="shared" ref="AL2:AU2" si="2">(AL4-AK4)/AK4</f>
        <v>43.07905544</v>
      </c>
      <c r="AM2" s="60">
        <f t="shared" si="2"/>
        <v>4.04346307</v>
      </c>
      <c r="AN2" s="60">
        <f t="shared" si="2"/>
        <v>1.510004341</v>
      </c>
      <c r="AO2" s="60">
        <f t="shared" si="2"/>
        <v>0.1724817443</v>
      </c>
      <c r="AP2" s="60">
        <f t="shared" si="2"/>
        <v>0.2571972886</v>
      </c>
      <c r="AQ2" s="61">
        <f t="shared" si="2"/>
        <v>-0.05279311025</v>
      </c>
      <c r="AR2" s="60">
        <f t="shared" si="2"/>
        <v>0.04912611425</v>
      </c>
      <c r="AS2" s="61">
        <f t="shared" si="2"/>
        <v>-0.03712835998</v>
      </c>
      <c r="AT2" s="61">
        <f t="shared" si="2"/>
        <v>-0.07256561147</v>
      </c>
      <c r="AU2" s="62">
        <f t="shared" si="2"/>
        <v>0.01090856407</v>
      </c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5"/>
    </row>
    <row r="3" ht="45.0" customHeight="1">
      <c r="A3" s="55"/>
      <c r="B3" s="56"/>
      <c r="C3" s="55"/>
      <c r="D3" s="55"/>
      <c r="E3" s="55"/>
      <c r="F3" s="55"/>
      <c r="G3" s="58" t="s">
        <v>55</v>
      </c>
      <c r="H3" s="63">
        <v>0.0</v>
      </c>
      <c r="I3" s="63">
        <v>0.0</v>
      </c>
      <c r="J3" s="63">
        <v>0.0</v>
      </c>
      <c r="K3" s="63">
        <v>0.0</v>
      </c>
      <c r="L3" s="63">
        <v>0.0</v>
      </c>
      <c r="M3" s="63">
        <v>0.0</v>
      </c>
      <c r="N3" s="63">
        <v>0.0</v>
      </c>
      <c r="O3" s="63">
        <v>0.0</v>
      </c>
      <c r="P3" s="63">
        <v>0.0</v>
      </c>
      <c r="Q3" s="63">
        <v>0.0</v>
      </c>
      <c r="R3" s="63">
        <v>0.0</v>
      </c>
      <c r="S3" s="63">
        <v>0.0</v>
      </c>
      <c r="T3" s="63">
        <v>0.0</v>
      </c>
      <c r="U3" s="63">
        <v>0.0</v>
      </c>
      <c r="V3" s="63">
        <v>0.0</v>
      </c>
      <c r="W3" s="63">
        <v>0.0</v>
      </c>
      <c r="X3" s="63">
        <v>0.0</v>
      </c>
      <c r="Y3" s="63">
        <v>0.0</v>
      </c>
      <c r="Z3" s="63">
        <v>0.0</v>
      </c>
      <c r="AA3" s="63">
        <v>0.0</v>
      </c>
      <c r="AB3" s="63">
        <v>0.0</v>
      </c>
      <c r="AC3" s="63">
        <v>0.0</v>
      </c>
      <c r="AD3" s="63">
        <v>0.0</v>
      </c>
      <c r="AE3" s="63">
        <v>0.0</v>
      </c>
      <c r="AF3" s="63">
        <v>0.0</v>
      </c>
      <c r="AG3" s="63">
        <v>0.0</v>
      </c>
      <c r="AH3" s="63">
        <v>0.0</v>
      </c>
      <c r="AI3" s="63">
        <v>0.0</v>
      </c>
      <c r="AJ3" s="63">
        <v>0.0</v>
      </c>
      <c r="AK3" s="63">
        <v>1.0</v>
      </c>
      <c r="AL3" s="63">
        <v>48.0</v>
      </c>
      <c r="AM3" s="63">
        <v>226.0</v>
      </c>
      <c r="AN3" s="63">
        <v>564.0</v>
      </c>
      <c r="AO3" s="63">
        <v>655.0</v>
      </c>
      <c r="AP3" s="63">
        <v>824.0</v>
      </c>
      <c r="AQ3" s="63">
        <v>782.0</v>
      </c>
      <c r="AR3" s="63">
        <v>820.0</v>
      </c>
      <c r="AS3" s="63">
        <v>797.0</v>
      </c>
      <c r="AT3" s="63">
        <v>733.0</v>
      </c>
      <c r="AU3" s="63">
        <v>741.0</v>
      </c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5"/>
    </row>
    <row r="4" ht="36.75" customHeight="1">
      <c r="A4" s="55"/>
      <c r="B4" s="56"/>
      <c r="C4" s="55"/>
      <c r="D4" s="55"/>
      <c r="E4" s="55"/>
      <c r="F4" s="55"/>
      <c r="G4" s="58" t="s">
        <v>56</v>
      </c>
      <c r="H4" s="64">
        <v>0.0</v>
      </c>
      <c r="I4" s="64">
        <v>0.0</v>
      </c>
      <c r="J4" s="64">
        <v>0.0</v>
      </c>
      <c r="K4" s="64">
        <v>0.0</v>
      </c>
      <c r="L4" s="64">
        <v>0.0</v>
      </c>
      <c r="M4" s="64">
        <v>0.0</v>
      </c>
      <c r="N4" s="64">
        <v>0.0</v>
      </c>
      <c r="O4" s="64">
        <v>0.0</v>
      </c>
      <c r="P4" s="64">
        <v>0.0</v>
      </c>
      <c r="Q4" s="64">
        <v>0.0</v>
      </c>
      <c r="R4" s="64">
        <v>0.0</v>
      </c>
      <c r="S4" s="64">
        <v>0.0</v>
      </c>
      <c r="T4" s="64">
        <v>0.0</v>
      </c>
      <c r="U4" s="64">
        <v>0.0</v>
      </c>
      <c r="V4" s="64">
        <v>0.0</v>
      </c>
      <c r="W4" s="64">
        <v>0.0</v>
      </c>
      <c r="X4" s="64">
        <v>0.0</v>
      </c>
      <c r="Y4" s="64">
        <v>0.0</v>
      </c>
      <c r="Z4" s="64">
        <v>0.0</v>
      </c>
      <c r="AA4" s="64">
        <v>0.0</v>
      </c>
      <c r="AB4" s="64">
        <v>0.0</v>
      </c>
      <c r="AC4" s="64">
        <v>0.0</v>
      </c>
      <c r="AD4" s="64">
        <v>0.0</v>
      </c>
      <c r="AE4" s="64">
        <v>0.0</v>
      </c>
      <c r="AF4" s="64">
        <v>0.0</v>
      </c>
      <c r="AG4" s="64">
        <v>0.0</v>
      </c>
      <c r="AH4" s="64">
        <v>0.0</v>
      </c>
      <c r="AI4" s="64">
        <v>0.0</v>
      </c>
      <c r="AJ4" s="64">
        <v>0.0</v>
      </c>
      <c r="AK4" s="64">
        <v>38.96</v>
      </c>
      <c r="AL4" s="64">
        <v>1717.32</v>
      </c>
      <c r="AM4" s="64">
        <v>8661.24</v>
      </c>
      <c r="AN4" s="64">
        <v>21739.75</v>
      </c>
      <c r="AO4" s="64">
        <v>25489.46</v>
      </c>
      <c r="AP4" s="64">
        <v>32045.28</v>
      </c>
      <c r="AQ4" s="64">
        <v>30353.51</v>
      </c>
      <c r="AR4" s="64">
        <v>31844.66</v>
      </c>
      <c r="AS4" s="64">
        <v>30662.32</v>
      </c>
      <c r="AT4" s="64">
        <v>28437.29</v>
      </c>
      <c r="AU4" s="64">
        <v>28747.5</v>
      </c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5"/>
    </row>
    <row r="5" ht="33.0" customHeight="1">
      <c r="A5" s="55"/>
      <c r="B5" s="56"/>
      <c r="C5" s="55"/>
      <c r="D5" s="55"/>
      <c r="E5" s="55"/>
      <c r="F5" s="55"/>
      <c r="G5" s="58" t="s">
        <v>57</v>
      </c>
      <c r="H5" s="63">
        <v>0.0</v>
      </c>
      <c r="I5" s="63">
        <v>0.0</v>
      </c>
      <c r="J5" s="63">
        <v>0.0</v>
      </c>
      <c r="K5" s="63">
        <v>0.0</v>
      </c>
      <c r="L5" s="63">
        <v>0.0</v>
      </c>
      <c r="M5" s="63">
        <v>0.0</v>
      </c>
      <c r="N5" s="63">
        <v>0.0</v>
      </c>
      <c r="O5" s="63">
        <v>0.0</v>
      </c>
      <c r="P5" s="63">
        <v>0.0</v>
      </c>
      <c r="Q5" s="63">
        <v>0.0</v>
      </c>
      <c r="R5" s="63">
        <v>0.0</v>
      </c>
      <c r="S5" s="63">
        <v>0.0</v>
      </c>
      <c r="T5" s="63">
        <v>0.0</v>
      </c>
      <c r="U5" s="63">
        <v>0.0</v>
      </c>
      <c r="V5" s="63">
        <v>0.0</v>
      </c>
      <c r="W5" s="63">
        <v>0.0</v>
      </c>
      <c r="X5" s="63">
        <v>0.0</v>
      </c>
      <c r="Y5" s="63">
        <v>0.0</v>
      </c>
      <c r="Z5" s="63">
        <v>0.0</v>
      </c>
      <c r="AA5" s="63">
        <v>0.0</v>
      </c>
      <c r="AB5" s="63">
        <v>0.0</v>
      </c>
      <c r="AC5" s="63">
        <v>0.0</v>
      </c>
      <c r="AD5" s="63">
        <v>0.0</v>
      </c>
      <c r="AE5" s="63">
        <v>0.0</v>
      </c>
      <c r="AF5" s="63">
        <v>0.0</v>
      </c>
      <c r="AG5" s="63">
        <v>0.0</v>
      </c>
      <c r="AH5" s="63">
        <v>0.0</v>
      </c>
      <c r="AI5" s="63">
        <v>0.0</v>
      </c>
      <c r="AJ5" s="63">
        <v>0.0</v>
      </c>
      <c r="AK5" s="63">
        <v>0.0</v>
      </c>
      <c r="AL5" s="63">
        <v>2879.0</v>
      </c>
      <c r="AM5" s="63">
        <v>2881.0</v>
      </c>
      <c r="AN5" s="63">
        <v>2881.0</v>
      </c>
      <c r="AO5" s="63">
        <v>2883.0</v>
      </c>
      <c r="AP5" s="63">
        <v>2885.0</v>
      </c>
      <c r="AQ5" s="63">
        <v>2947.0</v>
      </c>
      <c r="AR5" s="63">
        <v>2949.0</v>
      </c>
      <c r="AS5" s="63">
        <v>2948.0</v>
      </c>
      <c r="AT5" s="63">
        <v>2947.0</v>
      </c>
      <c r="AU5" s="63">
        <v>2945.0</v>
      </c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5"/>
    </row>
    <row r="6" ht="28.5" customHeight="1">
      <c r="A6" s="58"/>
      <c r="B6" s="65" t="s">
        <v>58</v>
      </c>
      <c r="C6" s="66" t="s">
        <v>3</v>
      </c>
      <c r="D6" s="66" t="s">
        <v>1</v>
      </c>
      <c r="E6" s="66" t="s">
        <v>2</v>
      </c>
      <c r="F6" s="66" t="s">
        <v>59</v>
      </c>
      <c r="G6" s="67" t="s">
        <v>60</v>
      </c>
      <c r="H6" s="68">
        <v>202501.0</v>
      </c>
      <c r="I6" s="68">
        <v>202502.0</v>
      </c>
      <c r="J6" s="68">
        <v>202503.0</v>
      </c>
      <c r="K6" s="68">
        <v>202504.0</v>
      </c>
      <c r="L6" s="68">
        <v>202505.0</v>
      </c>
      <c r="M6" s="68">
        <v>202506.0</v>
      </c>
      <c r="N6" s="68">
        <v>202507.0</v>
      </c>
      <c r="O6" s="68">
        <v>202508.0</v>
      </c>
      <c r="P6" s="68">
        <v>202509.0</v>
      </c>
      <c r="Q6" s="68">
        <v>202510.0</v>
      </c>
      <c r="R6" s="68">
        <v>202511.0</v>
      </c>
      <c r="S6" s="68">
        <v>202512.0</v>
      </c>
      <c r="T6" s="68">
        <v>202513.0</v>
      </c>
      <c r="U6" s="68">
        <v>202514.0</v>
      </c>
      <c r="V6" s="68">
        <v>202515.0</v>
      </c>
      <c r="W6" s="68">
        <v>202516.0</v>
      </c>
      <c r="X6" s="68">
        <v>202517.0</v>
      </c>
      <c r="Y6" s="68">
        <v>202518.0</v>
      </c>
      <c r="Z6" s="68">
        <v>202519.0</v>
      </c>
      <c r="AA6" s="68">
        <v>202520.0</v>
      </c>
      <c r="AB6" s="68">
        <v>202521.0</v>
      </c>
      <c r="AC6" s="68">
        <v>202522.0</v>
      </c>
      <c r="AD6" s="68">
        <v>202523.0</v>
      </c>
      <c r="AE6" s="68">
        <v>202524.0</v>
      </c>
      <c r="AF6" s="68">
        <v>202525.0</v>
      </c>
      <c r="AG6" s="68">
        <v>202526.0</v>
      </c>
      <c r="AH6" s="68">
        <v>202527.0</v>
      </c>
      <c r="AI6" s="68">
        <v>202528.0</v>
      </c>
      <c r="AJ6" s="68">
        <v>202529.0</v>
      </c>
      <c r="AK6" s="68">
        <v>202530.0</v>
      </c>
      <c r="AL6" s="68">
        <v>202531.0</v>
      </c>
      <c r="AM6" s="68">
        <v>202532.0</v>
      </c>
      <c r="AN6" s="68">
        <v>202533.0</v>
      </c>
      <c r="AO6" s="68">
        <v>202534.0</v>
      </c>
      <c r="AP6" s="68">
        <v>202535.0</v>
      </c>
      <c r="AQ6" s="68">
        <v>202536.0</v>
      </c>
      <c r="AR6" s="68">
        <v>202537.0</v>
      </c>
      <c r="AS6" s="68">
        <v>202538.0</v>
      </c>
      <c r="AT6" s="68">
        <v>202539.0</v>
      </c>
      <c r="AU6" s="68">
        <v>202540.0</v>
      </c>
      <c r="AV6" s="68">
        <v>202541.0</v>
      </c>
      <c r="AW6" s="68">
        <v>202542.0</v>
      </c>
      <c r="AX6" s="68">
        <v>202543.0</v>
      </c>
      <c r="AY6" s="68">
        <v>202544.0</v>
      </c>
      <c r="AZ6" s="68">
        <v>202545.0</v>
      </c>
      <c r="BA6" s="68">
        <v>202546.0</v>
      </c>
      <c r="BB6" s="68">
        <v>202547.0</v>
      </c>
      <c r="BC6" s="68">
        <v>202548.0</v>
      </c>
      <c r="BD6" s="68">
        <v>202549.0</v>
      </c>
      <c r="BE6" s="68">
        <v>202550.0</v>
      </c>
      <c r="BF6" s="68">
        <v>202551.0</v>
      </c>
      <c r="BG6" s="68">
        <v>202552.0</v>
      </c>
      <c r="BH6" s="69"/>
    </row>
    <row r="7">
      <c r="A7" s="70" t="str">
        <f t="shared" ref="A7:A24" si="3">CONCATENATE(D7,G7)</f>
        <v>677410826POS Sales $</v>
      </c>
      <c r="B7" s="71">
        <v>2.0</v>
      </c>
      <c r="C7" s="71" t="s">
        <v>61</v>
      </c>
      <c r="D7" s="71">
        <v>6.77410826E8</v>
      </c>
      <c r="E7" s="71" t="s">
        <v>50</v>
      </c>
      <c r="F7" s="72" t="s">
        <v>62</v>
      </c>
      <c r="G7" s="73" t="s">
        <v>63</v>
      </c>
      <c r="H7" s="74">
        <v>0.0</v>
      </c>
      <c r="I7" s="74">
        <v>0.0</v>
      </c>
      <c r="J7" s="74">
        <v>0.0</v>
      </c>
      <c r="K7" s="74">
        <v>0.0</v>
      </c>
      <c r="L7" s="74">
        <v>0.0</v>
      </c>
      <c r="M7" s="74">
        <v>0.0</v>
      </c>
      <c r="N7" s="74">
        <v>0.0</v>
      </c>
      <c r="O7" s="74">
        <v>0.0</v>
      </c>
      <c r="P7" s="74">
        <v>0.0</v>
      </c>
      <c r="Q7" s="74">
        <v>0.0</v>
      </c>
      <c r="R7" s="74">
        <v>0.0</v>
      </c>
      <c r="S7" s="74">
        <v>0.0</v>
      </c>
      <c r="T7" s="74">
        <v>0.0</v>
      </c>
      <c r="U7" s="74">
        <v>0.0</v>
      </c>
      <c r="V7" s="74">
        <v>0.0</v>
      </c>
      <c r="W7" s="74">
        <v>0.0</v>
      </c>
      <c r="X7" s="74">
        <v>0.0</v>
      </c>
      <c r="Y7" s="74">
        <v>0.0</v>
      </c>
      <c r="Z7" s="74">
        <v>0.0</v>
      </c>
      <c r="AA7" s="74">
        <v>0.0</v>
      </c>
      <c r="AB7" s="74">
        <v>0.0</v>
      </c>
      <c r="AC7" s="74">
        <v>0.0</v>
      </c>
      <c r="AD7" s="74">
        <v>0.0</v>
      </c>
      <c r="AE7" s="74">
        <v>0.0</v>
      </c>
      <c r="AF7" s="74">
        <v>0.0</v>
      </c>
      <c r="AG7" s="74">
        <v>0.0</v>
      </c>
      <c r="AH7" s="74">
        <v>0.0</v>
      </c>
      <c r="AI7" s="74">
        <v>0.0</v>
      </c>
      <c r="AJ7" s="74">
        <v>0.0</v>
      </c>
      <c r="AK7" s="74">
        <v>0.0</v>
      </c>
      <c r="AL7" s="74">
        <v>1201.8</v>
      </c>
      <c r="AM7" s="74">
        <v>4479.44</v>
      </c>
      <c r="AN7" s="74">
        <v>13158.52</v>
      </c>
      <c r="AO7" s="74">
        <v>16305.82</v>
      </c>
      <c r="AP7" s="74">
        <v>21142.82</v>
      </c>
      <c r="AQ7" s="74">
        <v>19385.12</v>
      </c>
      <c r="AR7" s="74">
        <v>21669.02</v>
      </c>
      <c r="AS7" s="74">
        <v>19839.36</v>
      </c>
      <c r="AT7" s="74">
        <v>19075.03</v>
      </c>
      <c r="AU7" s="74">
        <v>18340.68</v>
      </c>
      <c r="AV7" s="74">
        <v>0.0</v>
      </c>
      <c r="AW7" s="74">
        <v>0.0</v>
      </c>
      <c r="AX7" s="74">
        <v>0.0</v>
      </c>
      <c r="AY7" s="74">
        <v>0.0</v>
      </c>
      <c r="AZ7" s="74">
        <v>0.0</v>
      </c>
      <c r="BA7" s="74">
        <v>0.0</v>
      </c>
      <c r="BB7" s="74">
        <v>0.0</v>
      </c>
      <c r="BC7" s="74">
        <v>0.0</v>
      </c>
      <c r="BD7" s="74">
        <v>0.0</v>
      </c>
      <c r="BE7" s="74">
        <v>0.0</v>
      </c>
      <c r="BF7" s="74">
        <v>0.0</v>
      </c>
      <c r="BG7" s="74">
        <v>0.0</v>
      </c>
    </row>
    <row r="8">
      <c r="A8" s="70" t="str">
        <f t="shared" si="3"/>
        <v>677410826POS Qty</v>
      </c>
      <c r="B8" s="75">
        <v>2.0</v>
      </c>
      <c r="C8" s="75" t="s">
        <v>61</v>
      </c>
      <c r="D8" s="75">
        <v>6.77410826E8</v>
      </c>
      <c r="E8" s="75" t="s">
        <v>50</v>
      </c>
      <c r="F8" s="76" t="s">
        <v>64</v>
      </c>
      <c r="G8" s="77" t="s">
        <v>65</v>
      </c>
      <c r="H8" s="78">
        <v>0.0</v>
      </c>
      <c r="I8" s="78">
        <v>0.0</v>
      </c>
      <c r="J8" s="78">
        <v>0.0</v>
      </c>
      <c r="K8" s="78">
        <v>0.0</v>
      </c>
      <c r="L8" s="78">
        <v>0.0</v>
      </c>
      <c r="M8" s="78">
        <v>0.0</v>
      </c>
      <c r="N8" s="78">
        <v>0.0</v>
      </c>
      <c r="O8" s="78">
        <v>0.0</v>
      </c>
      <c r="P8" s="78">
        <v>0.0</v>
      </c>
      <c r="Q8" s="78">
        <v>0.0</v>
      </c>
      <c r="R8" s="78">
        <v>0.0</v>
      </c>
      <c r="S8" s="78">
        <v>0.0</v>
      </c>
      <c r="T8" s="78">
        <v>0.0</v>
      </c>
      <c r="U8" s="78">
        <v>0.0</v>
      </c>
      <c r="V8" s="78">
        <v>0.0</v>
      </c>
      <c r="W8" s="78">
        <v>0.0</v>
      </c>
      <c r="X8" s="78">
        <v>0.0</v>
      </c>
      <c r="Y8" s="78">
        <v>0.0</v>
      </c>
      <c r="Z8" s="78">
        <v>0.0</v>
      </c>
      <c r="AA8" s="78">
        <v>0.0</v>
      </c>
      <c r="AB8" s="78">
        <v>0.0</v>
      </c>
      <c r="AC8" s="78">
        <v>0.0</v>
      </c>
      <c r="AD8" s="78">
        <v>0.0</v>
      </c>
      <c r="AE8" s="78">
        <v>0.0</v>
      </c>
      <c r="AF8" s="78">
        <v>0.0</v>
      </c>
      <c r="AG8" s="78">
        <v>0.0</v>
      </c>
      <c r="AH8" s="78">
        <v>0.0</v>
      </c>
      <c r="AI8" s="78">
        <v>0.0</v>
      </c>
      <c r="AJ8" s="78">
        <v>0.0</v>
      </c>
      <c r="AK8" s="78">
        <v>0.0</v>
      </c>
      <c r="AL8" s="78">
        <v>34.0</v>
      </c>
      <c r="AM8" s="78">
        <v>118.0</v>
      </c>
      <c r="AN8" s="78">
        <v>341.0</v>
      </c>
      <c r="AO8" s="78">
        <v>419.0</v>
      </c>
      <c r="AP8" s="78">
        <v>543.0</v>
      </c>
      <c r="AQ8" s="78">
        <v>499.0</v>
      </c>
      <c r="AR8" s="78">
        <v>557.0</v>
      </c>
      <c r="AS8" s="78">
        <v>516.0</v>
      </c>
      <c r="AT8" s="78">
        <v>491.0</v>
      </c>
      <c r="AU8" s="78">
        <v>473.0</v>
      </c>
      <c r="AV8" s="78">
        <v>0.0</v>
      </c>
      <c r="AW8" s="78">
        <v>0.0</v>
      </c>
      <c r="AX8" s="78">
        <v>0.0</v>
      </c>
      <c r="AY8" s="78">
        <v>0.0</v>
      </c>
      <c r="AZ8" s="78">
        <v>0.0</v>
      </c>
      <c r="BA8" s="78">
        <v>0.0</v>
      </c>
      <c r="BB8" s="78">
        <v>0.0</v>
      </c>
      <c r="BC8" s="78">
        <v>0.0</v>
      </c>
      <c r="BD8" s="78">
        <v>0.0</v>
      </c>
      <c r="BE8" s="78">
        <v>0.0</v>
      </c>
      <c r="BF8" s="78">
        <v>0.0</v>
      </c>
      <c r="BG8" s="78">
        <v>0.0</v>
      </c>
    </row>
    <row r="9">
      <c r="A9" s="70" t="str">
        <f t="shared" si="3"/>
        <v>677410826POS Qty if Instock</v>
      </c>
      <c r="B9" s="75">
        <v>2.0</v>
      </c>
      <c r="C9" s="75" t="s">
        <v>61</v>
      </c>
      <c r="D9" s="75">
        <v>6.77410826E8</v>
      </c>
      <c r="E9" s="75" t="s">
        <v>50</v>
      </c>
      <c r="F9" s="76" t="s">
        <v>66</v>
      </c>
      <c r="G9" s="79" t="s">
        <v>67</v>
      </c>
      <c r="H9" s="80">
        <v>0.0</v>
      </c>
      <c r="I9" s="80">
        <v>0.0</v>
      </c>
      <c r="J9" s="80">
        <v>0.0</v>
      </c>
      <c r="K9" s="80">
        <v>0.0</v>
      </c>
      <c r="L9" s="80">
        <v>0.0</v>
      </c>
      <c r="M9" s="80">
        <v>0.0</v>
      </c>
      <c r="N9" s="80">
        <v>0.0</v>
      </c>
      <c r="O9" s="80">
        <v>0.0</v>
      </c>
      <c r="P9" s="80">
        <v>0.0</v>
      </c>
      <c r="Q9" s="80">
        <v>0.0</v>
      </c>
      <c r="R9" s="80">
        <v>0.0</v>
      </c>
      <c r="S9" s="80">
        <v>0.0</v>
      </c>
      <c r="T9" s="80">
        <v>0.0</v>
      </c>
      <c r="U9" s="80">
        <v>0.0</v>
      </c>
      <c r="V9" s="80">
        <v>0.0</v>
      </c>
      <c r="W9" s="80">
        <v>0.0</v>
      </c>
      <c r="X9" s="80">
        <v>0.0</v>
      </c>
      <c r="Y9" s="80">
        <v>0.0</v>
      </c>
      <c r="Z9" s="80">
        <v>0.0</v>
      </c>
      <c r="AA9" s="80">
        <v>0.0</v>
      </c>
      <c r="AB9" s="80">
        <v>0.0</v>
      </c>
      <c r="AC9" s="80">
        <v>0.0</v>
      </c>
      <c r="AD9" s="80">
        <v>0.0</v>
      </c>
      <c r="AE9" s="80">
        <v>0.0</v>
      </c>
      <c r="AF9" s="80">
        <v>0.0</v>
      </c>
      <c r="AG9" s="80">
        <v>0.0</v>
      </c>
      <c r="AH9" s="80">
        <v>0.0</v>
      </c>
      <c r="AI9" s="80">
        <v>0.0</v>
      </c>
      <c r="AJ9" s="80">
        <v>0.0</v>
      </c>
      <c r="AK9" s="80">
        <v>0.0</v>
      </c>
      <c r="AL9" s="80">
        <v>68.0</v>
      </c>
      <c r="AM9" s="80">
        <v>236.0</v>
      </c>
      <c r="AN9" s="80">
        <v>351.91200000000003</v>
      </c>
      <c r="AO9" s="80">
        <v>429.5169</v>
      </c>
      <c r="AP9" s="80">
        <v>550.9277999999999</v>
      </c>
      <c r="AQ9" s="80">
        <v>504.5389</v>
      </c>
      <c r="AR9" s="80">
        <v>571.0364</v>
      </c>
      <c r="AS9" s="80">
        <v>525.4944</v>
      </c>
      <c r="AT9" s="80">
        <v>497.3339</v>
      </c>
      <c r="AU9" s="80">
        <v>479.1017</v>
      </c>
      <c r="AV9" s="80">
        <v>0.0</v>
      </c>
      <c r="AW9" s="80">
        <v>0.0</v>
      </c>
      <c r="AX9" s="80">
        <v>0.0</v>
      </c>
      <c r="AY9" s="80">
        <v>0.0</v>
      </c>
      <c r="AZ9" s="80">
        <v>0.0</v>
      </c>
      <c r="BA9" s="80">
        <v>0.0</v>
      </c>
      <c r="BB9" s="80">
        <v>0.0</v>
      </c>
      <c r="BC9" s="80">
        <v>0.0</v>
      </c>
      <c r="BD9" s="80">
        <v>0.0</v>
      </c>
      <c r="BE9" s="80">
        <v>0.0</v>
      </c>
      <c r="BF9" s="80">
        <v>0.0</v>
      </c>
      <c r="BG9" s="80">
        <v>0.0</v>
      </c>
    </row>
    <row r="10">
      <c r="A10" s="70" t="str">
        <f t="shared" si="3"/>
        <v>677410826Units per Store per Week (w/zeros)</v>
      </c>
      <c r="B10" s="75">
        <v>2.0</v>
      </c>
      <c r="C10" s="75" t="s">
        <v>61</v>
      </c>
      <c r="D10" s="75">
        <v>6.77410826E8</v>
      </c>
      <c r="E10" s="75" t="s">
        <v>50</v>
      </c>
      <c r="F10" s="76" t="s">
        <v>68</v>
      </c>
      <c r="G10" s="81" t="s">
        <v>69</v>
      </c>
      <c r="H10" s="82">
        <v>0.0</v>
      </c>
      <c r="I10" s="82">
        <v>0.0</v>
      </c>
      <c r="J10" s="82">
        <v>0.0</v>
      </c>
      <c r="K10" s="82">
        <v>0.0</v>
      </c>
      <c r="L10" s="82">
        <v>0.0</v>
      </c>
      <c r="M10" s="82">
        <v>0.0</v>
      </c>
      <c r="N10" s="82">
        <v>0.0</v>
      </c>
      <c r="O10" s="82">
        <v>0.0</v>
      </c>
      <c r="P10" s="82">
        <v>0.0</v>
      </c>
      <c r="Q10" s="82">
        <v>0.0</v>
      </c>
      <c r="R10" s="82">
        <v>0.0</v>
      </c>
      <c r="S10" s="82">
        <v>0.0</v>
      </c>
      <c r="T10" s="82">
        <v>0.0</v>
      </c>
      <c r="U10" s="82">
        <v>0.0</v>
      </c>
      <c r="V10" s="82">
        <v>0.0</v>
      </c>
      <c r="W10" s="82">
        <v>0.0</v>
      </c>
      <c r="X10" s="82">
        <v>0.0</v>
      </c>
      <c r="Y10" s="82">
        <v>0.0</v>
      </c>
      <c r="Z10" s="82">
        <v>0.0</v>
      </c>
      <c r="AA10" s="82">
        <v>0.0</v>
      </c>
      <c r="AB10" s="82">
        <v>0.0</v>
      </c>
      <c r="AC10" s="82">
        <v>0.0</v>
      </c>
      <c r="AD10" s="82">
        <v>0.0</v>
      </c>
      <c r="AE10" s="82">
        <v>0.0</v>
      </c>
      <c r="AF10" s="82">
        <v>0.0</v>
      </c>
      <c r="AG10" s="82">
        <v>0.0</v>
      </c>
      <c r="AH10" s="82">
        <v>0.0</v>
      </c>
      <c r="AI10" s="82">
        <v>0.0</v>
      </c>
      <c r="AJ10" s="82">
        <v>0.0</v>
      </c>
      <c r="AK10" s="82">
        <v>0.0</v>
      </c>
      <c r="AL10" s="82">
        <v>0.0236275191104934</v>
      </c>
      <c r="AM10" s="82">
        <v>0.08194444444444444</v>
      </c>
      <c r="AN10" s="82">
        <v>0.23680555555555555</v>
      </c>
      <c r="AO10" s="82">
        <v>0.2907702984038862</v>
      </c>
      <c r="AP10" s="82">
        <v>0.3765603328710125</v>
      </c>
      <c r="AQ10" s="82">
        <v>0.33876442634080106</v>
      </c>
      <c r="AR10" s="82">
        <v>0.3778833107191316</v>
      </c>
      <c r="AS10" s="82">
        <v>0.35030549898167007</v>
      </c>
      <c r="AT10" s="82">
        <v>0.3333333333333333</v>
      </c>
      <c r="AU10" s="82">
        <v>0.32133152173913043</v>
      </c>
      <c r="AV10" s="82">
        <v>0.0</v>
      </c>
      <c r="AW10" s="82">
        <v>0.0</v>
      </c>
      <c r="AX10" s="82">
        <v>0.0</v>
      </c>
      <c r="AY10" s="82">
        <v>0.0</v>
      </c>
      <c r="AZ10" s="82">
        <v>0.0</v>
      </c>
      <c r="BA10" s="82">
        <v>0.0</v>
      </c>
      <c r="BB10" s="82">
        <v>0.0</v>
      </c>
      <c r="BC10" s="82">
        <v>0.0</v>
      </c>
      <c r="BD10" s="82">
        <v>0.0</v>
      </c>
      <c r="BE10" s="82">
        <v>0.0</v>
      </c>
      <c r="BF10" s="82">
        <v>0.0</v>
      </c>
      <c r="BG10" s="82">
        <v>0.0</v>
      </c>
    </row>
    <row r="11">
      <c r="A11" s="70" t="str">
        <f t="shared" si="3"/>
        <v>677410826Avg Price</v>
      </c>
      <c r="B11" s="75">
        <v>2.0</v>
      </c>
      <c r="C11" s="75" t="s">
        <v>61</v>
      </c>
      <c r="D11" s="75">
        <v>6.77410826E8</v>
      </c>
      <c r="E11" s="75" t="s">
        <v>50</v>
      </c>
      <c r="F11" s="76" t="s">
        <v>70</v>
      </c>
      <c r="G11" s="81" t="s">
        <v>71</v>
      </c>
      <c r="H11" s="83">
        <v>0.0</v>
      </c>
      <c r="I11" s="83">
        <v>0.0</v>
      </c>
      <c r="J11" s="83">
        <v>0.0</v>
      </c>
      <c r="K11" s="83">
        <v>0.0</v>
      </c>
      <c r="L11" s="83">
        <v>0.0</v>
      </c>
      <c r="M11" s="83">
        <v>0.0</v>
      </c>
      <c r="N11" s="83">
        <v>0.0</v>
      </c>
      <c r="O11" s="83">
        <v>0.0</v>
      </c>
      <c r="P11" s="83">
        <v>0.0</v>
      </c>
      <c r="Q11" s="83">
        <v>0.0</v>
      </c>
      <c r="R11" s="83">
        <v>0.0</v>
      </c>
      <c r="S11" s="83">
        <v>0.0</v>
      </c>
      <c r="T11" s="83">
        <v>0.0</v>
      </c>
      <c r="U11" s="83">
        <v>0.0</v>
      </c>
      <c r="V11" s="83">
        <v>0.0</v>
      </c>
      <c r="W11" s="83">
        <v>0.0</v>
      </c>
      <c r="X11" s="83">
        <v>0.0</v>
      </c>
      <c r="Y11" s="83">
        <v>0.0</v>
      </c>
      <c r="Z11" s="83">
        <v>0.0</v>
      </c>
      <c r="AA11" s="83">
        <v>0.0</v>
      </c>
      <c r="AB11" s="83">
        <v>0.0</v>
      </c>
      <c r="AC11" s="83">
        <v>0.0</v>
      </c>
      <c r="AD11" s="83">
        <v>0.0</v>
      </c>
      <c r="AE11" s="83">
        <v>0.0</v>
      </c>
      <c r="AF11" s="83">
        <v>0.0</v>
      </c>
      <c r="AG11" s="83">
        <v>0.0</v>
      </c>
      <c r="AH11" s="83">
        <v>0.0</v>
      </c>
      <c r="AI11" s="83">
        <v>0.0</v>
      </c>
      <c r="AJ11" s="83">
        <v>0.0</v>
      </c>
      <c r="AK11" s="83">
        <v>0.0</v>
      </c>
      <c r="AL11" s="83">
        <v>35.34705882352941</v>
      </c>
      <c r="AM11" s="83">
        <v>37.96135593220339</v>
      </c>
      <c r="AN11" s="83">
        <v>38.588035190615834</v>
      </c>
      <c r="AO11" s="83">
        <v>38.916038186157515</v>
      </c>
      <c r="AP11" s="83">
        <v>38.93705340699816</v>
      </c>
      <c r="AQ11" s="83">
        <v>38.84793587174349</v>
      </c>
      <c r="AR11" s="83">
        <v>38.90308797127469</v>
      </c>
      <c r="AS11" s="83">
        <v>38.44837209302326</v>
      </c>
      <c r="AT11" s="83">
        <v>38.8493482688391</v>
      </c>
      <c r="AU11" s="83">
        <v>38.775221987315014</v>
      </c>
      <c r="AV11" s="83">
        <v>0.0</v>
      </c>
      <c r="AW11" s="83">
        <v>0.0</v>
      </c>
      <c r="AX11" s="83">
        <v>0.0</v>
      </c>
      <c r="AY11" s="83">
        <v>0.0</v>
      </c>
      <c r="AZ11" s="83">
        <v>0.0</v>
      </c>
      <c r="BA11" s="83">
        <v>0.0</v>
      </c>
      <c r="BB11" s="83">
        <v>0.0</v>
      </c>
      <c r="BC11" s="83">
        <v>0.0</v>
      </c>
      <c r="BD11" s="83">
        <v>0.0</v>
      </c>
      <c r="BE11" s="83">
        <v>0.0</v>
      </c>
      <c r="BF11" s="83">
        <v>0.0</v>
      </c>
      <c r="BG11" s="83">
        <v>0.0</v>
      </c>
    </row>
    <row r="12">
      <c r="A12" s="70" t="str">
        <f t="shared" si="3"/>
        <v>677410826Traited Stores</v>
      </c>
      <c r="B12" s="75">
        <v>2.0</v>
      </c>
      <c r="C12" s="75" t="s">
        <v>61</v>
      </c>
      <c r="D12" s="75">
        <v>6.77410826E8</v>
      </c>
      <c r="E12" s="75" t="s">
        <v>50</v>
      </c>
      <c r="F12" s="76" t="s">
        <v>72</v>
      </c>
      <c r="G12" s="81" t="s">
        <v>73</v>
      </c>
      <c r="H12" s="84">
        <v>0.0</v>
      </c>
      <c r="I12" s="84">
        <v>0.0</v>
      </c>
      <c r="J12" s="84">
        <v>0.0</v>
      </c>
      <c r="K12" s="84">
        <v>0.0</v>
      </c>
      <c r="L12" s="84">
        <v>0.0</v>
      </c>
      <c r="M12" s="84">
        <v>0.0</v>
      </c>
      <c r="N12" s="84">
        <v>0.0</v>
      </c>
      <c r="O12" s="84">
        <v>0.0</v>
      </c>
      <c r="P12" s="84">
        <v>0.0</v>
      </c>
      <c r="Q12" s="84">
        <v>0.0</v>
      </c>
      <c r="R12" s="84">
        <v>0.0</v>
      </c>
      <c r="S12" s="84">
        <v>0.0</v>
      </c>
      <c r="T12" s="84">
        <v>0.0</v>
      </c>
      <c r="U12" s="84">
        <v>0.0</v>
      </c>
      <c r="V12" s="84">
        <v>0.0</v>
      </c>
      <c r="W12" s="84">
        <v>0.0</v>
      </c>
      <c r="X12" s="84">
        <v>0.0</v>
      </c>
      <c r="Y12" s="84">
        <v>0.0</v>
      </c>
      <c r="Z12" s="84">
        <v>0.0</v>
      </c>
      <c r="AA12" s="84">
        <v>0.0</v>
      </c>
      <c r="AB12" s="84">
        <v>0.0</v>
      </c>
      <c r="AC12" s="84">
        <v>0.0</v>
      </c>
      <c r="AD12" s="84">
        <v>0.0</v>
      </c>
      <c r="AE12" s="84">
        <v>0.0</v>
      </c>
      <c r="AF12" s="84">
        <v>0.0</v>
      </c>
      <c r="AG12" s="84">
        <v>0.0</v>
      </c>
      <c r="AH12" s="84">
        <v>0.0</v>
      </c>
      <c r="AI12" s="84">
        <v>0.0</v>
      </c>
      <c r="AJ12" s="84">
        <v>0.0</v>
      </c>
      <c r="AK12" s="84">
        <v>0.0</v>
      </c>
      <c r="AL12" s="84">
        <v>1439.0</v>
      </c>
      <c r="AM12" s="84">
        <v>1440.0</v>
      </c>
      <c r="AN12" s="84">
        <v>1440.0</v>
      </c>
      <c r="AO12" s="84">
        <v>1441.0</v>
      </c>
      <c r="AP12" s="84">
        <v>1442.0</v>
      </c>
      <c r="AQ12" s="84">
        <v>1473.0</v>
      </c>
      <c r="AR12" s="84">
        <v>1474.0</v>
      </c>
      <c r="AS12" s="84">
        <v>1473.0</v>
      </c>
      <c r="AT12" s="84">
        <v>1473.0</v>
      </c>
      <c r="AU12" s="84">
        <v>1472.0</v>
      </c>
      <c r="AV12" s="84">
        <v>0.0</v>
      </c>
      <c r="AW12" s="84">
        <v>0.0</v>
      </c>
      <c r="AX12" s="84">
        <v>0.0</v>
      </c>
      <c r="AY12" s="84">
        <v>0.0</v>
      </c>
      <c r="AZ12" s="84">
        <v>0.0</v>
      </c>
      <c r="BA12" s="84">
        <v>0.0</v>
      </c>
      <c r="BB12" s="84">
        <v>0.0</v>
      </c>
      <c r="BC12" s="84">
        <v>0.0</v>
      </c>
      <c r="BD12" s="84">
        <v>0.0</v>
      </c>
      <c r="BE12" s="84">
        <v>0.0</v>
      </c>
      <c r="BF12" s="84">
        <v>0.0</v>
      </c>
      <c r="BG12" s="84">
        <v>0.0</v>
      </c>
    </row>
    <row r="13">
      <c r="A13" s="70" t="str">
        <f t="shared" si="3"/>
        <v>677410826Instock</v>
      </c>
      <c r="B13" s="75">
        <v>2.0</v>
      </c>
      <c r="C13" s="75" t="s">
        <v>61</v>
      </c>
      <c r="D13" s="75">
        <v>6.77410826E8</v>
      </c>
      <c r="E13" s="75" t="s">
        <v>50</v>
      </c>
      <c r="F13" s="76" t="s">
        <v>74</v>
      </c>
      <c r="G13" s="81" t="s">
        <v>75</v>
      </c>
      <c r="H13" s="85">
        <v>0.0</v>
      </c>
      <c r="I13" s="85">
        <v>0.0</v>
      </c>
      <c r="J13" s="85">
        <v>0.0</v>
      </c>
      <c r="K13" s="85">
        <v>0.0</v>
      </c>
      <c r="L13" s="85">
        <v>0.0</v>
      </c>
      <c r="M13" s="85">
        <v>0.0</v>
      </c>
      <c r="N13" s="85">
        <v>0.0</v>
      </c>
      <c r="O13" s="85">
        <v>0.0</v>
      </c>
      <c r="P13" s="85">
        <v>0.0</v>
      </c>
      <c r="Q13" s="85">
        <v>0.0</v>
      </c>
      <c r="R13" s="85">
        <v>0.0</v>
      </c>
      <c r="S13" s="85">
        <v>0.0</v>
      </c>
      <c r="T13" s="85">
        <v>0.0</v>
      </c>
      <c r="U13" s="85">
        <v>0.0</v>
      </c>
      <c r="V13" s="85">
        <v>0.0</v>
      </c>
      <c r="W13" s="85">
        <v>0.0</v>
      </c>
      <c r="X13" s="85">
        <v>0.0</v>
      </c>
      <c r="Y13" s="85">
        <v>0.0</v>
      </c>
      <c r="Z13" s="85">
        <v>0.0</v>
      </c>
      <c r="AA13" s="85">
        <v>0.0</v>
      </c>
      <c r="AB13" s="85">
        <v>0.0</v>
      </c>
      <c r="AC13" s="85">
        <v>0.0</v>
      </c>
      <c r="AD13" s="85">
        <v>0.0</v>
      </c>
      <c r="AE13" s="85">
        <v>0.0</v>
      </c>
      <c r="AF13" s="85">
        <v>0.0</v>
      </c>
      <c r="AG13" s="85">
        <v>0.0</v>
      </c>
      <c r="AH13" s="85">
        <v>0.0</v>
      </c>
      <c r="AI13" s="85">
        <v>0.0</v>
      </c>
      <c r="AJ13" s="85">
        <v>0.0</v>
      </c>
      <c r="AK13" s="85">
        <v>0.0</v>
      </c>
      <c r="AL13" s="85">
        <v>0.0</v>
      </c>
      <c r="AM13" s="85">
        <v>0.0</v>
      </c>
      <c r="AN13" s="85">
        <v>0.968</v>
      </c>
      <c r="AO13" s="85">
        <v>0.9749</v>
      </c>
      <c r="AP13" s="85">
        <v>0.9854</v>
      </c>
      <c r="AQ13" s="85">
        <v>0.9889</v>
      </c>
      <c r="AR13" s="85">
        <v>0.9748</v>
      </c>
      <c r="AS13" s="85">
        <v>0.9816</v>
      </c>
      <c r="AT13" s="85">
        <v>0.9871</v>
      </c>
      <c r="AU13" s="85">
        <v>0.9871</v>
      </c>
      <c r="AV13" s="85">
        <v>0.0</v>
      </c>
      <c r="AW13" s="85">
        <v>0.0</v>
      </c>
      <c r="AX13" s="85">
        <v>0.0</v>
      </c>
      <c r="AY13" s="85">
        <v>0.0</v>
      </c>
      <c r="AZ13" s="85">
        <v>0.0</v>
      </c>
      <c r="BA13" s="85">
        <v>0.0</v>
      </c>
      <c r="BB13" s="85">
        <v>0.0</v>
      </c>
      <c r="BC13" s="85">
        <v>0.0</v>
      </c>
      <c r="BD13" s="85">
        <v>0.0</v>
      </c>
      <c r="BE13" s="85">
        <v>0.0</v>
      </c>
      <c r="BF13" s="85">
        <v>0.0</v>
      </c>
      <c r="BG13" s="85">
        <v>0.0</v>
      </c>
    </row>
    <row r="14">
      <c r="A14" s="70" t="str">
        <f t="shared" si="3"/>
        <v>677410826Forecast</v>
      </c>
      <c r="B14" s="75">
        <v>2.0</v>
      </c>
      <c r="C14" s="75" t="s">
        <v>61</v>
      </c>
      <c r="D14" s="75">
        <v>6.77410826E8</v>
      </c>
      <c r="E14" s="75" t="s">
        <v>50</v>
      </c>
      <c r="F14" s="76" t="s">
        <v>76</v>
      </c>
      <c r="G14" s="86" t="s">
        <v>77</v>
      </c>
      <c r="H14" s="87">
        <v>1160.38</v>
      </c>
      <c r="I14" s="87">
        <v>1331.27</v>
      </c>
      <c r="J14" s="87">
        <v>1603.65</v>
      </c>
      <c r="K14" s="87">
        <v>1828.2199999999998</v>
      </c>
      <c r="L14" s="87">
        <v>1830.35</v>
      </c>
      <c r="M14" s="87">
        <v>1625.9099999999999</v>
      </c>
      <c r="N14" s="87">
        <v>1605.65</v>
      </c>
      <c r="O14" s="87">
        <v>1579.0900000000001</v>
      </c>
      <c r="P14" s="87">
        <v>1562.92</v>
      </c>
      <c r="Q14" s="87">
        <v>1492.85</v>
      </c>
      <c r="R14" s="87">
        <v>1460.1799999999998</v>
      </c>
      <c r="S14" s="87">
        <v>1371.42</v>
      </c>
      <c r="T14" s="87">
        <v>1411.15</v>
      </c>
      <c r="U14" s="87">
        <v>1314.38</v>
      </c>
      <c r="V14" s="87">
        <v>1286.22</v>
      </c>
      <c r="W14" s="87">
        <v>1277.65</v>
      </c>
      <c r="X14" s="87">
        <v>1240.12</v>
      </c>
      <c r="Y14" s="87">
        <v>1338.88</v>
      </c>
      <c r="Z14" s="87">
        <v>1306.26</v>
      </c>
      <c r="AA14" s="87">
        <v>1358.6100000000001</v>
      </c>
      <c r="AB14" s="87">
        <v>1358.6100000000001</v>
      </c>
      <c r="AC14" s="87">
        <v>1304.1</v>
      </c>
      <c r="AD14" s="87">
        <v>1299.89</v>
      </c>
      <c r="AE14" s="87">
        <v>1300.62</v>
      </c>
      <c r="AF14" s="87">
        <v>1296.68</v>
      </c>
      <c r="AG14" s="87">
        <v>1337.52</v>
      </c>
      <c r="AH14" s="87">
        <v>1330.4099999999999</v>
      </c>
      <c r="AI14" s="87">
        <v>1374.86</v>
      </c>
      <c r="AJ14" s="87">
        <v>1356.8400000000001</v>
      </c>
      <c r="AK14" s="87">
        <v>1319.98</v>
      </c>
      <c r="AL14" s="87">
        <v>1245.1100000000001</v>
      </c>
      <c r="AM14" s="87">
        <v>1348.54</v>
      </c>
      <c r="AN14" s="87">
        <v>1472.72</v>
      </c>
      <c r="AO14" s="87">
        <v>1395.82</v>
      </c>
      <c r="AP14" s="87">
        <v>1533.55</v>
      </c>
      <c r="AQ14" s="87">
        <v>1390.35</v>
      </c>
      <c r="AR14" s="87">
        <v>1423.7800000000002</v>
      </c>
      <c r="AS14" s="87">
        <v>1433.92</v>
      </c>
      <c r="AT14" s="87">
        <v>1473.25</v>
      </c>
      <c r="AU14" s="87">
        <v>1498.24</v>
      </c>
      <c r="AV14" s="87">
        <v>1504.8400000000001</v>
      </c>
      <c r="AW14" s="87">
        <v>1408.22</v>
      </c>
      <c r="AX14" s="87">
        <v>1243.53</v>
      </c>
      <c r="AY14" s="87">
        <v>1543.8600000000001</v>
      </c>
      <c r="AZ14" s="87">
        <v>1700.1399999999999</v>
      </c>
      <c r="BA14" s="87">
        <v>2214.56</v>
      </c>
      <c r="BB14" s="87">
        <v>2203.16</v>
      </c>
      <c r="BC14" s="87">
        <v>1531.5300000000002</v>
      </c>
      <c r="BD14" s="87">
        <v>1450.65</v>
      </c>
      <c r="BE14" s="87">
        <v>1287.48</v>
      </c>
      <c r="BF14" s="87">
        <v>1043.52</v>
      </c>
      <c r="BG14" s="87">
        <v>1175.73</v>
      </c>
    </row>
    <row r="15">
      <c r="A15" s="70" t="str">
        <f t="shared" si="3"/>
        <v>677410826Variance</v>
      </c>
      <c r="B15" s="88">
        <v>2.0</v>
      </c>
      <c r="C15" s="88" t="s">
        <v>61</v>
      </c>
      <c r="D15" s="88">
        <v>6.77410826E8</v>
      </c>
      <c r="E15" s="88" t="s">
        <v>50</v>
      </c>
      <c r="F15" s="89" t="s">
        <v>78</v>
      </c>
      <c r="G15" s="90" t="s">
        <v>79</v>
      </c>
      <c r="H15" s="91">
        <v>0.0</v>
      </c>
      <c r="I15" s="91">
        <v>0.0</v>
      </c>
      <c r="J15" s="91">
        <v>0.0</v>
      </c>
      <c r="K15" s="91">
        <v>0.0</v>
      </c>
      <c r="L15" s="91">
        <v>0.0</v>
      </c>
      <c r="M15" s="91">
        <v>0.0</v>
      </c>
      <c r="N15" s="91">
        <v>0.0</v>
      </c>
      <c r="O15" s="91">
        <v>0.0</v>
      </c>
      <c r="P15" s="91">
        <v>0.0</v>
      </c>
      <c r="Q15" s="91">
        <v>0.0</v>
      </c>
      <c r="R15" s="91">
        <v>0.0</v>
      </c>
      <c r="S15" s="91">
        <v>0.0</v>
      </c>
      <c r="T15" s="91">
        <v>0.0</v>
      </c>
      <c r="U15" s="91">
        <v>0.0</v>
      </c>
      <c r="V15" s="91">
        <v>0.0</v>
      </c>
      <c r="W15" s="91">
        <v>0.0</v>
      </c>
      <c r="X15" s="91">
        <v>0.0</v>
      </c>
      <c r="Y15" s="91">
        <v>0.0</v>
      </c>
      <c r="Z15" s="91">
        <v>0.0</v>
      </c>
      <c r="AA15" s="91">
        <v>0.0</v>
      </c>
      <c r="AB15" s="91">
        <v>0.0</v>
      </c>
      <c r="AC15" s="91">
        <v>0.0</v>
      </c>
      <c r="AD15" s="91">
        <v>0.0</v>
      </c>
      <c r="AE15" s="91">
        <v>0.0</v>
      </c>
      <c r="AF15" s="91">
        <v>0.0</v>
      </c>
      <c r="AG15" s="91">
        <v>0.0</v>
      </c>
      <c r="AH15" s="91">
        <v>0.0</v>
      </c>
      <c r="AI15" s="91">
        <v>0.0</v>
      </c>
      <c r="AJ15" s="91">
        <v>0.0</v>
      </c>
      <c r="AK15" s="91">
        <v>0.0</v>
      </c>
      <c r="AL15" s="91">
        <v>0.027306824296648487</v>
      </c>
      <c r="AM15" s="91">
        <v>0.08750203924243997</v>
      </c>
      <c r="AN15" s="91">
        <v>0.23154435330544842</v>
      </c>
      <c r="AO15" s="91">
        <v>0.3001819718874927</v>
      </c>
      <c r="AP15" s="91">
        <v>0.354080401682371</v>
      </c>
      <c r="AQ15" s="91">
        <v>0.35890243463876004</v>
      </c>
      <c r="AR15" s="91">
        <v>0.3912121254688224</v>
      </c>
      <c r="AS15" s="91">
        <v>0.3598527114483374</v>
      </c>
      <c r="AT15" s="91">
        <v>0.33327676904802306</v>
      </c>
      <c r="AU15" s="91">
        <v>0.3157037590773174</v>
      </c>
      <c r="AV15" s="91">
        <v>0.0</v>
      </c>
      <c r="AW15" s="91">
        <v>0.0</v>
      </c>
      <c r="AX15" s="91">
        <v>0.0</v>
      </c>
      <c r="AY15" s="91">
        <v>0.0</v>
      </c>
      <c r="AZ15" s="91">
        <v>0.0</v>
      </c>
      <c r="BA15" s="91">
        <v>0.0</v>
      </c>
      <c r="BB15" s="91">
        <v>0.0</v>
      </c>
      <c r="BC15" s="91">
        <v>0.0</v>
      </c>
      <c r="BD15" s="91">
        <v>0.0</v>
      </c>
      <c r="BE15" s="91">
        <v>0.0</v>
      </c>
      <c r="BF15" s="91">
        <v>0.0</v>
      </c>
      <c r="BG15" s="91">
        <v>0.0</v>
      </c>
    </row>
    <row r="16">
      <c r="A16" s="70" t="str">
        <f t="shared" si="3"/>
        <v>677536463POS Sales $</v>
      </c>
      <c r="B16" s="71">
        <v>2.0</v>
      </c>
      <c r="C16" s="71" t="s">
        <v>80</v>
      </c>
      <c r="D16" s="71">
        <v>6.77536463E8</v>
      </c>
      <c r="E16" s="71" t="s">
        <v>51</v>
      </c>
      <c r="F16" s="72" t="s">
        <v>62</v>
      </c>
      <c r="G16" s="73" t="s">
        <v>63</v>
      </c>
      <c r="H16" s="74">
        <v>0.0</v>
      </c>
      <c r="I16" s="74">
        <v>0.0</v>
      </c>
      <c r="J16" s="74">
        <v>0.0</v>
      </c>
      <c r="K16" s="74">
        <v>0.0</v>
      </c>
      <c r="L16" s="74">
        <v>0.0</v>
      </c>
      <c r="M16" s="74">
        <v>0.0</v>
      </c>
      <c r="N16" s="74">
        <v>0.0</v>
      </c>
      <c r="O16" s="74">
        <v>0.0</v>
      </c>
      <c r="P16" s="74">
        <v>0.0</v>
      </c>
      <c r="Q16" s="74">
        <v>0.0</v>
      </c>
      <c r="R16" s="74">
        <v>0.0</v>
      </c>
      <c r="S16" s="74">
        <v>0.0</v>
      </c>
      <c r="T16" s="74">
        <v>0.0</v>
      </c>
      <c r="U16" s="74">
        <v>0.0</v>
      </c>
      <c r="V16" s="74">
        <v>0.0</v>
      </c>
      <c r="W16" s="74">
        <v>0.0</v>
      </c>
      <c r="X16" s="74">
        <v>0.0</v>
      </c>
      <c r="Y16" s="74">
        <v>0.0</v>
      </c>
      <c r="Z16" s="74">
        <v>0.0</v>
      </c>
      <c r="AA16" s="74">
        <v>0.0</v>
      </c>
      <c r="AB16" s="74">
        <v>0.0</v>
      </c>
      <c r="AC16" s="74">
        <v>0.0</v>
      </c>
      <c r="AD16" s="74">
        <v>0.0</v>
      </c>
      <c r="AE16" s="74">
        <v>0.0</v>
      </c>
      <c r="AF16" s="74">
        <v>0.0</v>
      </c>
      <c r="AG16" s="74">
        <v>0.0</v>
      </c>
      <c r="AH16" s="74">
        <v>0.0</v>
      </c>
      <c r="AI16" s="74">
        <v>0.0</v>
      </c>
      <c r="AJ16" s="74">
        <v>0.0</v>
      </c>
      <c r="AK16" s="74">
        <v>38.96</v>
      </c>
      <c r="AL16" s="74">
        <v>515.52</v>
      </c>
      <c r="AM16" s="74">
        <v>4181.8</v>
      </c>
      <c r="AN16" s="74">
        <v>8581.23</v>
      </c>
      <c r="AO16" s="74">
        <v>9183.64</v>
      </c>
      <c r="AP16" s="74">
        <v>10902.46</v>
      </c>
      <c r="AQ16" s="74">
        <v>10968.39</v>
      </c>
      <c r="AR16" s="74">
        <v>10175.64</v>
      </c>
      <c r="AS16" s="74">
        <v>10822.96</v>
      </c>
      <c r="AT16" s="74">
        <v>9362.26</v>
      </c>
      <c r="AU16" s="74">
        <v>10406.82</v>
      </c>
      <c r="AV16" s="74">
        <v>0.0</v>
      </c>
      <c r="AW16" s="74">
        <v>0.0</v>
      </c>
      <c r="AX16" s="74">
        <v>0.0</v>
      </c>
      <c r="AY16" s="74">
        <v>0.0</v>
      </c>
      <c r="AZ16" s="74">
        <v>0.0</v>
      </c>
      <c r="BA16" s="74">
        <v>0.0</v>
      </c>
      <c r="BB16" s="74">
        <v>0.0</v>
      </c>
      <c r="BC16" s="74">
        <v>0.0</v>
      </c>
      <c r="BD16" s="74">
        <v>0.0</v>
      </c>
      <c r="BE16" s="74">
        <v>0.0</v>
      </c>
      <c r="BF16" s="74">
        <v>0.0</v>
      </c>
      <c r="BG16" s="74">
        <v>0.0</v>
      </c>
    </row>
    <row r="17">
      <c r="A17" s="70" t="str">
        <f t="shared" si="3"/>
        <v>677536463POS Qty</v>
      </c>
      <c r="B17" s="75">
        <v>2.0</v>
      </c>
      <c r="C17" s="75" t="s">
        <v>80</v>
      </c>
      <c r="D17" s="75">
        <v>6.77536463E8</v>
      </c>
      <c r="E17" s="75" t="s">
        <v>51</v>
      </c>
      <c r="F17" s="76" t="s">
        <v>64</v>
      </c>
      <c r="G17" s="77" t="s">
        <v>65</v>
      </c>
      <c r="H17" s="78">
        <v>0.0</v>
      </c>
      <c r="I17" s="78">
        <v>0.0</v>
      </c>
      <c r="J17" s="78">
        <v>0.0</v>
      </c>
      <c r="K17" s="78">
        <v>0.0</v>
      </c>
      <c r="L17" s="78">
        <v>0.0</v>
      </c>
      <c r="M17" s="78">
        <v>0.0</v>
      </c>
      <c r="N17" s="78">
        <v>0.0</v>
      </c>
      <c r="O17" s="78">
        <v>0.0</v>
      </c>
      <c r="P17" s="78">
        <v>0.0</v>
      </c>
      <c r="Q17" s="78">
        <v>0.0</v>
      </c>
      <c r="R17" s="78">
        <v>0.0</v>
      </c>
      <c r="S17" s="78">
        <v>0.0</v>
      </c>
      <c r="T17" s="78">
        <v>0.0</v>
      </c>
      <c r="U17" s="78">
        <v>0.0</v>
      </c>
      <c r="V17" s="78">
        <v>0.0</v>
      </c>
      <c r="W17" s="78">
        <v>0.0</v>
      </c>
      <c r="X17" s="78">
        <v>0.0</v>
      </c>
      <c r="Y17" s="78">
        <v>0.0</v>
      </c>
      <c r="Z17" s="78">
        <v>0.0</v>
      </c>
      <c r="AA17" s="78">
        <v>0.0</v>
      </c>
      <c r="AB17" s="78">
        <v>0.0</v>
      </c>
      <c r="AC17" s="78">
        <v>0.0</v>
      </c>
      <c r="AD17" s="78">
        <v>0.0</v>
      </c>
      <c r="AE17" s="78">
        <v>0.0</v>
      </c>
      <c r="AF17" s="78">
        <v>0.0</v>
      </c>
      <c r="AG17" s="78">
        <v>0.0</v>
      </c>
      <c r="AH17" s="78">
        <v>0.0</v>
      </c>
      <c r="AI17" s="78">
        <v>0.0</v>
      </c>
      <c r="AJ17" s="78">
        <v>0.0</v>
      </c>
      <c r="AK17" s="78">
        <v>1.0</v>
      </c>
      <c r="AL17" s="78">
        <v>14.0</v>
      </c>
      <c r="AM17" s="78">
        <v>108.0</v>
      </c>
      <c r="AN17" s="78">
        <v>223.0</v>
      </c>
      <c r="AO17" s="78">
        <v>236.0</v>
      </c>
      <c r="AP17" s="78">
        <v>281.0</v>
      </c>
      <c r="AQ17" s="78">
        <v>283.0</v>
      </c>
      <c r="AR17" s="78">
        <v>263.0</v>
      </c>
      <c r="AS17" s="78">
        <v>281.0</v>
      </c>
      <c r="AT17" s="78">
        <v>242.0</v>
      </c>
      <c r="AU17" s="78">
        <v>268.0</v>
      </c>
      <c r="AV17" s="78">
        <v>0.0</v>
      </c>
      <c r="AW17" s="78">
        <v>0.0</v>
      </c>
      <c r="AX17" s="78">
        <v>0.0</v>
      </c>
      <c r="AY17" s="78">
        <v>0.0</v>
      </c>
      <c r="AZ17" s="78">
        <v>0.0</v>
      </c>
      <c r="BA17" s="78">
        <v>0.0</v>
      </c>
      <c r="BB17" s="78">
        <v>0.0</v>
      </c>
      <c r="BC17" s="78">
        <v>0.0</v>
      </c>
      <c r="BD17" s="78">
        <v>0.0</v>
      </c>
      <c r="BE17" s="78">
        <v>0.0</v>
      </c>
      <c r="BF17" s="78">
        <v>0.0</v>
      </c>
      <c r="BG17" s="78">
        <v>0.0</v>
      </c>
    </row>
    <row r="18">
      <c r="A18" s="70" t="str">
        <f t="shared" si="3"/>
        <v>677536463POS Qty if Instock</v>
      </c>
      <c r="B18" s="75">
        <v>2.0</v>
      </c>
      <c r="C18" s="75" t="s">
        <v>80</v>
      </c>
      <c r="D18" s="75">
        <v>6.77536463E8</v>
      </c>
      <c r="E18" s="75" t="s">
        <v>51</v>
      </c>
      <c r="F18" s="76" t="s">
        <v>66</v>
      </c>
      <c r="G18" s="79" t="s">
        <v>67</v>
      </c>
      <c r="H18" s="80">
        <v>0.0</v>
      </c>
      <c r="I18" s="80">
        <v>0.0</v>
      </c>
      <c r="J18" s="80">
        <v>0.0</v>
      </c>
      <c r="K18" s="80">
        <v>0.0</v>
      </c>
      <c r="L18" s="80">
        <v>0.0</v>
      </c>
      <c r="M18" s="80">
        <v>0.0</v>
      </c>
      <c r="N18" s="80">
        <v>0.0</v>
      </c>
      <c r="O18" s="80">
        <v>0.0</v>
      </c>
      <c r="P18" s="80">
        <v>0.0</v>
      </c>
      <c r="Q18" s="80">
        <v>0.0</v>
      </c>
      <c r="R18" s="80">
        <v>0.0</v>
      </c>
      <c r="S18" s="80">
        <v>0.0</v>
      </c>
      <c r="T18" s="80">
        <v>0.0</v>
      </c>
      <c r="U18" s="80">
        <v>0.0</v>
      </c>
      <c r="V18" s="80">
        <v>0.0</v>
      </c>
      <c r="W18" s="80">
        <v>0.0</v>
      </c>
      <c r="X18" s="80">
        <v>0.0</v>
      </c>
      <c r="Y18" s="80">
        <v>0.0</v>
      </c>
      <c r="Z18" s="80">
        <v>0.0</v>
      </c>
      <c r="AA18" s="80">
        <v>0.0</v>
      </c>
      <c r="AB18" s="80">
        <v>0.0</v>
      </c>
      <c r="AC18" s="80">
        <v>0.0</v>
      </c>
      <c r="AD18" s="80">
        <v>0.0</v>
      </c>
      <c r="AE18" s="80">
        <v>0.0</v>
      </c>
      <c r="AF18" s="80">
        <v>0.0</v>
      </c>
      <c r="AG18" s="80">
        <v>0.0</v>
      </c>
      <c r="AH18" s="80">
        <v>0.0</v>
      </c>
      <c r="AI18" s="80">
        <v>0.0</v>
      </c>
      <c r="AJ18" s="80">
        <v>0.0</v>
      </c>
      <c r="AK18" s="80">
        <v>2.0</v>
      </c>
      <c r="AL18" s="80">
        <v>28.0</v>
      </c>
      <c r="AM18" s="80">
        <v>216.0</v>
      </c>
      <c r="AN18" s="80">
        <v>231.5186</v>
      </c>
      <c r="AO18" s="80">
        <v>242.2304</v>
      </c>
      <c r="AP18" s="80">
        <v>284.5125</v>
      </c>
      <c r="AQ18" s="80">
        <v>285.9432</v>
      </c>
      <c r="AR18" s="80">
        <v>269.6276</v>
      </c>
      <c r="AS18" s="80">
        <v>285.21500000000003</v>
      </c>
      <c r="AT18" s="80">
        <v>244.4684</v>
      </c>
      <c r="AU18" s="80">
        <v>270.3852</v>
      </c>
      <c r="AV18" s="80">
        <v>0.0</v>
      </c>
      <c r="AW18" s="80">
        <v>0.0</v>
      </c>
      <c r="AX18" s="80">
        <v>0.0</v>
      </c>
      <c r="AY18" s="80">
        <v>0.0</v>
      </c>
      <c r="AZ18" s="80">
        <v>0.0</v>
      </c>
      <c r="BA18" s="80">
        <v>0.0</v>
      </c>
      <c r="BB18" s="80">
        <v>0.0</v>
      </c>
      <c r="BC18" s="80">
        <v>0.0</v>
      </c>
      <c r="BD18" s="80">
        <v>0.0</v>
      </c>
      <c r="BE18" s="80">
        <v>0.0</v>
      </c>
      <c r="BF18" s="80">
        <v>0.0</v>
      </c>
      <c r="BG18" s="80">
        <v>0.0</v>
      </c>
    </row>
    <row r="19">
      <c r="A19" s="70" t="str">
        <f t="shared" si="3"/>
        <v>677536463Units per Store per Week (w/zeros)</v>
      </c>
      <c r="B19" s="75">
        <v>2.0</v>
      </c>
      <c r="C19" s="75" t="s">
        <v>80</v>
      </c>
      <c r="D19" s="75">
        <v>6.77536463E8</v>
      </c>
      <c r="E19" s="75" t="s">
        <v>51</v>
      </c>
      <c r="F19" s="76" t="s">
        <v>68</v>
      </c>
      <c r="G19" s="81" t="s">
        <v>69</v>
      </c>
      <c r="H19" s="82">
        <v>0.0</v>
      </c>
      <c r="I19" s="82">
        <v>0.0</v>
      </c>
      <c r="J19" s="82">
        <v>0.0</v>
      </c>
      <c r="K19" s="82">
        <v>0.0</v>
      </c>
      <c r="L19" s="82">
        <v>0.0</v>
      </c>
      <c r="M19" s="82">
        <v>0.0</v>
      </c>
      <c r="N19" s="82">
        <v>0.0</v>
      </c>
      <c r="O19" s="82">
        <v>0.0</v>
      </c>
      <c r="P19" s="82">
        <v>0.0</v>
      </c>
      <c r="Q19" s="82">
        <v>0.0</v>
      </c>
      <c r="R19" s="82">
        <v>0.0</v>
      </c>
      <c r="S19" s="82">
        <v>0.0</v>
      </c>
      <c r="T19" s="82">
        <v>0.0</v>
      </c>
      <c r="U19" s="82">
        <v>0.0</v>
      </c>
      <c r="V19" s="82">
        <v>0.0</v>
      </c>
      <c r="W19" s="82">
        <v>0.0</v>
      </c>
      <c r="X19" s="82">
        <v>0.0</v>
      </c>
      <c r="Y19" s="82">
        <v>0.0</v>
      </c>
      <c r="Z19" s="82">
        <v>0.0</v>
      </c>
      <c r="AA19" s="82">
        <v>0.0</v>
      </c>
      <c r="AB19" s="82">
        <v>0.0</v>
      </c>
      <c r="AC19" s="82">
        <v>0.0</v>
      </c>
      <c r="AD19" s="82">
        <v>0.0</v>
      </c>
      <c r="AE19" s="82">
        <v>0.0</v>
      </c>
      <c r="AF19" s="82">
        <v>0.0</v>
      </c>
      <c r="AG19" s="82">
        <v>0.0</v>
      </c>
      <c r="AH19" s="82">
        <v>0.0</v>
      </c>
      <c r="AI19" s="82">
        <v>0.0</v>
      </c>
      <c r="AJ19" s="82">
        <v>0.0</v>
      </c>
      <c r="AK19" s="82">
        <v>0.0</v>
      </c>
      <c r="AL19" s="82">
        <v>0.009722222222222222</v>
      </c>
      <c r="AM19" s="82">
        <v>0.07494795281054822</v>
      </c>
      <c r="AN19" s="82">
        <v>0.15475364330326163</v>
      </c>
      <c r="AO19" s="82">
        <v>0.1636615811373093</v>
      </c>
      <c r="AP19" s="82">
        <v>0.19473319473319473</v>
      </c>
      <c r="AQ19" s="82">
        <v>0.1919945725915875</v>
      </c>
      <c r="AR19" s="82">
        <v>0.1783050847457627</v>
      </c>
      <c r="AS19" s="82">
        <v>0.19050847457627118</v>
      </c>
      <c r="AT19" s="82">
        <v>0.16417910447761194</v>
      </c>
      <c r="AU19" s="82">
        <v>0.18194161575016973</v>
      </c>
      <c r="AV19" s="82">
        <v>0.0</v>
      </c>
      <c r="AW19" s="82">
        <v>0.0</v>
      </c>
      <c r="AX19" s="82">
        <v>0.0</v>
      </c>
      <c r="AY19" s="82">
        <v>0.0</v>
      </c>
      <c r="AZ19" s="82">
        <v>0.0</v>
      </c>
      <c r="BA19" s="82">
        <v>0.0</v>
      </c>
      <c r="BB19" s="82">
        <v>0.0</v>
      </c>
      <c r="BC19" s="82">
        <v>0.0</v>
      </c>
      <c r="BD19" s="82">
        <v>0.0</v>
      </c>
      <c r="BE19" s="82">
        <v>0.0</v>
      </c>
      <c r="BF19" s="82">
        <v>0.0</v>
      </c>
      <c r="BG19" s="82">
        <v>0.0</v>
      </c>
    </row>
    <row r="20">
      <c r="A20" s="70" t="str">
        <f t="shared" si="3"/>
        <v>677536463Avg Price</v>
      </c>
      <c r="B20" s="75">
        <v>2.0</v>
      </c>
      <c r="C20" s="75" t="s">
        <v>80</v>
      </c>
      <c r="D20" s="75">
        <v>6.77536463E8</v>
      </c>
      <c r="E20" s="75" t="s">
        <v>51</v>
      </c>
      <c r="F20" s="76" t="s">
        <v>70</v>
      </c>
      <c r="G20" s="81" t="s">
        <v>71</v>
      </c>
      <c r="H20" s="83">
        <v>0.0</v>
      </c>
      <c r="I20" s="83">
        <v>0.0</v>
      </c>
      <c r="J20" s="83">
        <v>0.0</v>
      </c>
      <c r="K20" s="83">
        <v>0.0</v>
      </c>
      <c r="L20" s="83">
        <v>0.0</v>
      </c>
      <c r="M20" s="83">
        <v>0.0</v>
      </c>
      <c r="N20" s="83">
        <v>0.0</v>
      </c>
      <c r="O20" s="83">
        <v>0.0</v>
      </c>
      <c r="P20" s="83">
        <v>0.0</v>
      </c>
      <c r="Q20" s="83">
        <v>0.0</v>
      </c>
      <c r="R20" s="83">
        <v>0.0</v>
      </c>
      <c r="S20" s="83">
        <v>0.0</v>
      </c>
      <c r="T20" s="83">
        <v>0.0</v>
      </c>
      <c r="U20" s="83">
        <v>0.0</v>
      </c>
      <c r="V20" s="83">
        <v>0.0</v>
      </c>
      <c r="W20" s="83">
        <v>0.0</v>
      </c>
      <c r="X20" s="83">
        <v>0.0</v>
      </c>
      <c r="Y20" s="83">
        <v>0.0</v>
      </c>
      <c r="Z20" s="83">
        <v>0.0</v>
      </c>
      <c r="AA20" s="83">
        <v>0.0</v>
      </c>
      <c r="AB20" s="83">
        <v>0.0</v>
      </c>
      <c r="AC20" s="83">
        <v>0.0</v>
      </c>
      <c r="AD20" s="83">
        <v>0.0</v>
      </c>
      <c r="AE20" s="83">
        <v>0.0</v>
      </c>
      <c r="AF20" s="83">
        <v>0.0</v>
      </c>
      <c r="AG20" s="83">
        <v>0.0</v>
      </c>
      <c r="AH20" s="83">
        <v>0.0</v>
      </c>
      <c r="AI20" s="83">
        <v>0.0</v>
      </c>
      <c r="AJ20" s="83">
        <v>0.0</v>
      </c>
      <c r="AK20" s="83">
        <v>38.96</v>
      </c>
      <c r="AL20" s="83">
        <v>36.82285714285714</v>
      </c>
      <c r="AM20" s="83">
        <v>38.720370370370375</v>
      </c>
      <c r="AN20" s="83">
        <v>38.48085201793722</v>
      </c>
      <c r="AO20" s="83">
        <v>38.91372881355932</v>
      </c>
      <c r="AP20" s="83">
        <v>38.79879003558719</v>
      </c>
      <c r="AQ20" s="83">
        <v>38.75756183745583</v>
      </c>
      <c r="AR20" s="83">
        <v>38.6906463878327</v>
      </c>
      <c r="AS20" s="83">
        <v>38.51587188612099</v>
      </c>
      <c r="AT20" s="83">
        <v>38.68702479338843</v>
      </c>
      <c r="AU20" s="83">
        <v>38.83141791044776</v>
      </c>
      <c r="AV20" s="83">
        <v>0.0</v>
      </c>
      <c r="AW20" s="83">
        <v>0.0</v>
      </c>
      <c r="AX20" s="83">
        <v>0.0</v>
      </c>
      <c r="AY20" s="83">
        <v>0.0</v>
      </c>
      <c r="AZ20" s="83">
        <v>0.0</v>
      </c>
      <c r="BA20" s="83">
        <v>0.0</v>
      </c>
      <c r="BB20" s="83">
        <v>0.0</v>
      </c>
      <c r="BC20" s="83">
        <v>0.0</v>
      </c>
      <c r="BD20" s="83">
        <v>0.0</v>
      </c>
      <c r="BE20" s="83">
        <v>0.0</v>
      </c>
      <c r="BF20" s="83">
        <v>0.0</v>
      </c>
      <c r="BG20" s="83">
        <v>0.0</v>
      </c>
    </row>
    <row r="21" ht="15.75" customHeight="1">
      <c r="A21" s="70" t="str">
        <f t="shared" si="3"/>
        <v>677536463Traited Stores</v>
      </c>
      <c r="B21" s="75">
        <v>2.0</v>
      </c>
      <c r="C21" s="75" t="s">
        <v>80</v>
      </c>
      <c r="D21" s="75">
        <v>6.77536463E8</v>
      </c>
      <c r="E21" s="75" t="s">
        <v>51</v>
      </c>
      <c r="F21" s="76" t="s">
        <v>72</v>
      </c>
      <c r="G21" s="81" t="s">
        <v>73</v>
      </c>
      <c r="H21" s="84">
        <v>0.0</v>
      </c>
      <c r="I21" s="84">
        <v>0.0</v>
      </c>
      <c r="J21" s="84">
        <v>0.0</v>
      </c>
      <c r="K21" s="84">
        <v>0.0</v>
      </c>
      <c r="L21" s="84">
        <v>0.0</v>
      </c>
      <c r="M21" s="84">
        <v>0.0</v>
      </c>
      <c r="N21" s="84">
        <v>0.0</v>
      </c>
      <c r="O21" s="84">
        <v>0.0</v>
      </c>
      <c r="P21" s="84">
        <v>0.0</v>
      </c>
      <c r="Q21" s="84">
        <v>0.0</v>
      </c>
      <c r="R21" s="84">
        <v>0.0</v>
      </c>
      <c r="S21" s="84">
        <v>0.0</v>
      </c>
      <c r="T21" s="84">
        <v>0.0</v>
      </c>
      <c r="U21" s="84">
        <v>0.0</v>
      </c>
      <c r="V21" s="84">
        <v>0.0</v>
      </c>
      <c r="W21" s="84">
        <v>0.0</v>
      </c>
      <c r="X21" s="84">
        <v>0.0</v>
      </c>
      <c r="Y21" s="84">
        <v>0.0</v>
      </c>
      <c r="Z21" s="84">
        <v>0.0</v>
      </c>
      <c r="AA21" s="84">
        <v>0.0</v>
      </c>
      <c r="AB21" s="84">
        <v>0.0</v>
      </c>
      <c r="AC21" s="84">
        <v>0.0</v>
      </c>
      <c r="AD21" s="84">
        <v>0.0</v>
      </c>
      <c r="AE21" s="84">
        <v>0.0</v>
      </c>
      <c r="AF21" s="84">
        <v>0.0</v>
      </c>
      <c r="AG21" s="84">
        <v>0.0</v>
      </c>
      <c r="AH21" s="84">
        <v>0.0</v>
      </c>
      <c r="AI21" s="84">
        <v>0.0</v>
      </c>
      <c r="AJ21" s="84">
        <v>0.0</v>
      </c>
      <c r="AK21" s="84">
        <v>0.0</v>
      </c>
      <c r="AL21" s="84">
        <v>1440.0</v>
      </c>
      <c r="AM21" s="84">
        <v>1441.0</v>
      </c>
      <c r="AN21" s="84">
        <v>1441.0</v>
      </c>
      <c r="AO21" s="84">
        <v>1442.0</v>
      </c>
      <c r="AP21" s="84">
        <v>1443.0</v>
      </c>
      <c r="AQ21" s="84">
        <v>1474.0</v>
      </c>
      <c r="AR21" s="84">
        <v>1475.0</v>
      </c>
      <c r="AS21" s="84">
        <v>1475.0</v>
      </c>
      <c r="AT21" s="84">
        <v>1474.0</v>
      </c>
      <c r="AU21" s="84">
        <v>1473.0</v>
      </c>
      <c r="AV21" s="84">
        <v>0.0</v>
      </c>
      <c r="AW21" s="84">
        <v>0.0</v>
      </c>
      <c r="AX21" s="84">
        <v>0.0</v>
      </c>
      <c r="AY21" s="84">
        <v>0.0</v>
      </c>
      <c r="AZ21" s="84">
        <v>0.0</v>
      </c>
      <c r="BA21" s="84">
        <v>0.0</v>
      </c>
      <c r="BB21" s="84">
        <v>0.0</v>
      </c>
      <c r="BC21" s="84">
        <v>0.0</v>
      </c>
      <c r="BD21" s="84">
        <v>0.0</v>
      </c>
      <c r="BE21" s="84">
        <v>0.0</v>
      </c>
      <c r="BF21" s="84">
        <v>0.0</v>
      </c>
      <c r="BG21" s="84">
        <v>0.0</v>
      </c>
    </row>
    <row r="22" ht="15.75" customHeight="1">
      <c r="A22" s="70" t="str">
        <f t="shared" si="3"/>
        <v>677536463Instock</v>
      </c>
      <c r="B22" s="75">
        <v>2.0</v>
      </c>
      <c r="C22" s="75" t="s">
        <v>80</v>
      </c>
      <c r="D22" s="75">
        <v>6.77536463E8</v>
      </c>
      <c r="E22" s="75" t="s">
        <v>51</v>
      </c>
      <c r="F22" s="76" t="s">
        <v>74</v>
      </c>
      <c r="G22" s="81" t="s">
        <v>75</v>
      </c>
      <c r="H22" s="85">
        <v>0.0</v>
      </c>
      <c r="I22" s="85">
        <v>0.0</v>
      </c>
      <c r="J22" s="85">
        <v>0.0</v>
      </c>
      <c r="K22" s="85">
        <v>0.0</v>
      </c>
      <c r="L22" s="85">
        <v>0.0</v>
      </c>
      <c r="M22" s="85">
        <v>0.0</v>
      </c>
      <c r="N22" s="85">
        <v>0.0</v>
      </c>
      <c r="O22" s="85">
        <v>0.0</v>
      </c>
      <c r="P22" s="85">
        <v>0.0</v>
      </c>
      <c r="Q22" s="85">
        <v>0.0</v>
      </c>
      <c r="R22" s="85">
        <v>0.0</v>
      </c>
      <c r="S22" s="85">
        <v>0.0</v>
      </c>
      <c r="T22" s="85">
        <v>0.0</v>
      </c>
      <c r="U22" s="85">
        <v>0.0</v>
      </c>
      <c r="V22" s="85">
        <v>0.0</v>
      </c>
      <c r="W22" s="85">
        <v>0.0</v>
      </c>
      <c r="X22" s="85">
        <v>0.0</v>
      </c>
      <c r="Y22" s="85">
        <v>0.0</v>
      </c>
      <c r="Z22" s="85">
        <v>0.0</v>
      </c>
      <c r="AA22" s="85">
        <v>0.0</v>
      </c>
      <c r="AB22" s="85">
        <v>0.0</v>
      </c>
      <c r="AC22" s="85">
        <v>0.0</v>
      </c>
      <c r="AD22" s="85">
        <v>0.0</v>
      </c>
      <c r="AE22" s="85">
        <v>0.0</v>
      </c>
      <c r="AF22" s="85">
        <v>0.0</v>
      </c>
      <c r="AG22" s="85">
        <v>0.0</v>
      </c>
      <c r="AH22" s="85">
        <v>0.0</v>
      </c>
      <c r="AI22" s="85">
        <v>0.0</v>
      </c>
      <c r="AJ22" s="85">
        <v>0.0</v>
      </c>
      <c r="AK22" s="85">
        <v>0.0</v>
      </c>
      <c r="AL22" s="85">
        <v>0.0</v>
      </c>
      <c r="AM22" s="85">
        <v>0.0</v>
      </c>
      <c r="AN22" s="85">
        <v>0.9618</v>
      </c>
      <c r="AO22" s="85">
        <v>0.9736</v>
      </c>
      <c r="AP22" s="85">
        <v>0.9875</v>
      </c>
      <c r="AQ22" s="85">
        <v>0.9896</v>
      </c>
      <c r="AR22" s="85">
        <v>0.9748</v>
      </c>
      <c r="AS22" s="85">
        <v>0.985</v>
      </c>
      <c r="AT22" s="85">
        <v>0.9898</v>
      </c>
      <c r="AU22" s="85">
        <v>0.9911</v>
      </c>
      <c r="AV22" s="85">
        <v>0.0</v>
      </c>
      <c r="AW22" s="85">
        <v>0.0</v>
      </c>
      <c r="AX22" s="85">
        <v>0.0</v>
      </c>
      <c r="AY22" s="85">
        <v>0.0</v>
      </c>
      <c r="AZ22" s="85">
        <v>0.0</v>
      </c>
      <c r="BA22" s="85">
        <v>0.0</v>
      </c>
      <c r="BB22" s="85">
        <v>0.0</v>
      </c>
      <c r="BC22" s="85">
        <v>0.0</v>
      </c>
      <c r="BD22" s="85">
        <v>0.0</v>
      </c>
      <c r="BE22" s="85">
        <v>0.0</v>
      </c>
      <c r="BF22" s="85">
        <v>0.0</v>
      </c>
      <c r="BG22" s="85">
        <v>0.0</v>
      </c>
    </row>
    <row r="23" ht="15.75" customHeight="1">
      <c r="A23" s="70" t="str">
        <f t="shared" si="3"/>
        <v>677536463Forecast</v>
      </c>
      <c r="B23" s="75">
        <v>2.0</v>
      </c>
      <c r="C23" s="75" t="s">
        <v>80</v>
      </c>
      <c r="D23" s="75">
        <v>6.77536463E8</v>
      </c>
      <c r="E23" s="75" t="s">
        <v>51</v>
      </c>
      <c r="F23" s="76" t="s">
        <v>76</v>
      </c>
      <c r="G23" s="86" t="s">
        <v>77</v>
      </c>
      <c r="H23" s="87">
        <v>1071.84</v>
      </c>
      <c r="I23" s="87">
        <v>1158.21</v>
      </c>
      <c r="J23" s="87">
        <v>1462.58</v>
      </c>
      <c r="K23" s="87">
        <v>1863.85</v>
      </c>
      <c r="L23" s="87">
        <v>1753.79</v>
      </c>
      <c r="M23" s="87">
        <v>1625.82</v>
      </c>
      <c r="N23" s="87">
        <v>1635.4499999999998</v>
      </c>
      <c r="O23" s="87">
        <v>1644.69</v>
      </c>
      <c r="P23" s="87">
        <v>1585.7600000000002</v>
      </c>
      <c r="Q23" s="87">
        <v>1509.54</v>
      </c>
      <c r="R23" s="87">
        <v>1499.35</v>
      </c>
      <c r="S23" s="87">
        <v>1398.4099999999999</v>
      </c>
      <c r="T23" s="87">
        <v>1411.07</v>
      </c>
      <c r="U23" s="87">
        <v>1267.76</v>
      </c>
      <c r="V23" s="87">
        <v>1234.27</v>
      </c>
      <c r="W23" s="87">
        <v>1166.51</v>
      </c>
      <c r="X23" s="87">
        <v>1084.74</v>
      </c>
      <c r="Y23" s="87">
        <v>1178.13</v>
      </c>
      <c r="Z23" s="87">
        <v>1205.87</v>
      </c>
      <c r="AA23" s="87">
        <v>1247.79</v>
      </c>
      <c r="AB23" s="87">
        <v>1247.79</v>
      </c>
      <c r="AC23" s="87">
        <v>1212.74</v>
      </c>
      <c r="AD23" s="87">
        <v>1213.9</v>
      </c>
      <c r="AE23" s="87">
        <v>1201.97</v>
      </c>
      <c r="AF23" s="87">
        <v>1236.6399999999999</v>
      </c>
      <c r="AG23" s="87">
        <v>1338.51</v>
      </c>
      <c r="AH23" s="87">
        <v>1351.23</v>
      </c>
      <c r="AI23" s="87">
        <v>1481.69</v>
      </c>
      <c r="AJ23" s="87">
        <v>1338.06</v>
      </c>
      <c r="AK23" s="87">
        <v>1304.04</v>
      </c>
      <c r="AL23" s="87">
        <v>1215.17</v>
      </c>
      <c r="AM23" s="87">
        <v>1325.2399999999998</v>
      </c>
      <c r="AN23" s="87">
        <v>1459.0900000000001</v>
      </c>
      <c r="AO23" s="87">
        <v>1541.03</v>
      </c>
      <c r="AP23" s="87">
        <v>1679.1399999999999</v>
      </c>
      <c r="AQ23" s="87">
        <v>1516.94</v>
      </c>
      <c r="AR23" s="87">
        <v>1494.0</v>
      </c>
      <c r="AS23" s="87">
        <v>1457.7800000000002</v>
      </c>
      <c r="AT23" s="87">
        <v>1573.19</v>
      </c>
      <c r="AU23" s="87">
        <v>1546.06</v>
      </c>
      <c r="AV23" s="87">
        <v>1516.1</v>
      </c>
      <c r="AW23" s="87">
        <v>1459.3000000000002</v>
      </c>
      <c r="AX23" s="87">
        <v>1259.8899999999999</v>
      </c>
      <c r="AY23" s="87">
        <v>1640.42</v>
      </c>
      <c r="AZ23" s="87">
        <v>1860.19</v>
      </c>
      <c r="BA23" s="87">
        <v>2460.33</v>
      </c>
      <c r="BB23" s="87">
        <v>2534.45</v>
      </c>
      <c r="BC23" s="87">
        <v>1546.37</v>
      </c>
      <c r="BD23" s="87">
        <v>1373.72</v>
      </c>
      <c r="BE23" s="87">
        <v>1274.33</v>
      </c>
      <c r="BF23" s="87">
        <v>1062.06</v>
      </c>
      <c r="BG23" s="87">
        <v>1113.8</v>
      </c>
    </row>
    <row r="24" ht="15.75" customHeight="1">
      <c r="A24" s="70" t="str">
        <f t="shared" si="3"/>
        <v>677536463Variance</v>
      </c>
      <c r="B24" s="88">
        <v>2.0</v>
      </c>
      <c r="C24" s="88" t="s">
        <v>80</v>
      </c>
      <c r="D24" s="88">
        <v>6.77536463E8</v>
      </c>
      <c r="E24" s="88" t="s">
        <v>51</v>
      </c>
      <c r="F24" s="89" t="s">
        <v>78</v>
      </c>
      <c r="G24" s="90" t="s">
        <v>79</v>
      </c>
      <c r="H24" s="91">
        <v>0.0</v>
      </c>
      <c r="I24" s="91">
        <v>0.0</v>
      </c>
      <c r="J24" s="91">
        <v>0.0</v>
      </c>
      <c r="K24" s="91">
        <v>0.0</v>
      </c>
      <c r="L24" s="91">
        <v>0.0</v>
      </c>
      <c r="M24" s="91">
        <v>0.0</v>
      </c>
      <c r="N24" s="91">
        <v>0.0</v>
      </c>
      <c r="O24" s="91">
        <v>0.0</v>
      </c>
      <c r="P24" s="91">
        <v>0.0</v>
      </c>
      <c r="Q24" s="91">
        <v>0.0</v>
      </c>
      <c r="R24" s="91">
        <v>0.0</v>
      </c>
      <c r="S24" s="91">
        <v>0.0</v>
      </c>
      <c r="T24" s="91">
        <v>0.0</v>
      </c>
      <c r="U24" s="91">
        <v>0.0</v>
      </c>
      <c r="V24" s="91">
        <v>0.0</v>
      </c>
      <c r="W24" s="91">
        <v>0.0</v>
      </c>
      <c r="X24" s="91">
        <v>0.0</v>
      </c>
      <c r="Y24" s="91">
        <v>0.0</v>
      </c>
      <c r="Z24" s="91">
        <v>0.0</v>
      </c>
      <c r="AA24" s="91">
        <v>0.0</v>
      </c>
      <c r="AB24" s="91">
        <v>0.0</v>
      </c>
      <c r="AC24" s="91">
        <v>0.0</v>
      </c>
      <c r="AD24" s="91">
        <v>0.0</v>
      </c>
      <c r="AE24" s="91">
        <v>0.0</v>
      </c>
      <c r="AF24" s="91">
        <v>0.0</v>
      </c>
      <c r="AG24" s="91">
        <v>0.0</v>
      </c>
      <c r="AH24" s="91">
        <v>0.0</v>
      </c>
      <c r="AI24" s="91">
        <v>0.0</v>
      </c>
      <c r="AJ24" s="91">
        <v>0.0</v>
      </c>
      <c r="AK24" s="91">
        <v>7.668476427103463E-4</v>
      </c>
      <c r="AL24" s="91">
        <v>0.011521021750043204</v>
      </c>
      <c r="AM24" s="91">
        <v>0.08149467266306482</v>
      </c>
      <c r="AN24" s="91">
        <v>0.15283498619002253</v>
      </c>
      <c r="AO24" s="91">
        <v>0.15314432554849677</v>
      </c>
      <c r="AP24" s="91">
        <v>0.1673475707802804</v>
      </c>
      <c r="AQ24" s="91">
        <v>0.18655978482998667</v>
      </c>
      <c r="AR24" s="91">
        <v>0.17603748326639893</v>
      </c>
      <c r="AS24" s="91">
        <v>0.1927588525017492</v>
      </c>
      <c r="AT24" s="91">
        <v>0.1538275732746839</v>
      </c>
      <c r="AU24" s="91">
        <v>0.17334385470162866</v>
      </c>
      <c r="AV24" s="91">
        <v>0.0</v>
      </c>
      <c r="AW24" s="91">
        <v>0.0</v>
      </c>
      <c r="AX24" s="91">
        <v>0.0</v>
      </c>
      <c r="AY24" s="91">
        <v>0.0</v>
      </c>
      <c r="AZ24" s="91">
        <v>0.0</v>
      </c>
      <c r="BA24" s="91">
        <v>0.0</v>
      </c>
      <c r="BB24" s="91">
        <v>0.0</v>
      </c>
      <c r="BC24" s="91">
        <v>0.0</v>
      </c>
      <c r="BD24" s="91">
        <v>0.0</v>
      </c>
      <c r="BE24" s="91">
        <v>0.0</v>
      </c>
      <c r="BF24" s="91">
        <v>0.0</v>
      </c>
      <c r="BG24" s="91">
        <v>0.0</v>
      </c>
    </row>
    <row r="25" ht="15.75" customHeight="1">
      <c r="A25" s="55"/>
    </row>
    <row r="26" ht="15.75" customHeight="1">
      <c r="A26" s="55"/>
    </row>
    <row r="27" ht="15.75" customHeight="1">
      <c r="A27" s="55"/>
    </row>
    <row r="28" ht="15.75" customHeight="1">
      <c r="A28" s="55"/>
    </row>
    <row r="29" ht="15.75" customHeight="1">
      <c r="A29" s="55"/>
    </row>
    <row r="30" ht="15.75" customHeight="1">
      <c r="A30" s="55"/>
    </row>
    <row r="31" ht="15.75" customHeight="1">
      <c r="A31" s="55"/>
    </row>
    <row r="32" ht="15.75" customHeight="1">
      <c r="A32" s="55"/>
    </row>
    <row r="33" ht="15.75" customHeight="1">
      <c r="A33" s="55"/>
    </row>
    <row r="34" ht="15.75" customHeight="1">
      <c r="A34" s="55"/>
    </row>
    <row r="35" ht="15.75" customHeight="1">
      <c r="A35" s="55"/>
    </row>
    <row r="36" ht="15.75" customHeight="1">
      <c r="A36" s="55"/>
    </row>
    <row r="37" ht="15.75" customHeight="1">
      <c r="A37" s="55"/>
    </row>
    <row r="38" ht="15.75" customHeight="1">
      <c r="A38" s="55"/>
    </row>
    <row r="39" ht="15.75" customHeight="1">
      <c r="A39" s="55"/>
    </row>
    <row r="40" ht="15.75" customHeight="1">
      <c r="A40" s="55"/>
    </row>
    <row r="41" ht="15.75" customHeight="1">
      <c r="A41" s="55"/>
    </row>
    <row r="42" ht="15.75" customHeight="1">
      <c r="A42" s="55"/>
    </row>
    <row r="43" ht="15.75" customHeight="1">
      <c r="A43" s="55"/>
    </row>
    <row r="44" ht="15.75" customHeight="1">
      <c r="A44" s="55"/>
    </row>
    <row r="45" ht="15.75" customHeight="1">
      <c r="A45" s="55"/>
    </row>
    <row r="46" ht="15.75" customHeight="1">
      <c r="A46" s="55"/>
    </row>
    <row r="47" ht="15.75" customHeight="1">
      <c r="A47" s="55"/>
    </row>
    <row r="48" ht="15.75" customHeight="1">
      <c r="A48" s="55"/>
    </row>
    <row r="49" ht="15.75" customHeight="1">
      <c r="A49" s="55"/>
    </row>
    <row r="50" ht="15.75" customHeight="1">
      <c r="A50" s="55"/>
    </row>
    <row r="51" ht="15.75" customHeight="1">
      <c r="A51" s="55"/>
    </row>
    <row r="52" ht="15.75" customHeight="1">
      <c r="A52" s="55"/>
    </row>
    <row r="53" ht="15.75" customHeight="1">
      <c r="A53" s="55"/>
    </row>
    <row r="54" ht="15.75" customHeight="1">
      <c r="A54" s="55"/>
    </row>
    <row r="55" ht="15.75" customHeight="1">
      <c r="A55" s="55"/>
    </row>
    <row r="56" ht="15.75" customHeight="1">
      <c r="A56" s="55"/>
    </row>
    <row r="57" ht="15.75" customHeight="1">
      <c r="A57" s="55"/>
    </row>
    <row r="58" ht="15.75" customHeight="1">
      <c r="A58" s="55"/>
    </row>
    <row r="59" ht="15.75" customHeight="1">
      <c r="A59" s="55"/>
    </row>
    <row r="60" ht="15.75" customHeight="1">
      <c r="A60" s="55"/>
    </row>
    <row r="61" ht="15.75" customHeight="1">
      <c r="A61" s="55"/>
    </row>
    <row r="62" ht="15.75" customHeight="1">
      <c r="A62" s="55"/>
    </row>
    <row r="63" ht="15.75" customHeight="1">
      <c r="A63" s="55"/>
    </row>
    <row r="64" ht="15.75" customHeight="1">
      <c r="A64" s="55"/>
    </row>
    <row r="65" ht="15.75" customHeight="1">
      <c r="A65" s="55"/>
    </row>
    <row r="66" ht="15.75" customHeight="1">
      <c r="A66" s="55"/>
    </row>
    <row r="67" ht="15.75" customHeight="1">
      <c r="A67" s="55"/>
    </row>
    <row r="68" ht="15.75" customHeight="1">
      <c r="A68" s="55"/>
    </row>
    <row r="69" ht="15.75" customHeight="1">
      <c r="A69" s="55"/>
    </row>
    <row r="70" ht="15.75" customHeight="1">
      <c r="A70" s="55"/>
    </row>
    <row r="71" ht="15.75" customHeight="1">
      <c r="A71" s="55"/>
    </row>
    <row r="72" ht="15.75" customHeight="1">
      <c r="A72" s="55"/>
    </row>
    <row r="73" ht="15.75" customHeight="1">
      <c r="A73" s="55"/>
    </row>
    <row r="74" ht="15.75" customHeight="1">
      <c r="A74" s="55"/>
    </row>
    <row r="75" ht="15.75" customHeight="1">
      <c r="A75" s="55"/>
    </row>
    <row r="76" ht="15.75" customHeight="1">
      <c r="A76" s="55"/>
    </row>
    <row r="77" ht="15.75" customHeight="1">
      <c r="A77" s="55"/>
    </row>
    <row r="78" ht="15.75" customHeight="1">
      <c r="A78" s="55"/>
    </row>
    <row r="79" ht="15.75" customHeight="1">
      <c r="A79" s="55"/>
    </row>
    <row r="80" ht="15.75" customHeight="1">
      <c r="A80" s="55"/>
    </row>
    <row r="81" ht="15.75" customHeight="1">
      <c r="A81" s="55"/>
    </row>
    <row r="82" ht="15.75" customHeight="1">
      <c r="A82" s="55"/>
    </row>
    <row r="83" ht="15.75" customHeight="1">
      <c r="A83" s="55"/>
    </row>
    <row r="84" ht="15.75" customHeight="1">
      <c r="A84" s="55"/>
    </row>
    <row r="85" ht="15.75" customHeight="1">
      <c r="A85" s="55"/>
    </row>
    <row r="86" ht="15.75" customHeight="1">
      <c r="A86" s="55"/>
    </row>
    <row r="87" ht="15.75" customHeight="1">
      <c r="A87" s="55"/>
    </row>
    <row r="88" ht="15.75" customHeight="1">
      <c r="A88" s="55"/>
    </row>
    <row r="89" ht="15.75" customHeight="1">
      <c r="A89" s="55"/>
    </row>
    <row r="90" ht="15.75" customHeight="1">
      <c r="A90" s="55"/>
    </row>
    <row r="91" ht="15.75" customHeight="1">
      <c r="A91" s="55"/>
    </row>
    <row r="92" ht="15.75" customHeight="1">
      <c r="A92" s="55"/>
    </row>
    <row r="93" ht="15.75" customHeight="1">
      <c r="A93" s="55"/>
    </row>
    <row r="94" ht="15.75" customHeight="1">
      <c r="A94" s="55"/>
    </row>
    <row r="95" ht="15.75" customHeight="1">
      <c r="A95" s="55"/>
    </row>
    <row r="96" ht="15.75" customHeight="1">
      <c r="A96" s="55"/>
    </row>
    <row r="97" ht="15.75" customHeight="1">
      <c r="A97" s="55"/>
    </row>
    <row r="98" ht="15.75" customHeight="1">
      <c r="A98" s="55"/>
    </row>
    <row r="99" ht="15.75" customHeight="1">
      <c r="A99" s="55"/>
    </row>
    <row r="100" ht="15.75" customHeight="1">
      <c r="A100" s="55"/>
    </row>
    <row r="101" ht="15.75" customHeight="1">
      <c r="A101" s="55"/>
    </row>
    <row r="102" ht="15.75" customHeight="1">
      <c r="A102" s="55"/>
    </row>
    <row r="103" ht="15.75" customHeight="1">
      <c r="A103" s="55"/>
    </row>
    <row r="104" ht="15.75" customHeight="1">
      <c r="A104" s="55"/>
    </row>
    <row r="105" ht="15.75" customHeight="1">
      <c r="A105" s="55"/>
    </row>
    <row r="106" ht="15.75" customHeight="1">
      <c r="A106" s="55"/>
    </row>
    <row r="107" ht="15.75" customHeight="1">
      <c r="A107" s="55"/>
    </row>
    <row r="108" ht="15.75" customHeight="1">
      <c r="A108" s="55"/>
    </row>
    <row r="109" ht="15.75" customHeight="1">
      <c r="A109" s="55"/>
    </row>
    <row r="110" ht="15.75" customHeight="1">
      <c r="A110" s="55"/>
    </row>
    <row r="111" ht="15.75" customHeight="1">
      <c r="A111" s="55"/>
    </row>
    <row r="112" ht="15.75" customHeight="1">
      <c r="A112" s="55"/>
    </row>
    <row r="113" ht="15.75" customHeight="1">
      <c r="A113" s="55"/>
    </row>
    <row r="114" ht="15.75" customHeight="1">
      <c r="A114" s="55"/>
    </row>
    <row r="115" ht="15.75" customHeight="1">
      <c r="A115" s="55"/>
    </row>
    <row r="116" ht="15.75" customHeight="1">
      <c r="A116" s="55"/>
    </row>
    <row r="117" ht="15.75" customHeight="1">
      <c r="A117" s="55"/>
    </row>
    <row r="118" ht="15.75" customHeight="1">
      <c r="A118" s="55"/>
    </row>
    <row r="119" ht="15.75" customHeight="1">
      <c r="A119" s="55"/>
    </row>
    <row r="120" ht="15.75" customHeight="1">
      <c r="A120" s="55"/>
    </row>
    <row r="121" ht="15.75" customHeight="1">
      <c r="A121" s="55"/>
    </row>
    <row r="122" ht="15.75" customHeight="1">
      <c r="A122" s="55"/>
    </row>
    <row r="123" ht="15.75" customHeight="1">
      <c r="A123" s="55"/>
    </row>
    <row r="124" ht="15.75" customHeight="1">
      <c r="A124" s="55"/>
    </row>
    <row r="125" ht="15.75" customHeight="1">
      <c r="A125" s="55"/>
    </row>
    <row r="126" ht="15.75" customHeight="1">
      <c r="A126" s="55"/>
    </row>
    <row r="127" ht="15.75" customHeight="1">
      <c r="A127" s="55"/>
    </row>
    <row r="128" ht="15.75" customHeight="1">
      <c r="A128" s="55"/>
    </row>
    <row r="129" ht="15.75" customHeight="1">
      <c r="A129" s="55"/>
    </row>
    <row r="130" ht="15.75" customHeight="1">
      <c r="A130" s="55"/>
    </row>
    <row r="131" ht="15.75" customHeight="1">
      <c r="A131" s="55"/>
    </row>
    <row r="132" ht="15.75" customHeight="1">
      <c r="A132" s="55"/>
    </row>
    <row r="133" ht="15.75" customHeight="1">
      <c r="A133" s="55"/>
    </row>
    <row r="134" ht="15.75" customHeight="1">
      <c r="A134" s="55"/>
    </row>
    <row r="135" ht="15.75" customHeight="1">
      <c r="A135" s="55"/>
    </row>
    <row r="136" ht="15.75" customHeight="1">
      <c r="A136" s="55"/>
    </row>
    <row r="137" ht="15.75" customHeight="1">
      <c r="A137" s="55"/>
    </row>
    <row r="138" ht="15.75" customHeight="1">
      <c r="A138" s="55"/>
    </row>
    <row r="139" ht="15.75" customHeight="1">
      <c r="A139" s="55"/>
    </row>
    <row r="140" ht="15.75" customHeight="1">
      <c r="A140" s="55"/>
    </row>
    <row r="141" ht="15.75" customHeight="1">
      <c r="A141" s="55"/>
    </row>
    <row r="142" ht="15.75" customHeight="1">
      <c r="A142" s="55"/>
    </row>
    <row r="143" ht="15.75" customHeight="1">
      <c r="A143" s="55"/>
    </row>
    <row r="144" ht="15.75" customHeight="1">
      <c r="A144" s="55"/>
    </row>
    <row r="145" ht="15.75" customHeight="1">
      <c r="A145" s="55"/>
    </row>
    <row r="146" ht="15.75" customHeight="1">
      <c r="A146" s="55"/>
    </row>
    <row r="147" ht="15.75" customHeight="1">
      <c r="A147" s="55"/>
    </row>
    <row r="148" ht="15.75" customHeight="1">
      <c r="A148" s="55"/>
    </row>
    <row r="149" ht="15.75" customHeight="1">
      <c r="A149" s="55"/>
    </row>
    <row r="150" ht="15.75" customHeight="1">
      <c r="A150" s="55"/>
    </row>
    <row r="151" ht="15.75" customHeight="1">
      <c r="A151" s="55"/>
    </row>
    <row r="152" ht="15.75" customHeight="1">
      <c r="A152" s="55"/>
    </row>
    <row r="153" ht="15.75" customHeight="1">
      <c r="A153" s="55"/>
    </row>
    <row r="154" ht="15.75" customHeight="1">
      <c r="A154" s="55"/>
    </row>
    <row r="155" ht="15.75" customHeight="1">
      <c r="A155" s="55"/>
    </row>
    <row r="156" ht="15.75" customHeight="1">
      <c r="A156" s="55"/>
    </row>
    <row r="157" ht="15.75" customHeight="1">
      <c r="A157" s="55"/>
    </row>
    <row r="158" ht="15.75" customHeight="1">
      <c r="A158" s="55"/>
    </row>
    <row r="159" ht="15.75" customHeight="1">
      <c r="A159" s="55"/>
    </row>
    <row r="160" ht="15.75" customHeight="1">
      <c r="A160" s="55"/>
    </row>
    <row r="161" ht="15.75" customHeight="1">
      <c r="A161" s="55"/>
    </row>
    <row r="162" ht="15.75" customHeight="1">
      <c r="A162" s="55"/>
    </row>
    <row r="163" ht="15.75" customHeight="1">
      <c r="A163" s="55"/>
    </row>
    <row r="164" ht="15.75" customHeight="1">
      <c r="A164" s="55"/>
    </row>
    <row r="165" ht="15.75" customHeight="1">
      <c r="A165" s="55"/>
    </row>
    <row r="166" ht="15.75" customHeight="1">
      <c r="A166" s="55"/>
    </row>
    <row r="167" ht="15.75" customHeight="1">
      <c r="A167" s="55"/>
    </row>
    <row r="168" ht="15.75" customHeight="1">
      <c r="A168" s="55"/>
    </row>
    <row r="169" ht="15.75" customHeight="1">
      <c r="A169" s="55"/>
    </row>
    <row r="170" ht="15.75" customHeight="1">
      <c r="A170" s="55"/>
    </row>
    <row r="171" ht="15.75" customHeight="1">
      <c r="A171" s="55"/>
    </row>
    <row r="172" ht="15.75" customHeight="1">
      <c r="A172" s="55"/>
    </row>
    <row r="173" ht="15.75" customHeight="1">
      <c r="A173" s="55"/>
    </row>
    <row r="174" ht="15.75" customHeight="1">
      <c r="A174" s="55"/>
    </row>
    <row r="175" ht="15.75" customHeight="1">
      <c r="A175" s="55"/>
    </row>
    <row r="176" ht="15.75" customHeight="1">
      <c r="A176" s="55"/>
    </row>
    <row r="177" ht="15.75" customHeight="1">
      <c r="A177" s="55"/>
    </row>
    <row r="178" ht="15.75" customHeight="1">
      <c r="A178" s="55"/>
    </row>
    <row r="179" ht="15.75" customHeight="1">
      <c r="A179" s="55"/>
    </row>
    <row r="180" ht="15.75" customHeight="1">
      <c r="A180" s="55"/>
    </row>
    <row r="181" ht="15.75" customHeight="1">
      <c r="A181" s="55"/>
    </row>
    <row r="182" ht="15.75" customHeight="1">
      <c r="A182" s="55"/>
    </row>
    <row r="183" ht="15.75" customHeight="1">
      <c r="A183" s="55"/>
    </row>
    <row r="184" ht="15.75" customHeight="1">
      <c r="A184" s="55"/>
    </row>
    <row r="185" ht="15.75" customHeight="1">
      <c r="A185" s="55"/>
    </row>
    <row r="186" ht="15.75" customHeight="1">
      <c r="A186" s="55"/>
    </row>
    <row r="187" ht="15.75" customHeight="1">
      <c r="A187" s="55"/>
    </row>
    <row r="188" ht="15.75" customHeight="1">
      <c r="A188" s="55"/>
    </row>
    <row r="189" ht="15.75" customHeight="1">
      <c r="A189" s="55"/>
    </row>
    <row r="190" ht="15.75" customHeight="1">
      <c r="A190" s="55"/>
    </row>
    <row r="191" ht="15.75" customHeight="1">
      <c r="A191" s="55"/>
    </row>
    <row r="192" ht="15.75" customHeight="1">
      <c r="A192" s="55"/>
    </row>
    <row r="193" ht="15.75" customHeight="1">
      <c r="A193" s="55"/>
    </row>
    <row r="194" ht="15.75" customHeight="1">
      <c r="A194" s="55"/>
    </row>
    <row r="195" ht="15.75" customHeight="1">
      <c r="A195" s="55"/>
    </row>
    <row r="196" ht="15.75" customHeight="1">
      <c r="A196" s="55"/>
    </row>
    <row r="197" ht="15.75" customHeight="1">
      <c r="A197" s="55"/>
    </row>
    <row r="198" ht="15.75" customHeight="1">
      <c r="A198" s="55"/>
    </row>
    <row r="199" ht="15.75" customHeight="1">
      <c r="A199" s="55"/>
    </row>
    <row r="200" ht="15.75" customHeight="1">
      <c r="A200" s="55"/>
    </row>
    <row r="201" ht="15.75" customHeight="1">
      <c r="A201" s="55"/>
    </row>
    <row r="202" ht="15.75" customHeight="1">
      <c r="A202" s="55"/>
    </row>
    <row r="203" ht="15.75" customHeight="1">
      <c r="A203" s="55"/>
    </row>
    <row r="204" ht="15.75" customHeight="1">
      <c r="A204" s="55"/>
    </row>
    <row r="205" ht="15.75" customHeight="1">
      <c r="A205" s="55"/>
    </row>
    <row r="206" ht="15.75" customHeight="1">
      <c r="A206" s="55"/>
    </row>
    <row r="207" ht="15.75" customHeight="1">
      <c r="A207" s="55"/>
    </row>
    <row r="208" ht="15.75" customHeight="1">
      <c r="A208" s="55"/>
    </row>
    <row r="209" ht="15.75" customHeight="1">
      <c r="A209" s="55"/>
    </row>
    <row r="210" ht="15.75" customHeight="1">
      <c r="A210" s="55"/>
    </row>
    <row r="211" ht="15.75" customHeight="1">
      <c r="A211" s="55"/>
    </row>
    <row r="212" ht="15.75" customHeight="1">
      <c r="A212" s="55"/>
    </row>
    <row r="213" ht="15.75" customHeight="1">
      <c r="A213" s="55"/>
    </row>
    <row r="214" ht="15.75" customHeight="1">
      <c r="A214" s="55"/>
    </row>
    <row r="215" ht="15.75" customHeight="1">
      <c r="A215" s="55"/>
    </row>
    <row r="216" ht="15.75" customHeight="1">
      <c r="A216" s="55"/>
    </row>
    <row r="217" ht="15.75" customHeight="1">
      <c r="A217" s="55"/>
    </row>
    <row r="218" ht="15.75" customHeight="1">
      <c r="A218" s="55"/>
    </row>
    <row r="219" ht="15.75" customHeight="1">
      <c r="A219" s="55"/>
    </row>
    <row r="220" ht="15.75" customHeight="1">
      <c r="A220" s="55"/>
    </row>
    <row r="221" ht="15.75" customHeight="1">
      <c r="A221" s="55"/>
    </row>
    <row r="222" ht="15.75" customHeight="1">
      <c r="A222" s="55"/>
    </row>
    <row r="223" ht="15.75" customHeight="1">
      <c r="A223" s="55"/>
    </row>
    <row r="224" ht="15.75" customHeight="1">
      <c r="A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  <c r="BH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  <c r="BH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55"/>
      <c r="BH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55"/>
      <c r="BE243" s="55"/>
      <c r="BF243" s="55"/>
      <c r="BG243" s="55"/>
      <c r="BH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  <c r="BH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55"/>
      <c r="BH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  <c r="BG251" s="55"/>
      <c r="BH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  <c r="BH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  <c r="BD256" s="55"/>
      <c r="BE256" s="55"/>
      <c r="BF256" s="55"/>
      <c r="BG256" s="55"/>
      <c r="BH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55"/>
      <c r="BH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55"/>
      <c r="BE258" s="55"/>
      <c r="BF258" s="55"/>
      <c r="BG258" s="55"/>
      <c r="BH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  <c r="BD260" s="55"/>
      <c r="BE260" s="55"/>
      <c r="BF260" s="55"/>
      <c r="BG260" s="55"/>
      <c r="BH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  <c r="BD263" s="55"/>
      <c r="BE263" s="55"/>
      <c r="BF263" s="55"/>
      <c r="BG263" s="55"/>
      <c r="BH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  <c r="BD264" s="55"/>
      <c r="BE264" s="55"/>
      <c r="BF264" s="55"/>
      <c r="BG264" s="55"/>
      <c r="BH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  <c r="BD266" s="55"/>
      <c r="BE266" s="55"/>
      <c r="BF266" s="55"/>
      <c r="BG266" s="55"/>
      <c r="BH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  <c r="BH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  <c r="BH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  <c r="BH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  <c r="BH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  <c r="BD271" s="55"/>
      <c r="BE271" s="55"/>
      <c r="BF271" s="55"/>
      <c r="BG271" s="55"/>
      <c r="BH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  <c r="BD272" s="55"/>
      <c r="BE272" s="55"/>
      <c r="BF272" s="55"/>
      <c r="BG272" s="55"/>
      <c r="BH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  <c r="BD273" s="55"/>
      <c r="BE273" s="55"/>
      <c r="BF273" s="55"/>
      <c r="BG273" s="55"/>
      <c r="BH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  <c r="BG274" s="55"/>
      <c r="BH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  <c r="BD275" s="55"/>
      <c r="BE275" s="55"/>
      <c r="BF275" s="55"/>
      <c r="BG275" s="55"/>
      <c r="BH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  <c r="BD276" s="55"/>
      <c r="BE276" s="55"/>
      <c r="BF276" s="55"/>
      <c r="BG276" s="55"/>
      <c r="BH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55"/>
      <c r="BE277" s="55"/>
      <c r="BF277" s="55"/>
      <c r="BG277" s="55"/>
      <c r="BH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  <c r="BD278" s="55"/>
      <c r="BE278" s="55"/>
      <c r="BF278" s="55"/>
      <c r="BG278" s="55"/>
      <c r="BH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  <c r="BD279" s="55"/>
      <c r="BE279" s="55"/>
      <c r="BF279" s="55"/>
      <c r="BG279" s="55"/>
      <c r="BH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  <c r="BD280" s="55"/>
      <c r="BE280" s="55"/>
      <c r="BF280" s="55"/>
      <c r="BG280" s="55"/>
      <c r="BH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55"/>
      <c r="BE281" s="55"/>
      <c r="BF281" s="55"/>
      <c r="BG281" s="55"/>
      <c r="BH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55"/>
      <c r="BE282" s="55"/>
      <c r="BF282" s="55"/>
      <c r="BG282" s="55"/>
      <c r="BH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  <c r="BD283" s="55"/>
      <c r="BE283" s="55"/>
      <c r="BF283" s="55"/>
      <c r="BG283" s="55"/>
      <c r="BH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  <c r="BD284" s="55"/>
      <c r="BE284" s="55"/>
      <c r="BF284" s="55"/>
      <c r="BG284" s="55"/>
      <c r="BH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  <c r="BD285" s="55"/>
      <c r="BE285" s="55"/>
      <c r="BF285" s="55"/>
      <c r="BG285" s="55"/>
      <c r="BH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  <c r="BD286" s="55"/>
      <c r="BE286" s="55"/>
      <c r="BF286" s="55"/>
      <c r="BG286" s="55"/>
      <c r="BH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  <c r="BD287" s="55"/>
      <c r="BE287" s="55"/>
      <c r="BF287" s="55"/>
      <c r="BG287" s="55"/>
      <c r="BH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  <c r="BD288" s="55"/>
      <c r="BE288" s="55"/>
      <c r="BF288" s="55"/>
      <c r="BG288" s="55"/>
      <c r="BH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  <c r="BD289" s="55"/>
      <c r="BE289" s="55"/>
      <c r="BF289" s="55"/>
      <c r="BG289" s="55"/>
      <c r="BH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  <c r="BD290" s="55"/>
      <c r="BE290" s="55"/>
      <c r="BF290" s="55"/>
      <c r="BG290" s="55"/>
      <c r="BH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55"/>
      <c r="BE291" s="55"/>
      <c r="BF291" s="55"/>
      <c r="BG291" s="55"/>
      <c r="BH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  <c r="BD293" s="55"/>
      <c r="BE293" s="55"/>
      <c r="BF293" s="55"/>
      <c r="BG293" s="55"/>
      <c r="BH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  <c r="BD294" s="55"/>
      <c r="BE294" s="55"/>
      <c r="BF294" s="55"/>
      <c r="BG294" s="55"/>
      <c r="BH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  <c r="BD295" s="55"/>
      <c r="BE295" s="55"/>
      <c r="BF295" s="55"/>
      <c r="BG295" s="55"/>
      <c r="BH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  <c r="BD296" s="55"/>
      <c r="BE296" s="55"/>
      <c r="BF296" s="55"/>
      <c r="BG296" s="55"/>
      <c r="BH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  <c r="BD297" s="55"/>
      <c r="BE297" s="55"/>
      <c r="BF297" s="55"/>
      <c r="BG297" s="55"/>
      <c r="BH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55"/>
      <c r="BE298" s="55"/>
      <c r="BF298" s="55"/>
      <c r="BG298" s="55"/>
      <c r="BH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  <c r="BD299" s="55"/>
      <c r="BE299" s="55"/>
      <c r="BF299" s="55"/>
      <c r="BG299" s="55"/>
      <c r="BH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  <c r="BD300" s="55"/>
      <c r="BE300" s="55"/>
      <c r="BF300" s="55"/>
      <c r="BG300" s="55"/>
      <c r="BH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  <c r="BD301" s="55"/>
      <c r="BE301" s="55"/>
      <c r="BF301" s="55"/>
      <c r="BG301" s="55"/>
      <c r="BH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  <c r="BD302" s="55"/>
      <c r="BE302" s="55"/>
      <c r="BF302" s="55"/>
      <c r="BG302" s="55"/>
      <c r="BH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  <c r="BD303" s="55"/>
      <c r="BE303" s="55"/>
      <c r="BF303" s="55"/>
      <c r="BG303" s="55"/>
      <c r="BH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  <c r="BD304" s="55"/>
      <c r="BE304" s="55"/>
      <c r="BF304" s="55"/>
      <c r="BG304" s="55"/>
      <c r="BH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  <c r="BD305" s="55"/>
      <c r="BE305" s="55"/>
      <c r="BF305" s="55"/>
      <c r="BG305" s="55"/>
      <c r="BH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  <c r="BH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55"/>
      <c r="BE307" s="55"/>
      <c r="BF307" s="55"/>
      <c r="BG307" s="55"/>
      <c r="BH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  <c r="BG308" s="55"/>
      <c r="BH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  <c r="BD309" s="55"/>
      <c r="BE309" s="55"/>
      <c r="BF309" s="55"/>
      <c r="BG309" s="55"/>
      <c r="BH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55"/>
      <c r="BE310" s="55"/>
      <c r="BF310" s="55"/>
      <c r="BG310" s="55"/>
      <c r="BH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  <c r="BD311" s="55"/>
      <c r="BE311" s="55"/>
      <c r="BF311" s="55"/>
      <c r="BG311" s="55"/>
      <c r="BH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  <c r="BD312" s="55"/>
      <c r="BE312" s="55"/>
      <c r="BF312" s="55"/>
      <c r="BG312" s="55"/>
      <c r="BH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  <c r="BD313" s="55"/>
      <c r="BE313" s="55"/>
      <c r="BF313" s="55"/>
      <c r="BG313" s="55"/>
      <c r="BH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  <c r="BG314" s="55"/>
      <c r="BH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  <c r="BD315" s="55"/>
      <c r="BE315" s="55"/>
      <c r="BF315" s="55"/>
      <c r="BG315" s="55"/>
      <c r="BH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  <c r="BD316" s="55"/>
      <c r="BE316" s="55"/>
      <c r="BF316" s="55"/>
      <c r="BG316" s="55"/>
      <c r="BH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55"/>
      <c r="BE317" s="55"/>
      <c r="BF317" s="55"/>
      <c r="BG317" s="55"/>
      <c r="BH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  <c r="BD318" s="55"/>
      <c r="BE318" s="55"/>
      <c r="BF318" s="55"/>
      <c r="BG318" s="55"/>
      <c r="BH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  <c r="BD319" s="55"/>
      <c r="BE319" s="55"/>
      <c r="BF319" s="55"/>
      <c r="BG319" s="55"/>
      <c r="BH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  <c r="BD320" s="55"/>
      <c r="BE320" s="55"/>
      <c r="BF320" s="55"/>
      <c r="BG320" s="55"/>
      <c r="BH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  <c r="BD321" s="55"/>
      <c r="BE321" s="55"/>
      <c r="BF321" s="55"/>
      <c r="BG321" s="55"/>
      <c r="BH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  <c r="BD322" s="55"/>
      <c r="BE322" s="55"/>
      <c r="BF322" s="55"/>
      <c r="BG322" s="55"/>
      <c r="BH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  <c r="BD323" s="55"/>
      <c r="BE323" s="55"/>
      <c r="BF323" s="55"/>
      <c r="BG323" s="55"/>
      <c r="BH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  <c r="BD324" s="55"/>
      <c r="BE324" s="55"/>
      <c r="BF324" s="55"/>
      <c r="BG324" s="55"/>
      <c r="BH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/>
      <c r="BH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  <c r="BD326" s="55"/>
      <c r="BE326" s="55"/>
      <c r="BF326" s="55"/>
      <c r="BG326" s="55"/>
      <c r="BH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  <c r="BD327" s="55"/>
      <c r="BE327" s="55"/>
      <c r="BF327" s="55"/>
      <c r="BG327" s="55"/>
      <c r="BH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55"/>
      <c r="BE328" s="55"/>
      <c r="BF328" s="55"/>
      <c r="BG328" s="55"/>
      <c r="BH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  <c r="BD329" s="55"/>
      <c r="BE329" s="55"/>
      <c r="BF329" s="55"/>
      <c r="BG329" s="55"/>
      <c r="BH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55"/>
      <c r="BE330" s="55"/>
      <c r="BF330" s="55"/>
      <c r="BG330" s="55"/>
      <c r="BH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  <c r="BD331" s="55"/>
      <c r="BE331" s="55"/>
      <c r="BF331" s="55"/>
      <c r="BG331" s="55"/>
      <c r="BH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  <c r="BD332" s="55"/>
      <c r="BE332" s="55"/>
      <c r="BF332" s="55"/>
      <c r="BG332" s="55"/>
      <c r="BH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  <c r="BD333" s="55"/>
      <c r="BE333" s="55"/>
      <c r="BF333" s="55"/>
      <c r="BG333" s="55"/>
      <c r="BH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  <c r="BG334" s="55"/>
      <c r="BH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  <c r="BD335" s="55"/>
      <c r="BE335" s="55"/>
      <c r="BF335" s="55"/>
      <c r="BG335" s="55"/>
      <c r="BH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  <c r="BD336" s="55"/>
      <c r="BE336" s="55"/>
      <c r="BF336" s="55"/>
      <c r="BG336" s="55"/>
      <c r="BH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  <c r="BD337" s="55"/>
      <c r="BE337" s="55"/>
      <c r="BF337" s="55"/>
      <c r="BG337" s="55"/>
      <c r="BH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  <c r="BD338" s="55"/>
      <c r="BE338" s="55"/>
      <c r="BF338" s="55"/>
      <c r="BG338" s="55"/>
      <c r="BH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  <c r="BD339" s="55"/>
      <c r="BE339" s="55"/>
      <c r="BF339" s="55"/>
      <c r="BG339" s="55"/>
      <c r="BH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  <c r="BD340" s="55"/>
      <c r="BE340" s="55"/>
      <c r="BF340" s="55"/>
      <c r="BG340" s="55"/>
      <c r="BH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  <c r="BD341" s="55"/>
      <c r="BE341" s="55"/>
      <c r="BF341" s="55"/>
      <c r="BG341" s="55"/>
      <c r="BH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  <c r="BD342" s="55"/>
      <c r="BE342" s="55"/>
      <c r="BF342" s="55"/>
      <c r="BG342" s="55"/>
      <c r="BH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  <c r="BD343" s="55"/>
      <c r="BE343" s="55"/>
      <c r="BF343" s="55"/>
      <c r="BG343" s="55"/>
      <c r="BH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  <c r="BD344" s="55"/>
      <c r="BE344" s="55"/>
      <c r="BF344" s="55"/>
      <c r="BG344" s="55"/>
      <c r="BH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  <c r="BD345" s="55"/>
      <c r="BE345" s="55"/>
      <c r="BF345" s="55"/>
      <c r="BG345" s="55"/>
      <c r="BH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  <c r="BD346" s="55"/>
      <c r="BE346" s="55"/>
      <c r="BF346" s="55"/>
      <c r="BG346" s="55"/>
      <c r="BH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  <c r="BD347" s="55"/>
      <c r="BE347" s="55"/>
      <c r="BF347" s="55"/>
      <c r="BG347" s="55"/>
      <c r="BH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  <c r="BD348" s="55"/>
      <c r="BE348" s="55"/>
      <c r="BF348" s="55"/>
      <c r="BG348" s="55"/>
      <c r="BH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  <c r="BG349" s="55"/>
      <c r="BH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  <c r="BD350" s="55"/>
      <c r="BE350" s="55"/>
      <c r="BF350" s="55"/>
      <c r="BG350" s="55"/>
      <c r="BH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  <c r="BD351" s="55"/>
      <c r="BE351" s="55"/>
      <c r="BF351" s="55"/>
      <c r="BG351" s="55"/>
      <c r="BH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  <c r="BD352" s="55"/>
      <c r="BE352" s="55"/>
      <c r="BF352" s="55"/>
      <c r="BG352" s="55"/>
      <c r="BH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  <c r="BD353" s="55"/>
      <c r="BE353" s="55"/>
      <c r="BF353" s="55"/>
      <c r="BG353" s="55"/>
      <c r="BH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  <c r="BD354" s="55"/>
      <c r="BE354" s="55"/>
      <c r="BF354" s="55"/>
      <c r="BG354" s="55"/>
      <c r="BH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/>
      <c r="BF355" s="55"/>
      <c r="BG355" s="55"/>
      <c r="BH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  <c r="BG356" s="55"/>
      <c r="BH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  <c r="BD357" s="55"/>
      <c r="BE357" s="55"/>
      <c r="BF357" s="55"/>
      <c r="BG357" s="55"/>
      <c r="BH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  <c r="BD359" s="55"/>
      <c r="BE359" s="55"/>
      <c r="BF359" s="55"/>
      <c r="BG359" s="55"/>
      <c r="BH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  <c r="BD360" s="55"/>
      <c r="BE360" s="55"/>
      <c r="BF360" s="55"/>
      <c r="BG360" s="55"/>
      <c r="BH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  <c r="BH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  <c r="BG364" s="55"/>
      <c r="BH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  <c r="BH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  <c r="BD367" s="55"/>
      <c r="BE367" s="55"/>
      <c r="BF367" s="55"/>
      <c r="BG367" s="55"/>
      <c r="BH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  <c r="BG368" s="55"/>
      <c r="BH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  <c r="BG369" s="55"/>
      <c r="BH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  <c r="BD370" s="55"/>
      <c r="BE370" s="55"/>
      <c r="BF370" s="55"/>
      <c r="BG370" s="55"/>
      <c r="BH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  <c r="BD371" s="55"/>
      <c r="BE371" s="55"/>
      <c r="BF371" s="55"/>
      <c r="BG371" s="55"/>
      <c r="BH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  <c r="BH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  <c r="BD373" s="55"/>
      <c r="BE373" s="55"/>
      <c r="BF373" s="55"/>
      <c r="BG373" s="55"/>
      <c r="BH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  <c r="BD375" s="55"/>
      <c r="BE375" s="55"/>
      <c r="BF375" s="55"/>
      <c r="BG375" s="55"/>
      <c r="BH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  <c r="BD376" s="55"/>
      <c r="BE376" s="55"/>
      <c r="BF376" s="55"/>
      <c r="BG376" s="55"/>
      <c r="BH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  <c r="BD377" s="55"/>
      <c r="BE377" s="55"/>
      <c r="BF377" s="55"/>
      <c r="BG377" s="55"/>
      <c r="BH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  <c r="BD379" s="55"/>
      <c r="BE379" s="55"/>
      <c r="BF379" s="55"/>
      <c r="BG379" s="55"/>
      <c r="BH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  <c r="BD381" s="55"/>
      <c r="BE381" s="55"/>
      <c r="BF381" s="55"/>
      <c r="BG381" s="55"/>
      <c r="BH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/>
      <c r="BE382" s="55"/>
      <c r="BF382" s="55"/>
      <c r="BG382" s="55"/>
      <c r="BH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/>
      <c r="BE383" s="55"/>
      <c r="BF383" s="55"/>
      <c r="BG383" s="55"/>
      <c r="BH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  <c r="BD384" s="55"/>
      <c r="BE384" s="55"/>
      <c r="BF384" s="55"/>
      <c r="BG384" s="55"/>
      <c r="BH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  <c r="BD385" s="55"/>
      <c r="BE385" s="55"/>
      <c r="BF385" s="55"/>
      <c r="BG385" s="55"/>
      <c r="BH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  <c r="BD386" s="55"/>
      <c r="BE386" s="55"/>
      <c r="BF386" s="55"/>
      <c r="BG386" s="55"/>
      <c r="BH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  <c r="BD387" s="55"/>
      <c r="BE387" s="55"/>
      <c r="BF387" s="55"/>
      <c r="BG387" s="55"/>
      <c r="BH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  <c r="BD388" s="55"/>
      <c r="BE388" s="55"/>
      <c r="BF388" s="55"/>
      <c r="BG388" s="55"/>
      <c r="BH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  <c r="BG389" s="55"/>
      <c r="BH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  <c r="BD390" s="55"/>
      <c r="BE390" s="55"/>
      <c r="BF390" s="55"/>
      <c r="BG390" s="55"/>
      <c r="BH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  <c r="BD391" s="55"/>
      <c r="BE391" s="55"/>
      <c r="BF391" s="55"/>
      <c r="BG391" s="55"/>
      <c r="BH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  <c r="BD392" s="55"/>
      <c r="BE392" s="55"/>
      <c r="BF392" s="55"/>
      <c r="BG392" s="55"/>
      <c r="BH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  <c r="BD393" s="55"/>
      <c r="BE393" s="55"/>
      <c r="BF393" s="55"/>
      <c r="BG393" s="55"/>
      <c r="BH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  <c r="BD394" s="55"/>
      <c r="BE394" s="55"/>
      <c r="BF394" s="55"/>
      <c r="BG394" s="55"/>
      <c r="BH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  <c r="BD395" s="55"/>
      <c r="BE395" s="55"/>
      <c r="BF395" s="55"/>
      <c r="BG395" s="55"/>
      <c r="BH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  <c r="BD396" s="55"/>
      <c r="BE396" s="55"/>
      <c r="BF396" s="55"/>
      <c r="BG396" s="55"/>
      <c r="BH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  <c r="BD397" s="55"/>
      <c r="BE397" s="55"/>
      <c r="BF397" s="55"/>
      <c r="BG397" s="55"/>
      <c r="BH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  <c r="BD398" s="55"/>
      <c r="BE398" s="55"/>
      <c r="BF398" s="55"/>
      <c r="BG398" s="55"/>
      <c r="BH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  <c r="BD399" s="55"/>
      <c r="BE399" s="55"/>
      <c r="BF399" s="55"/>
      <c r="BG399" s="55"/>
      <c r="BH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  <c r="BD400" s="55"/>
      <c r="BE400" s="55"/>
      <c r="BF400" s="55"/>
      <c r="BG400" s="55"/>
      <c r="BH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  <c r="BD401" s="55"/>
      <c r="BE401" s="55"/>
      <c r="BF401" s="55"/>
      <c r="BG401" s="55"/>
      <c r="BH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  <c r="BD402" s="55"/>
      <c r="BE402" s="55"/>
      <c r="BF402" s="55"/>
      <c r="BG402" s="55"/>
      <c r="BH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  <c r="BD403" s="55"/>
      <c r="BE403" s="55"/>
      <c r="BF403" s="55"/>
      <c r="BG403" s="55"/>
      <c r="BH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  <c r="BD404" s="55"/>
      <c r="BE404" s="55"/>
      <c r="BF404" s="55"/>
      <c r="BG404" s="55"/>
      <c r="BH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  <c r="BD405" s="55"/>
      <c r="BE405" s="55"/>
      <c r="BF405" s="55"/>
      <c r="BG405" s="55"/>
      <c r="BH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  <c r="BD406" s="55"/>
      <c r="BE406" s="55"/>
      <c r="BF406" s="55"/>
      <c r="BG406" s="55"/>
      <c r="BH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  <c r="BD407" s="55"/>
      <c r="BE407" s="55"/>
      <c r="BF407" s="55"/>
      <c r="BG407" s="55"/>
      <c r="BH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  <c r="BD408" s="55"/>
      <c r="BE408" s="55"/>
      <c r="BF408" s="55"/>
      <c r="BG408" s="55"/>
      <c r="BH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  <c r="BD409" s="55"/>
      <c r="BE409" s="55"/>
      <c r="BF409" s="55"/>
      <c r="BG409" s="55"/>
      <c r="BH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  <c r="BD410" s="55"/>
      <c r="BE410" s="55"/>
      <c r="BF410" s="55"/>
      <c r="BG410" s="55"/>
      <c r="BH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  <c r="BD411" s="55"/>
      <c r="BE411" s="55"/>
      <c r="BF411" s="55"/>
      <c r="BG411" s="55"/>
      <c r="BH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  <c r="BD412" s="55"/>
      <c r="BE412" s="55"/>
      <c r="BF412" s="55"/>
      <c r="BG412" s="55"/>
      <c r="BH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  <c r="BG413" s="55"/>
      <c r="BH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  <c r="BH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/>
      <c r="BH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  <c r="BD416" s="55"/>
      <c r="BE416" s="55"/>
      <c r="BF416" s="55"/>
      <c r="BG416" s="55"/>
      <c r="BH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  <c r="BD417" s="55"/>
      <c r="BE417" s="55"/>
      <c r="BF417" s="55"/>
      <c r="BG417" s="55"/>
      <c r="BH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  <c r="BD418" s="55"/>
      <c r="BE418" s="55"/>
      <c r="BF418" s="55"/>
      <c r="BG418" s="55"/>
      <c r="BH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  <c r="BD419" s="55"/>
      <c r="BE419" s="55"/>
      <c r="BF419" s="55"/>
      <c r="BG419" s="55"/>
      <c r="BH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  <c r="BD420" s="55"/>
      <c r="BE420" s="55"/>
      <c r="BF420" s="55"/>
      <c r="BG420" s="55"/>
      <c r="BH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  <c r="BD421" s="55"/>
      <c r="BE421" s="55"/>
      <c r="BF421" s="55"/>
      <c r="BG421" s="55"/>
      <c r="BH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  <c r="BD422" s="55"/>
      <c r="BE422" s="55"/>
      <c r="BF422" s="55"/>
      <c r="BG422" s="55"/>
      <c r="BH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  <c r="BD423" s="55"/>
      <c r="BE423" s="55"/>
      <c r="BF423" s="55"/>
      <c r="BG423" s="55"/>
      <c r="BH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  <c r="BD424" s="55"/>
      <c r="BE424" s="55"/>
      <c r="BF424" s="55"/>
      <c r="BG424" s="55"/>
      <c r="BH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  <c r="BD425" s="55"/>
      <c r="BE425" s="55"/>
      <c r="BF425" s="55"/>
      <c r="BG425" s="55"/>
      <c r="BH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  <c r="BD426" s="55"/>
      <c r="BE426" s="55"/>
      <c r="BF426" s="55"/>
      <c r="BG426" s="55"/>
      <c r="BH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  <c r="BD427" s="55"/>
      <c r="BE427" s="55"/>
      <c r="BF427" s="55"/>
      <c r="BG427" s="55"/>
      <c r="BH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  <c r="BH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  <c r="BG430" s="55"/>
      <c r="BH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  <c r="BD431" s="55"/>
      <c r="BE431" s="55"/>
      <c r="BF431" s="55"/>
      <c r="BG431" s="55"/>
      <c r="BH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  <c r="BD432" s="55"/>
      <c r="BE432" s="55"/>
      <c r="BF432" s="55"/>
      <c r="BG432" s="55"/>
      <c r="BH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  <c r="BH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  <c r="BD434" s="55"/>
      <c r="BE434" s="55"/>
      <c r="BF434" s="55"/>
      <c r="BG434" s="55"/>
      <c r="BH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  <c r="BG436" s="55"/>
      <c r="BH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  <c r="BD437" s="55"/>
      <c r="BE437" s="55"/>
      <c r="BF437" s="55"/>
      <c r="BG437" s="55"/>
      <c r="BH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  <c r="BH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  <c r="BG439" s="55"/>
      <c r="BH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  <c r="BD440" s="55"/>
      <c r="BE440" s="55"/>
      <c r="BF440" s="55"/>
      <c r="BG440" s="55"/>
      <c r="BH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  <c r="BD441" s="55"/>
      <c r="BE441" s="55"/>
      <c r="BF441" s="55"/>
      <c r="BG441" s="55"/>
      <c r="BH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  <c r="BD442" s="55"/>
      <c r="BE442" s="55"/>
      <c r="BF442" s="55"/>
      <c r="BG442" s="55"/>
      <c r="BH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  <c r="BD443" s="55"/>
      <c r="BE443" s="55"/>
      <c r="BF443" s="55"/>
      <c r="BG443" s="55"/>
      <c r="BH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  <c r="BD444" s="55"/>
      <c r="BE444" s="55"/>
      <c r="BF444" s="55"/>
      <c r="BG444" s="55"/>
      <c r="BH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  <c r="BH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  <c r="BD446" s="55"/>
      <c r="BE446" s="55"/>
      <c r="BF446" s="55"/>
      <c r="BG446" s="55"/>
      <c r="BH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  <c r="BD447" s="55"/>
      <c r="BE447" s="55"/>
      <c r="BF447" s="55"/>
      <c r="BG447" s="55"/>
      <c r="BH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  <c r="BD448" s="55"/>
      <c r="BE448" s="55"/>
      <c r="BF448" s="55"/>
      <c r="BG448" s="55"/>
      <c r="BH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  <c r="BD449" s="55"/>
      <c r="BE449" s="55"/>
      <c r="BF449" s="55"/>
      <c r="BG449" s="55"/>
      <c r="BH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  <c r="BD450" s="55"/>
      <c r="BE450" s="55"/>
      <c r="BF450" s="55"/>
      <c r="BG450" s="55"/>
      <c r="BH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  <c r="BD451" s="55"/>
      <c r="BE451" s="55"/>
      <c r="BF451" s="55"/>
      <c r="BG451" s="55"/>
      <c r="BH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  <c r="BD452" s="55"/>
      <c r="BE452" s="55"/>
      <c r="BF452" s="55"/>
      <c r="BG452" s="55"/>
      <c r="BH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  <c r="BG453" s="55"/>
      <c r="BH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  <c r="BD454" s="55"/>
      <c r="BE454" s="55"/>
      <c r="BF454" s="55"/>
      <c r="BG454" s="55"/>
      <c r="BH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  <c r="BD455" s="55"/>
      <c r="BE455" s="55"/>
      <c r="BF455" s="55"/>
      <c r="BG455" s="55"/>
      <c r="BH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  <c r="BD456" s="55"/>
      <c r="BE456" s="55"/>
      <c r="BF456" s="55"/>
      <c r="BG456" s="55"/>
      <c r="BH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  <c r="BD457" s="55"/>
      <c r="BE457" s="55"/>
      <c r="BF457" s="55"/>
      <c r="BG457" s="55"/>
      <c r="BH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  <c r="BD458" s="55"/>
      <c r="BE458" s="55"/>
      <c r="BF458" s="55"/>
      <c r="BG458" s="55"/>
      <c r="BH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  <c r="BD459" s="55"/>
      <c r="BE459" s="55"/>
      <c r="BF459" s="55"/>
      <c r="BG459" s="55"/>
      <c r="BH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  <c r="BD460" s="55"/>
      <c r="BE460" s="55"/>
      <c r="BF460" s="55"/>
      <c r="BG460" s="55"/>
      <c r="BH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  <c r="BD461" s="55"/>
      <c r="BE461" s="55"/>
      <c r="BF461" s="55"/>
      <c r="BG461" s="55"/>
      <c r="BH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  <c r="BD462" s="55"/>
      <c r="BE462" s="55"/>
      <c r="BF462" s="55"/>
      <c r="BG462" s="55"/>
      <c r="BH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  <c r="BD463" s="55"/>
      <c r="BE463" s="55"/>
      <c r="BF463" s="55"/>
      <c r="BG463" s="55"/>
      <c r="BH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  <c r="BD464" s="55"/>
      <c r="BE464" s="55"/>
      <c r="BF464" s="55"/>
      <c r="BG464" s="55"/>
      <c r="BH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  <c r="BD465" s="55"/>
      <c r="BE465" s="55"/>
      <c r="BF465" s="55"/>
      <c r="BG465" s="55"/>
      <c r="BH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  <c r="BD466" s="55"/>
      <c r="BE466" s="55"/>
      <c r="BF466" s="55"/>
      <c r="BG466" s="55"/>
      <c r="BH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  <c r="BD467" s="55"/>
      <c r="BE467" s="55"/>
      <c r="BF467" s="55"/>
      <c r="BG467" s="55"/>
      <c r="BH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  <c r="BD468" s="55"/>
      <c r="BE468" s="55"/>
      <c r="BF468" s="55"/>
      <c r="BG468" s="55"/>
      <c r="BH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  <c r="BD469" s="55"/>
      <c r="BE469" s="55"/>
      <c r="BF469" s="55"/>
      <c r="BG469" s="55"/>
      <c r="BH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  <c r="BD470" s="55"/>
      <c r="BE470" s="55"/>
      <c r="BF470" s="55"/>
      <c r="BG470" s="55"/>
      <c r="BH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  <c r="BD471" s="55"/>
      <c r="BE471" s="55"/>
      <c r="BF471" s="55"/>
      <c r="BG471" s="55"/>
      <c r="BH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  <c r="BD472" s="55"/>
      <c r="BE472" s="55"/>
      <c r="BF472" s="55"/>
      <c r="BG472" s="55"/>
      <c r="BH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  <c r="BD473" s="55"/>
      <c r="BE473" s="55"/>
      <c r="BF473" s="55"/>
      <c r="BG473" s="55"/>
      <c r="BH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  <c r="BD474" s="55"/>
      <c r="BE474" s="55"/>
      <c r="BF474" s="55"/>
      <c r="BG474" s="55"/>
      <c r="BH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  <c r="BD475" s="55"/>
      <c r="BE475" s="55"/>
      <c r="BF475" s="55"/>
      <c r="BG475" s="55"/>
      <c r="BH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  <c r="BD476" s="55"/>
      <c r="BE476" s="55"/>
      <c r="BF476" s="55"/>
      <c r="BG476" s="55"/>
      <c r="BH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  <c r="BD477" s="55"/>
      <c r="BE477" s="55"/>
      <c r="BF477" s="55"/>
      <c r="BG477" s="55"/>
      <c r="BH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  <c r="BD478" s="55"/>
      <c r="BE478" s="55"/>
      <c r="BF478" s="55"/>
      <c r="BG478" s="55"/>
      <c r="BH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  <c r="BD479" s="55"/>
      <c r="BE479" s="55"/>
      <c r="BF479" s="55"/>
      <c r="BG479" s="55"/>
      <c r="BH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  <c r="BG480" s="55"/>
      <c r="BH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  <c r="BH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  <c r="BD482" s="55"/>
      <c r="BE482" s="55"/>
      <c r="BF482" s="55"/>
      <c r="BG482" s="55"/>
      <c r="BH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  <c r="BD483" s="55"/>
      <c r="BE483" s="55"/>
      <c r="BF483" s="55"/>
      <c r="BG483" s="55"/>
      <c r="BH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  <c r="BD484" s="55"/>
      <c r="BE484" s="55"/>
      <c r="BF484" s="55"/>
      <c r="BG484" s="55"/>
      <c r="BH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  <c r="BD485" s="55"/>
      <c r="BE485" s="55"/>
      <c r="BF485" s="55"/>
      <c r="BG485" s="55"/>
      <c r="BH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  <c r="BD486" s="55"/>
      <c r="BE486" s="55"/>
      <c r="BF486" s="55"/>
      <c r="BG486" s="55"/>
      <c r="BH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  <c r="BD487" s="55"/>
      <c r="BE487" s="55"/>
      <c r="BF487" s="55"/>
      <c r="BG487" s="55"/>
      <c r="BH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  <c r="BD488" s="55"/>
      <c r="BE488" s="55"/>
      <c r="BF488" s="55"/>
      <c r="BG488" s="55"/>
      <c r="BH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  <c r="BD489" s="55"/>
      <c r="BE489" s="55"/>
      <c r="BF489" s="55"/>
      <c r="BG489" s="55"/>
      <c r="BH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  <c r="BD490" s="55"/>
      <c r="BE490" s="55"/>
      <c r="BF490" s="55"/>
      <c r="BG490" s="55"/>
      <c r="BH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  <c r="BD491" s="55"/>
      <c r="BE491" s="55"/>
      <c r="BF491" s="55"/>
      <c r="BG491" s="55"/>
      <c r="BH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  <c r="BD492" s="55"/>
      <c r="BE492" s="55"/>
      <c r="BF492" s="55"/>
      <c r="BG492" s="55"/>
      <c r="BH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  <c r="BD493" s="55"/>
      <c r="BE493" s="55"/>
      <c r="BF493" s="55"/>
      <c r="BG493" s="55"/>
      <c r="BH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  <c r="BD494" s="55"/>
      <c r="BE494" s="55"/>
      <c r="BF494" s="55"/>
      <c r="BG494" s="55"/>
      <c r="BH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  <c r="BD495" s="55"/>
      <c r="BE495" s="55"/>
      <c r="BF495" s="55"/>
      <c r="BG495" s="55"/>
      <c r="BH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  <c r="BD496" s="55"/>
      <c r="BE496" s="55"/>
      <c r="BF496" s="55"/>
      <c r="BG496" s="55"/>
      <c r="BH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  <c r="BD497" s="55"/>
      <c r="BE497" s="55"/>
      <c r="BF497" s="55"/>
      <c r="BG497" s="55"/>
      <c r="BH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  <c r="BD498" s="55"/>
      <c r="BE498" s="55"/>
      <c r="BF498" s="55"/>
      <c r="BG498" s="55"/>
      <c r="BH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  <c r="BD499" s="55"/>
      <c r="BE499" s="55"/>
      <c r="BF499" s="55"/>
      <c r="BG499" s="55"/>
      <c r="BH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  <c r="BD500" s="55"/>
      <c r="BE500" s="55"/>
      <c r="BF500" s="55"/>
      <c r="BG500" s="55"/>
      <c r="BH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  <c r="BD501" s="55"/>
      <c r="BE501" s="55"/>
      <c r="BF501" s="55"/>
      <c r="BG501" s="55"/>
      <c r="BH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  <c r="BD502" s="55"/>
      <c r="BE502" s="55"/>
      <c r="BF502" s="55"/>
      <c r="BG502" s="55"/>
      <c r="BH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  <c r="BD503" s="55"/>
      <c r="BE503" s="55"/>
      <c r="BF503" s="55"/>
      <c r="BG503" s="55"/>
      <c r="BH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  <c r="BD504" s="55"/>
      <c r="BE504" s="55"/>
      <c r="BF504" s="55"/>
      <c r="BG504" s="55"/>
      <c r="BH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  <c r="BD505" s="55"/>
      <c r="BE505" s="55"/>
      <c r="BF505" s="55"/>
      <c r="BG505" s="55"/>
      <c r="BH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  <c r="BD506" s="55"/>
      <c r="BE506" s="55"/>
      <c r="BF506" s="55"/>
      <c r="BG506" s="55"/>
      <c r="BH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  <c r="BD507" s="55"/>
      <c r="BE507" s="55"/>
      <c r="BF507" s="55"/>
      <c r="BG507" s="55"/>
      <c r="BH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  <c r="BD508" s="55"/>
      <c r="BE508" s="55"/>
      <c r="BF508" s="55"/>
      <c r="BG508" s="55"/>
      <c r="BH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  <c r="BD509" s="55"/>
      <c r="BE509" s="55"/>
      <c r="BF509" s="55"/>
      <c r="BG509" s="55"/>
      <c r="BH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  <c r="BD510" s="55"/>
      <c r="BE510" s="55"/>
      <c r="BF510" s="55"/>
      <c r="BG510" s="55"/>
      <c r="BH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  <c r="BD511" s="55"/>
      <c r="BE511" s="55"/>
      <c r="BF511" s="55"/>
      <c r="BG511" s="55"/>
      <c r="BH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  <c r="BD512" s="55"/>
      <c r="BE512" s="55"/>
      <c r="BF512" s="55"/>
      <c r="BG512" s="55"/>
      <c r="BH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  <c r="BD513" s="55"/>
      <c r="BE513" s="55"/>
      <c r="BF513" s="55"/>
      <c r="BG513" s="55"/>
      <c r="BH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  <c r="BD514" s="55"/>
      <c r="BE514" s="55"/>
      <c r="BF514" s="55"/>
      <c r="BG514" s="55"/>
      <c r="BH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  <c r="BD515" s="55"/>
      <c r="BE515" s="55"/>
      <c r="BF515" s="55"/>
      <c r="BG515" s="55"/>
      <c r="BH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  <c r="BD516" s="55"/>
      <c r="BE516" s="55"/>
      <c r="BF516" s="55"/>
      <c r="BG516" s="55"/>
      <c r="BH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  <c r="BD517" s="55"/>
      <c r="BE517" s="55"/>
      <c r="BF517" s="55"/>
      <c r="BG517" s="55"/>
      <c r="BH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  <c r="BD518" s="55"/>
      <c r="BE518" s="55"/>
      <c r="BF518" s="55"/>
      <c r="BG518" s="55"/>
      <c r="BH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  <c r="BD519" s="55"/>
      <c r="BE519" s="55"/>
      <c r="BF519" s="55"/>
      <c r="BG519" s="55"/>
      <c r="BH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  <c r="BD520" s="55"/>
      <c r="BE520" s="55"/>
      <c r="BF520" s="55"/>
      <c r="BG520" s="55"/>
      <c r="BH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  <c r="BD521" s="55"/>
      <c r="BE521" s="55"/>
      <c r="BF521" s="55"/>
      <c r="BG521" s="55"/>
      <c r="BH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  <c r="BD522" s="55"/>
      <c r="BE522" s="55"/>
      <c r="BF522" s="55"/>
      <c r="BG522" s="55"/>
      <c r="BH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  <c r="BD523" s="55"/>
      <c r="BE523" s="55"/>
      <c r="BF523" s="55"/>
      <c r="BG523" s="55"/>
      <c r="BH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  <c r="BD524" s="55"/>
      <c r="BE524" s="55"/>
      <c r="BF524" s="55"/>
      <c r="BG524" s="55"/>
      <c r="BH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  <c r="BD525" s="55"/>
      <c r="BE525" s="55"/>
      <c r="BF525" s="55"/>
      <c r="BG525" s="55"/>
      <c r="BH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  <c r="BD526" s="55"/>
      <c r="BE526" s="55"/>
      <c r="BF526" s="55"/>
      <c r="BG526" s="55"/>
      <c r="BH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  <c r="BD527" s="55"/>
      <c r="BE527" s="55"/>
      <c r="BF527" s="55"/>
      <c r="BG527" s="55"/>
      <c r="BH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  <c r="BD528" s="55"/>
      <c r="BE528" s="55"/>
      <c r="BF528" s="55"/>
      <c r="BG528" s="55"/>
      <c r="BH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  <c r="BD529" s="55"/>
      <c r="BE529" s="55"/>
      <c r="BF529" s="55"/>
      <c r="BG529" s="55"/>
      <c r="BH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  <c r="BD530" s="55"/>
      <c r="BE530" s="55"/>
      <c r="BF530" s="55"/>
      <c r="BG530" s="55"/>
      <c r="BH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  <c r="BD531" s="55"/>
      <c r="BE531" s="55"/>
      <c r="BF531" s="55"/>
      <c r="BG531" s="55"/>
      <c r="BH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  <c r="BD532" s="55"/>
      <c r="BE532" s="55"/>
      <c r="BF532" s="55"/>
      <c r="BG532" s="55"/>
      <c r="BH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  <c r="BD533" s="55"/>
      <c r="BE533" s="55"/>
      <c r="BF533" s="55"/>
      <c r="BG533" s="55"/>
      <c r="BH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  <c r="BD534" s="55"/>
      <c r="BE534" s="55"/>
      <c r="BF534" s="55"/>
      <c r="BG534" s="55"/>
      <c r="BH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  <c r="BD535" s="55"/>
      <c r="BE535" s="55"/>
      <c r="BF535" s="55"/>
      <c r="BG535" s="55"/>
      <c r="BH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  <c r="BD536" s="55"/>
      <c r="BE536" s="55"/>
      <c r="BF536" s="55"/>
      <c r="BG536" s="55"/>
      <c r="BH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  <c r="BD537" s="55"/>
      <c r="BE537" s="55"/>
      <c r="BF537" s="55"/>
      <c r="BG537" s="55"/>
      <c r="BH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  <c r="BD538" s="55"/>
      <c r="BE538" s="55"/>
      <c r="BF538" s="55"/>
      <c r="BG538" s="55"/>
      <c r="BH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  <c r="BD539" s="55"/>
      <c r="BE539" s="55"/>
      <c r="BF539" s="55"/>
      <c r="BG539" s="55"/>
      <c r="BH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  <c r="BD540" s="55"/>
      <c r="BE540" s="55"/>
      <c r="BF540" s="55"/>
      <c r="BG540" s="55"/>
      <c r="BH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  <c r="BD541" s="55"/>
      <c r="BE541" s="55"/>
      <c r="BF541" s="55"/>
      <c r="BG541" s="55"/>
      <c r="BH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  <c r="BD542" s="55"/>
      <c r="BE542" s="55"/>
      <c r="BF542" s="55"/>
      <c r="BG542" s="55"/>
      <c r="BH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  <c r="BD543" s="55"/>
      <c r="BE543" s="55"/>
      <c r="BF543" s="55"/>
      <c r="BG543" s="55"/>
      <c r="BH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  <c r="BD544" s="55"/>
      <c r="BE544" s="55"/>
      <c r="BF544" s="55"/>
      <c r="BG544" s="55"/>
      <c r="BH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  <c r="BD545" s="55"/>
      <c r="BE545" s="55"/>
      <c r="BF545" s="55"/>
      <c r="BG545" s="55"/>
      <c r="BH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  <c r="BD546" s="55"/>
      <c r="BE546" s="55"/>
      <c r="BF546" s="55"/>
      <c r="BG546" s="55"/>
      <c r="BH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  <c r="BD547" s="55"/>
      <c r="BE547" s="55"/>
      <c r="BF547" s="55"/>
      <c r="BG547" s="55"/>
      <c r="BH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  <c r="BD548" s="55"/>
      <c r="BE548" s="55"/>
      <c r="BF548" s="55"/>
      <c r="BG548" s="55"/>
      <c r="BH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  <c r="BD549" s="55"/>
      <c r="BE549" s="55"/>
      <c r="BF549" s="55"/>
      <c r="BG549" s="55"/>
      <c r="BH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  <c r="BD550" s="55"/>
      <c r="BE550" s="55"/>
      <c r="BF550" s="55"/>
      <c r="BG550" s="55"/>
      <c r="BH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  <c r="BD551" s="55"/>
      <c r="BE551" s="55"/>
      <c r="BF551" s="55"/>
      <c r="BG551" s="55"/>
      <c r="BH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  <c r="BD552" s="55"/>
      <c r="BE552" s="55"/>
      <c r="BF552" s="55"/>
      <c r="BG552" s="55"/>
      <c r="BH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  <c r="BD553" s="55"/>
      <c r="BE553" s="55"/>
      <c r="BF553" s="55"/>
      <c r="BG553" s="55"/>
      <c r="BH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  <c r="BD554" s="55"/>
      <c r="BE554" s="55"/>
      <c r="BF554" s="55"/>
      <c r="BG554" s="55"/>
      <c r="BH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  <c r="BD555" s="55"/>
      <c r="BE555" s="55"/>
      <c r="BF555" s="55"/>
      <c r="BG555" s="55"/>
      <c r="BH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  <c r="BD556" s="55"/>
      <c r="BE556" s="55"/>
      <c r="BF556" s="55"/>
      <c r="BG556" s="55"/>
      <c r="BH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  <c r="BD557" s="55"/>
      <c r="BE557" s="55"/>
      <c r="BF557" s="55"/>
      <c r="BG557" s="55"/>
      <c r="BH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  <c r="BD558" s="55"/>
      <c r="BE558" s="55"/>
      <c r="BF558" s="55"/>
      <c r="BG558" s="55"/>
      <c r="BH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  <c r="BD559" s="55"/>
      <c r="BE559" s="55"/>
      <c r="BF559" s="55"/>
      <c r="BG559" s="55"/>
      <c r="BH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  <c r="BD560" s="55"/>
      <c r="BE560" s="55"/>
      <c r="BF560" s="55"/>
      <c r="BG560" s="55"/>
      <c r="BH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  <c r="BD561" s="55"/>
      <c r="BE561" s="55"/>
      <c r="BF561" s="55"/>
      <c r="BG561" s="55"/>
      <c r="BH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  <c r="BD562" s="55"/>
      <c r="BE562" s="55"/>
      <c r="BF562" s="55"/>
      <c r="BG562" s="55"/>
      <c r="BH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  <c r="BD563" s="55"/>
      <c r="BE563" s="55"/>
      <c r="BF563" s="55"/>
      <c r="BG563" s="55"/>
      <c r="BH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  <c r="BD564" s="55"/>
      <c r="BE564" s="55"/>
      <c r="BF564" s="55"/>
      <c r="BG564" s="55"/>
      <c r="BH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  <c r="BD565" s="55"/>
      <c r="BE565" s="55"/>
      <c r="BF565" s="55"/>
      <c r="BG565" s="55"/>
      <c r="BH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  <c r="BD566" s="55"/>
      <c r="BE566" s="55"/>
      <c r="BF566" s="55"/>
      <c r="BG566" s="55"/>
      <c r="BH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  <c r="BD567" s="55"/>
      <c r="BE567" s="55"/>
      <c r="BF567" s="55"/>
      <c r="BG567" s="55"/>
      <c r="BH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  <c r="BD568" s="55"/>
      <c r="BE568" s="55"/>
      <c r="BF568" s="55"/>
      <c r="BG568" s="55"/>
      <c r="BH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  <c r="BD569" s="55"/>
      <c r="BE569" s="55"/>
      <c r="BF569" s="55"/>
      <c r="BG569" s="55"/>
      <c r="BH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  <c r="BD570" s="55"/>
      <c r="BE570" s="55"/>
      <c r="BF570" s="55"/>
      <c r="BG570" s="55"/>
      <c r="BH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  <c r="BD573" s="55"/>
      <c r="BE573" s="55"/>
      <c r="BF573" s="55"/>
      <c r="BG573" s="55"/>
      <c r="BH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  <c r="BD574" s="55"/>
      <c r="BE574" s="55"/>
      <c r="BF574" s="55"/>
      <c r="BG574" s="55"/>
      <c r="BH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  <c r="BD575" s="55"/>
      <c r="BE575" s="55"/>
      <c r="BF575" s="55"/>
      <c r="BG575" s="55"/>
      <c r="BH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  <c r="BD576" s="55"/>
      <c r="BE576" s="55"/>
      <c r="BF576" s="55"/>
      <c r="BG576" s="55"/>
      <c r="BH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  <c r="BD577" s="55"/>
      <c r="BE577" s="55"/>
      <c r="BF577" s="55"/>
      <c r="BG577" s="55"/>
      <c r="BH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  <c r="BD578" s="55"/>
      <c r="BE578" s="55"/>
      <c r="BF578" s="55"/>
      <c r="BG578" s="55"/>
      <c r="BH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  <c r="BD579" s="55"/>
      <c r="BE579" s="55"/>
      <c r="BF579" s="55"/>
      <c r="BG579" s="55"/>
      <c r="BH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  <c r="BD580" s="55"/>
      <c r="BE580" s="55"/>
      <c r="BF580" s="55"/>
      <c r="BG580" s="55"/>
      <c r="BH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  <c r="BD581" s="55"/>
      <c r="BE581" s="55"/>
      <c r="BF581" s="55"/>
      <c r="BG581" s="55"/>
      <c r="BH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  <c r="BD582" s="55"/>
      <c r="BE582" s="55"/>
      <c r="BF582" s="55"/>
      <c r="BG582" s="55"/>
      <c r="BH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  <c r="BD583" s="55"/>
      <c r="BE583" s="55"/>
      <c r="BF583" s="55"/>
      <c r="BG583" s="55"/>
      <c r="BH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  <c r="BD584" s="55"/>
      <c r="BE584" s="55"/>
      <c r="BF584" s="55"/>
      <c r="BG584" s="55"/>
      <c r="BH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  <c r="BD585" s="55"/>
      <c r="BE585" s="55"/>
      <c r="BF585" s="55"/>
      <c r="BG585" s="55"/>
      <c r="BH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  <c r="BD586" s="55"/>
      <c r="BE586" s="55"/>
      <c r="BF586" s="55"/>
      <c r="BG586" s="55"/>
      <c r="BH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  <c r="BD587" s="55"/>
      <c r="BE587" s="55"/>
      <c r="BF587" s="55"/>
      <c r="BG587" s="55"/>
      <c r="BH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  <c r="BD588" s="55"/>
      <c r="BE588" s="55"/>
      <c r="BF588" s="55"/>
      <c r="BG588" s="55"/>
      <c r="BH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  <c r="BD589" s="55"/>
      <c r="BE589" s="55"/>
      <c r="BF589" s="55"/>
      <c r="BG589" s="55"/>
      <c r="BH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  <c r="BD590" s="55"/>
      <c r="BE590" s="55"/>
      <c r="BF590" s="55"/>
      <c r="BG590" s="55"/>
      <c r="BH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  <c r="BD591" s="55"/>
      <c r="BE591" s="55"/>
      <c r="BF591" s="55"/>
      <c r="BG591" s="55"/>
      <c r="BH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  <c r="BD592" s="55"/>
      <c r="BE592" s="55"/>
      <c r="BF592" s="55"/>
      <c r="BG592" s="55"/>
      <c r="BH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  <c r="BD593" s="55"/>
      <c r="BE593" s="55"/>
      <c r="BF593" s="55"/>
      <c r="BG593" s="55"/>
      <c r="BH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  <c r="BD594" s="55"/>
      <c r="BE594" s="55"/>
      <c r="BF594" s="55"/>
      <c r="BG594" s="55"/>
      <c r="BH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  <c r="BD595" s="55"/>
      <c r="BE595" s="55"/>
      <c r="BF595" s="55"/>
      <c r="BG595" s="55"/>
      <c r="BH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  <c r="BD596" s="55"/>
      <c r="BE596" s="55"/>
      <c r="BF596" s="55"/>
      <c r="BG596" s="55"/>
      <c r="BH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  <c r="BD597" s="55"/>
      <c r="BE597" s="55"/>
      <c r="BF597" s="55"/>
      <c r="BG597" s="55"/>
      <c r="BH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  <c r="BD598" s="55"/>
      <c r="BE598" s="55"/>
      <c r="BF598" s="55"/>
      <c r="BG598" s="55"/>
      <c r="BH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  <c r="BD599" s="55"/>
      <c r="BE599" s="55"/>
      <c r="BF599" s="55"/>
      <c r="BG599" s="55"/>
      <c r="BH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  <c r="BD600" s="55"/>
      <c r="BE600" s="55"/>
      <c r="BF600" s="55"/>
      <c r="BG600" s="55"/>
      <c r="BH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  <c r="BD601" s="55"/>
      <c r="BE601" s="55"/>
      <c r="BF601" s="55"/>
      <c r="BG601" s="55"/>
      <c r="BH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  <c r="BD602" s="55"/>
      <c r="BE602" s="55"/>
      <c r="BF602" s="55"/>
      <c r="BG602" s="55"/>
      <c r="BH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  <c r="BH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  <c r="BD604" s="55"/>
      <c r="BE604" s="55"/>
      <c r="BF604" s="55"/>
      <c r="BG604" s="55"/>
      <c r="BH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  <c r="BD605" s="55"/>
      <c r="BE605" s="55"/>
      <c r="BF605" s="55"/>
      <c r="BG605" s="55"/>
      <c r="BH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/>
      <c r="BE606" s="55"/>
      <c r="BF606" s="55"/>
      <c r="BG606" s="55"/>
      <c r="BH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  <c r="BD607" s="55"/>
      <c r="BE607" s="55"/>
      <c r="BF607" s="55"/>
      <c r="BG607" s="55"/>
      <c r="BH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  <c r="BD608" s="55"/>
      <c r="BE608" s="55"/>
      <c r="BF608" s="55"/>
      <c r="BG608" s="55"/>
      <c r="BH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  <c r="BD609" s="55"/>
      <c r="BE609" s="55"/>
      <c r="BF609" s="55"/>
      <c r="BG609" s="55"/>
      <c r="BH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  <c r="BD610" s="55"/>
      <c r="BE610" s="55"/>
      <c r="BF610" s="55"/>
      <c r="BG610" s="55"/>
      <c r="BH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  <c r="BD611" s="55"/>
      <c r="BE611" s="55"/>
      <c r="BF611" s="55"/>
      <c r="BG611" s="55"/>
      <c r="BH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  <c r="BD612" s="55"/>
      <c r="BE612" s="55"/>
      <c r="BF612" s="55"/>
      <c r="BG612" s="55"/>
      <c r="BH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  <c r="BD613" s="55"/>
      <c r="BE613" s="55"/>
      <c r="BF613" s="55"/>
      <c r="BG613" s="55"/>
      <c r="BH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  <c r="BD614" s="55"/>
      <c r="BE614" s="55"/>
      <c r="BF614" s="55"/>
      <c r="BG614" s="55"/>
      <c r="BH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  <c r="BD615" s="55"/>
      <c r="BE615" s="55"/>
      <c r="BF615" s="55"/>
      <c r="BG615" s="55"/>
      <c r="BH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  <c r="BD616" s="55"/>
      <c r="BE616" s="55"/>
      <c r="BF616" s="55"/>
      <c r="BG616" s="55"/>
      <c r="BH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  <c r="BD617" s="55"/>
      <c r="BE617" s="55"/>
      <c r="BF617" s="55"/>
      <c r="BG617" s="55"/>
      <c r="BH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  <c r="BD618" s="55"/>
      <c r="BE618" s="55"/>
      <c r="BF618" s="55"/>
      <c r="BG618" s="55"/>
      <c r="BH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  <c r="BD619" s="55"/>
      <c r="BE619" s="55"/>
      <c r="BF619" s="55"/>
      <c r="BG619" s="55"/>
      <c r="BH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  <c r="BD620" s="55"/>
      <c r="BE620" s="55"/>
      <c r="BF620" s="55"/>
      <c r="BG620" s="55"/>
      <c r="BH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  <c r="BD621" s="55"/>
      <c r="BE621" s="55"/>
      <c r="BF621" s="55"/>
      <c r="BG621" s="55"/>
      <c r="BH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  <c r="BD622" s="55"/>
      <c r="BE622" s="55"/>
      <c r="BF622" s="55"/>
      <c r="BG622" s="55"/>
      <c r="BH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  <c r="BD623" s="55"/>
      <c r="BE623" s="55"/>
      <c r="BF623" s="55"/>
      <c r="BG623" s="55"/>
      <c r="BH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  <c r="BD624" s="55"/>
      <c r="BE624" s="55"/>
      <c r="BF624" s="55"/>
      <c r="BG624" s="55"/>
      <c r="BH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  <c r="BD625" s="55"/>
      <c r="BE625" s="55"/>
      <c r="BF625" s="55"/>
      <c r="BG625" s="55"/>
      <c r="BH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  <c r="BD626" s="55"/>
      <c r="BE626" s="55"/>
      <c r="BF626" s="55"/>
      <c r="BG626" s="55"/>
      <c r="BH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  <c r="BD627" s="55"/>
      <c r="BE627" s="55"/>
      <c r="BF627" s="55"/>
      <c r="BG627" s="55"/>
      <c r="BH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  <c r="BD628" s="55"/>
      <c r="BE628" s="55"/>
      <c r="BF628" s="55"/>
      <c r="BG628" s="55"/>
      <c r="BH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  <c r="BD629" s="55"/>
      <c r="BE629" s="55"/>
      <c r="BF629" s="55"/>
      <c r="BG629" s="55"/>
      <c r="BH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  <c r="BD630" s="55"/>
      <c r="BE630" s="55"/>
      <c r="BF630" s="55"/>
      <c r="BG630" s="55"/>
      <c r="BH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  <c r="BD631" s="55"/>
      <c r="BE631" s="55"/>
      <c r="BF631" s="55"/>
      <c r="BG631" s="55"/>
      <c r="BH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  <c r="BD632" s="55"/>
      <c r="BE632" s="55"/>
      <c r="BF632" s="55"/>
      <c r="BG632" s="55"/>
      <c r="BH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  <c r="BD633" s="55"/>
      <c r="BE633" s="55"/>
      <c r="BF633" s="55"/>
      <c r="BG633" s="55"/>
      <c r="BH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  <c r="BD634" s="55"/>
      <c r="BE634" s="55"/>
      <c r="BF634" s="55"/>
      <c r="BG634" s="55"/>
      <c r="BH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  <c r="BD635" s="55"/>
      <c r="BE635" s="55"/>
      <c r="BF635" s="55"/>
      <c r="BG635" s="55"/>
      <c r="BH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  <c r="BD636" s="55"/>
      <c r="BE636" s="55"/>
      <c r="BF636" s="55"/>
      <c r="BG636" s="55"/>
      <c r="BH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  <c r="BD637" s="55"/>
      <c r="BE637" s="55"/>
      <c r="BF637" s="55"/>
      <c r="BG637" s="55"/>
      <c r="BH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  <c r="BD638" s="55"/>
      <c r="BE638" s="55"/>
      <c r="BF638" s="55"/>
      <c r="BG638" s="55"/>
      <c r="BH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  <c r="BD639" s="55"/>
      <c r="BE639" s="55"/>
      <c r="BF639" s="55"/>
      <c r="BG639" s="55"/>
      <c r="BH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  <c r="BD640" s="55"/>
      <c r="BE640" s="55"/>
      <c r="BF640" s="55"/>
      <c r="BG640" s="55"/>
      <c r="BH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  <c r="BD641" s="55"/>
      <c r="BE641" s="55"/>
      <c r="BF641" s="55"/>
      <c r="BG641" s="55"/>
      <c r="BH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  <c r="BD642" s="55"/>
      <c r="BE642" s="55"/>
      <c r="BF642" s="55"/>
      <c r="BG642" s="55"/>
      <c r="BH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  <c r="BD643" s="55"/>
      <c r="BE643" s="55"/>
      <c r="BF643" s="55"/>
      <c r="BG643" s="55"/>
      <c r="BH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  <c r="BD644" s="55"/>
      <c r="BE644" s="55"/>
      <c r="BF644" s="55"/>
      <c r="BG644" s="55"/>
      <c r="BH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  <c r="BD645" s="55"/>
      <c r="BE645" s="55"/>
      <c r="BF645" s="55"/>
      <c r="BG645" s="55"/>
      <c r="BH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  <c r="BD646" s="55"/>
      <c r="BE646" s="55"/>
      <c r="BF646" s="55"/>
      <c r="BG646" s="55"/>
      <c r="BH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  <c r="BD647" s="55"/>
      <c r="BE647" s="55"/>
      <c r="BF647" s="55"/>
      <c r="BG647" s="55"/>
      <c r="BH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  <c r="BD648" s="55"/>
      <c r="BE648" s="55"/>
      <c r="BF648" s="55"/>
      <c r="BG648" s="55"/>
      <c r="BH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  <c r="BD649" s="55"/>
      <c r="BE649" s="55"/>
      <c r="BF649" s="55"/>
      <c r="BG649" s="55"/>
      <c r="BH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  <c r="BD650" s="55"/>
      <c r="BE650" s="55"/>
      <c r="BF650" s="55"/>
      <c r="BG650" s="55"/>
      <c r="BH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  <c r="BD651" s="55"/>
      <c r="BE651" s="55"/>
      <c r="BF651" s="55"/>
      <c r="BG651" s="55"/>
      <c r="BH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  <c r="BD652" s="55"/>
      <c r="BE652" s="55"/>
      <c r="BF652" s="55"/>
      <c r="BG652" s="55"/>
      <c r="BH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  <c r="BD653" s="55"/>
      <c r="BE653" s="55"/>
      <c r="BF653" s="55"/>
      <c r="BG653" s="55"/>
      <c r="BH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  <c r="BD654" s="55"/>
      <c r="BE654" s="55"/>
      <c r="BF654" s="55"/>
      <c r="BG654" s="55"/>
      <c r="BH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  <c r="BD655" s="55"/>
      <c r="BE655" s="55"/>
      <c r="BF655" s="55"/>
      <c r="BG655" s="55"/>
      <c r="BH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  <c r="BD656" s="55"/>
      <c r="BE656" s="55"/>
      <c r="BF656" s="55"/>
      <c r="BG656" s="55"/>
      <c r="BH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  <c r="BD657" s="55"/>
      <c r="BE657" s="55"/>
      <c r="BF657" s="55"/>
      <c r="BG657" s="55"/>
      <c r="BH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  <c r="BD658" s="55"/>
      <c r="BE658" s="55"/>
      <c r="BF658" s="55"/>
      <c r="BG658" s="55"/>
      <c r="BH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  <c r="BD659" s="55"/>
      <c r="BE659" s="55"/>
      <c r="BF659" s="55"/>
      <c r="BG659" s="55"/>
      <c r="BH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  <c r="BD660" s="55"/>
      <c r="BE660" s="55"/>
      <c r="BF660" s="55"/>
      <c r="BG660" s="55"/>
      <c r="BH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  <c r="BD661" s="55"/>
      <c r="BE661" s="55"/>
      <c r="BF661" s="55"/>
      <c r="BG661" s="55"/>
      <c r="BH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  <c r="BD662" s="55"/>
      <c r="BE662" s="55"/>
      <c r="BF662" s="55"/>
      <c r="BG662" s="55"/>
      <c r="BH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  <c r="BD663" s="55"/>
      <c r="BE663" s="55"/>
      <c r="BF663" s="55"/>
      <c r="BG663" s="55"/>
      <c r="BH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  <c r="BD664" s="55"/>
      <c r="BE664" s="55"/>
      <c r="BF664" s="55"/>
      <c r="BG664" s="55"/>
      <c r="BH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  <c r="BD665" s="55"/>
      <c r="BE665" s="55"/>
      <c r="BF665" s="55"/>
      <c r="BG665" s="55"/>
      <c r="BH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  <c r="BD666" s="55"/>
      <c r="BE666" s="55"/>
      <c r="BF666" s="55"/>
      <c r="BG666" s="55"/>
      <c r="BH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  <c r="BD667" s="55"/>
      <c r="BE667" s="55"/>
      <c r="BF667" s="55"/>
      <c r="BG667" s="55"/>
      <c r="BH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  <c r="BD668" s="55"/>
      <c r="BE668" s="55"/>
      <c r="BF668" s="55"/>
      <c r="BG668" s="55"/>
      <c r="BH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  <c r="BD669" s="55"/>
      <c r="BE669" s="55"/>
      <c r="BF669" s="55"/>
      <c r="BG669" s="55"/>
      <c r="BH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  <c r="BD670" s="55"/>
      <c r="BE670" s="55"/>
      <c r="BF670" s="55"/>
      <c r="BG670" s="55"/>
      <c r="BH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  <c r="BD671" s="55"/>
      <c r="BE671" s="55"/>
      <c r="BF671" s="55"/>
      <c r="BG671" s="55"/>
      <c r="BH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  <c r="BD672" s="55"/>
      <c r="BE672" s="55"/>
      <c r="BF672" s="55"/>
      <c r="BG672" s="55"/>
      <c r="BH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  <c r="BD673" s="55"/>
      <c r="BE673" s="55"/>
      <c r="BF673" s="55"/>
      <c r="BG673" s="55"/>
      <c r="BH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  <c r="BD674" s="55"/>
      <c r="BE674" s="55"/>
      <c r="BF674" s="55"/>
      <c r="BG674" s="55"/>
      <c r="BH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  <c r="BD675" s="55"/>
      <c r="BE675" s="55"/>
      <c r="BF675" s="55"/>
      <c r="BG675" s="55"/>
      <c r="BH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  <c r="BD676" s="55"/>
      <c r="BE676" s="55"/>
      <c r="BF676" s="55"/>
      <c r="BG676" s="55"/>
      <c r="BH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  <c r="BD677" s="55"/>
      <c r="BE677" s="55"/>
      <c r="BF677" s="55"/>
      <c r="BG677" s="55"/>
      <c r="BH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  <c r="BD678" s="55"/>
      <c r="BE678" s="55"/>
      <c r="BF678" s="55"/>
      <c r="BG678" s="55"/>
      <c r="BH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  <c r="BD679" s="55"/>
      <c r="BE679" s="55"/>
      <c r="BF679" s="55"/>
      <c r="BG679" s="55"/>
      <c r="BH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  <c r="BD680" s="55"/>
      <c r="BE680" s="55"/>
      <c r="BF680" s="55"/>
      <c r="BG680" s="55"/>
      <c r="BH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  <c r="BD681" s="55"/>
      <c r="BE681" s="55"/>
      <c r="BF681" s="55"/>
      <c r="BG681" s="55"/>
      <c r="BH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  <c r="BD682" s="55"/>
      <c r="BE682" s="55"/>
      <c r="BF682" s="55"/>
      <c r="BG682" s="55"/>
      <c r="BH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  <c r="BD683" s="55"/>
      <c r="BE683" s="55"/>
      <c r="BF683" s="55"/>
      <c r="BG683" s="55"/>
      <c r="BH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  <c r="BD684" s="55"/>
      <c r="BE684" s="55"/>
      <c r="BF684" s="55"/>
      <c r="BG684" s="55"/>
      <c r="BH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  <c r="BD685" s="55"/>
      <c r="BE685" s="55"/>
      <c r="BF685" s="55"/>
      <c r="BG685" s="55"/>
      <c r="BH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  <c r="BD686" s="55"/>
      <c r="BE686" s="55"/>
      <c r="BF686" s="55"/>
      <c r="BG686" s="55"/>
      <c r="BH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  <c r="BD687" s="55"/>
      <c r="BE687" s="55"/>
      <c r="BF687" s="55"/>
      <c r="BG687" s="55"/>
      <c r="BH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  <c r="BD688" s="55"/>
      <c r="BE688" s="55"/>
      <c r="BF688" s="55"/>
      <c r="BG688" s="55"/>
      <c r="BH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  <c r="BD689" s="55"/>
      <c r="BE689" s="55"/>
      <c r="BF689" s="55"/>
      <c r="BG689" s="55"/>
      <c r="BH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  <c r="BD690" s="55"/>
      <c r="BE690" s="55"/>
      <c r="BF690" s="55"/>
      <c r="BG690" s="55"/>
      <c r="BH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  <c r="AZ691" s="55"/>
      <c r="BA691" s="55"/>
      <c r="BB691" s="55"/>
      <c r="BC691" s="55"/>
      <c r="BD691" s="55"/>
      <c r="BE691" s="55"/>
      <c r="BF691" s="55"/>
      <c r="BG691" s="55"/>
      <c r="BH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  <c r="BA692" s="55"/>
      <c r="BB692" s="55"/>
      <c r="BC692" s="55"/>
      <c r="BD692" s="55"/>
      <c r="BE692" s="55"/>
      <c r="BF692" s="55"/>
      <c r="BG692" s="55"/>
      <c r="BH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  <c r="BA693" s="55"/>
      <c r="BB693" s="55"/>
      <c r="BC693" s="55"/>
      <c r="BD693" s="55"/>
      <c r="BE693" s="55"/>
      <c r="BF693" s="55"/>
      <c r="BG693" s="55"/>
      <c r="BH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  <c r="BA694" s="55"/>
      <c r="BB694" s="55"/>
      <c r="BC694" s="55"/>
      <c r="BD694" s="55"/>
      <c r="BE694" s="55"/>
      <c r="BF694" s="55"/>
      <c r="BG694" s="55"/>
      <c r="BH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  <c r="BA695" s="55"/>
      <c r="BB695" s="55"/>
      <c r="BC695" s="55"/>
      <c r="BD695" s="55"/>
      <c r="BE695" s="55"/>
      <c r="BF695" s="55"/>
      <c r="BG695" s="55"/>
      <c r="BH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  <c r="BA696" s="55"/>
      <c r="BB696" s="55"/>
      <c r="BC696" s="55"/>
      <c r="BD696" s="55"/>
      <c r="BE696" s="55"/>
      <c r="BF696" s="55"/>
      <c r="BG696" s="55"/>
      <c r="BH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55"/>
      <c r="BB697" s="55"/>
      <c r="BC697" s="55"/>
      <c r="BD697" s="55"/>
      <c r="BE697" s="55"/>
      <c r="BF697" s="55"/>
      <c r="BG697" s="55"/>
      <c r="BH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55"/>
      <c r="BB698" s="55"/>
      <c r="BC698" s="55"/>
      <c r="BD698" s="55"/>
      <c r="BE698" s="55"/>
      <c r="BF698" s="55"/>
      <c r="BG698" s="55"/>
      <c r="BH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  <c r="BA699" s="55"/>
      <c r="BB699" s="55"/>
      <c r="BC699" s="55"/>
      <c r="BD699" s="55"/>
      <c r="BE699" s="55"/>
      <c r="BF699" s="55"/>
      <c r="BG699" s="55"/>
      <c r="BH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  <c r="BA700" s="55"/>
      <c r="BB700" s="55"/>
      <c r="BC700" s="55"/>
      <c r="BD700" s="55"/>
      <c r="BE700" s="55"/>
      <c r="BF700" s="55"/>
      <c r="BG700" s="55"/>
      <c r="BH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  <c r="AZ701" s="55"/>
      <c r="BA701" s="55"/>
      <c r="BB701" s="55"/>
      <c r="BC701" s="55"/>
      <c r="BD701" s="55"/>
      <c r="BE701" s="55"/>
      <c r="BF701" s="55"/>
      <c r="BG701" s="55"/>
      <c r="BH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  <c r="BA702" s="55"/>
      <c r="BB702" s="55"/>
      <c r="BC702" s="55"/>
      <c r="BD702" s="55"/>
      <c r="BE702" s="55"/>
      <c r="BF702" s="55"/>
      <c r="BG702" s="55"/>
      <c r="BH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55"/>
      <c r="BB703" s="55"/>
      <c r="BC703" s="55"/>
      <c r="BD703" s="55"/>
      <c r="BE703" s="55"/>
      <c r="BF703" s="55"/>
      <c r="BG703" s="55"/>
      <c r="BH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  <c r="AZ704" s="55"/>
      <c r="BA704" s="55"/>
      <c r="BB704" s="55"/>
      <c r="BC704" s="55"/>
      <c r="BD704" s="55"/>
      <c r="BE704" s="55"/>
      <c r="BF704" s="55"/>
      <c r="BG704" s="55"/>
      <c r="BH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  <c r="AZ705" s="55"/>
      <c r="BA705" s="55"/>
      <c r="BB705" s="55"/>
      <c r="BC705" s="55"/>
      <c r="BD705" s="55"/>
      <c r="BE705" s="55"/>
      <c r="BF705" s="55"/>
      <c r="BG705" s="55"/>
      <c r="BH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  <c r="AZ706" s="55"/>
      <c r="BA706" s="55"/>
      <c r="BB706" s="55"/>
      <c r="BC706" s="55"/>
      <c r="BD706" s="55"/>
      <c r="BE706" s="55"/>
      <c r="BF706" s="55"/>
      <c r="BG706" s="55"/>
      <c r="BH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  <c r="AZ707" s="55"/>
      <c r="BA707" s="55"/>
      <c r="BB707" s="55"/>
      <c r="BC707" s="55"/>
      <c r="BD707" s="55"/>
      <c r="BE707" s="55"/>
      <c r="BF707" s="55"/>
      <c r="BG707" s="55"/>
      <c r="BH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/>
      <c r="BD708" s="55"/>
      <c r="BE708" s="55"/>
      <c r="BF708" s="55"/>
      <c r="BG708" s="55"/>
      <c r="BH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55"/>
      <c r="BB709" s="55"/>
      <c r="BC709" s="55"/>
      <c r="BD709" s="55"/>
      <c r="BE709" s="55"/>
      <c r="BF709" s="55"/>
      <c r="BG709" s="55"/>
      <c r="BH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55"/>
      <c r="BB710" s="55"/>
      <c r="BC710" s="55"/>
      <c r="BD710" s="55"/>
      <c r="BE710" s="55"/>
      <c r="BF710" s="55"/>
      <c r="BG710" s="55"/>
      <c r="BH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  <c r="BA711" s="55"/>
      <c r="BB711" s="55"/>
      <c r="BC711" s="55"/>
      <c r="BD711" s="55"/>
      <c r="BE711" s="55"/>
      <c r="BF711" s="55"/>
      <c r="BG711" s="55"/>
      <c r="BH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  <c r="BA712" s="55"/>
      <c r="BB712" s="55"/>
      <c r="BC712" s="55"/>
      <c r="BD712" s="55"/>
      <c r="BE712" s="55"/>
      <c r="BF712" s="55"/>
      <c r="BG712" s="55"/>
      <c r="BH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  <c r="BA713" s="55"/>
      <c r="BB713" s="55"/>
      <c r="BC713" s="55"/>
      <c r="BD713" s="55"/>
      <c r="BE713" s="55"/>
      <c r="BF713" s="55"/>
      <c r="BG713" s="55"/>
      <c r="BH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55"/>
      <c r="BB714" s="55"/>
      <c r="BC714" s="55"/>
      <c r="BD714" s="55"/>
      <c r="BE714" s="55"/>
      <c r="BF714" s="55"/>
      <c r="BG714" s="55"/>
      <c r="BH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  <c r="AZ715" s="55"/>
      <c r="BA715" s="55"/>
      <c r="BB715" s="55"/>
      <c r="BC715" s="55"/>
      <c r="BD715" s="55"/>
      <c r="BE715" s="55"/>
      <c r="BF715" s="55"/>
      <c r="BG715" s="55"/>
      <c r="BH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  <c r="BA716" s="55"/>
      <c r="BB716" s="55"/>
      <c r="BC716" s="55"/>
      <c r="BD716" s="55"/>
      <c r="BE716" s="55"/>
      <c r="BF716" s="55"/>
      <c r="BG716" s="55"/>
      <c r="BH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  <c r="BA717" s="55"/>
      <c r="BB717" s="55"/>
      <c r="BC717" s="55"/>
      <c r="BD717" s="55"/>
      <c r="BE717" s="55"/>
      <c r="BF717" s="55"/>
      <c r="BG717" s="55"/>
      <c r="BH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  <c r="AZ718" s="55"/>
      <c r="BA718" s="55"/>
      <c r="BB718" s="55"/>
      <c r="BC718" s="55"/>
      <c r="BD718" s="55"/>
      <c r="BE718" s="55"/>
      <c r="BF718" s="55"/>
      <c r="BG718" s="55"/>
      <c r="BH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  <c r="BA719" s="55"/>
      <c r="BB719" s="55"/>
      <c r="BC719" s="55"/>
      <c r="BD719" s="55"/>
      <c r="BE719" s="55"/>
      <c r="BF719" s="55"/>
      <c r="BG719" s="55"/>
      <c r="BH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  <c r="AZ720" s="55"/>
      <c r="BA720" s="55"/>
      <c r="BB720" s="55"/>
      <c r="BC720" s="55"/>
      <c r="BD720" s="55"/>
      <c r="BE720" s="55"/>
      <c r="BF720" s="55"/>
      <c r="BG720" s="55"/>
      <c r="BH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  <c r="AZ721" s="55"/>
      <c r="BA721" s="55"/>
      <c r="BB721" s="55"/>
      <c r="BC721" s="55"/>
      <c r="BD721" s="55"/>
      <c r="BE721" s="55"/>
      <c r="BF721" s="55"/>
      <c r="BG721" s="55"/>
      <c r="BH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  <c r="AZ722" s="55"/>
      <c r="BA722" s="55"/>
      <c r="BB722" s="55"/>
      <c r="BC722" s="55"/>
      <c r="BD722" s="55"/>
      <c r="BE722" s="55"/>
      <c r="BF722" s="55"/>
      <c r="BG722" s="55"/>
      <c r="BH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55"/>
      <c r="BB723" s="55"/>
      <c r="BC723" s="55"/>
      <c r="BD723" s="55"/>
      <c r="BE723" s="55"/>
      <c r="BF723" s="55"/>
      <c r="BG723" s="55"/>
      <c r="BH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55"/>
      <c r="BB724" s="55"/>
      <c r="BC724" s="55"/>
      <c r="BD724" s="55"/>
      <c r="BE724" s="55"/>
      <c r="BF724" s="55"/>
      <c r="BG724" s="55"/>
      <c r="BH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55"/>
      <c r="BB725" s="55"/>
      <c r="BC725" s="55"/>
      <c r="BD725" s="55"/>
      <c r="BE725" s="55"/>
      <c r="BF725" s="55"/>
      <c r="BG725" s="55"/>
      <c r="BH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55"/>
      <c r="BB726" s="55"/>
      <c r="BC726" s="55"/>
      <c r="BD726" s="55"/>
      <c r="BE726" s="55"/>
      <c r="BF726" s="55"/>
      <c r="BG726" s="55"/>
      <c r="BH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55"/>
      <c r="BB727" s="55"/>
      <c r="BC727" s="55"/>
      <c r="BD727" s="55"/>
      <c r="BE727" s="55"/>
      <c r="BF727" s="55"/>
      <c r="BG727" s="55"/>
      <c r="BH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55"/>
      <c r="BB728" s="55"/>
      <c r="BC728" s="55"/>
      <c r="BD728" s="55"/>
      <c r="BE728" s="55"/>
      <c r="BF728" s="55"/>
      <c r="BG728" s="55"/>
      <c r="BH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/>
      <c r="BE729" s="55"/>
      <c r="BF729" s="55"/>
      <c r="BG729" s="55"/>
      <c r="BH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  <c r="BD730" s="55"/>
      <c r="BE730" s="55"/>
      <c r="BF730" s="55"/>
      <c r="BG730" s="55"/>
      <c r="BH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  <c r="BD731" s="55"/>
      <c r="BE731" s="55"/>
      <c r="BF731" s="55"/>
      <c r="BG731" s="55"/>
      <c r="BH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55"/>
      <c r="BB732" s="55"/>
      <c r="BC732" s="55"/>
      <c r="BD732" s="55"/>
      <c r="BE732" s="55"/>
      <c r="BF732" s="55"/>
      <c r="BG732" s="55"/>
      <c r="BH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55"/>
      <c r="BB733" s="55"/>
      <c r="BC733" s="55"/>
      <c r="BD733" s="55"/>
      <c r="BE733" s="55"/>
      <c r="BF733" s="55"/>
      <c r="BG733" s="55"/>
      <c r="BH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55"/>
      <c r="BB734" s="55"/>
      <c r="BC734" s="55"/>
      <c r="BD734" s="55"/>
      <c r="BE734" s="55"/>
      <c r="BF734" s="55"/>
      <c r="BG734" s="55"/>
      <c r="BH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55"/>
      <c r="BB735" s="55"/>
      <c r="BC735" s="55"/>
      <c r="BD735" s="55"/>
      <c r="BE735" s="55"/>
      <c r="BF735" s="55"/>
      <c r="BG735" s="55"/>
      <c r="BH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55"/>
      <c r="BB736" s="55"/>
      <c r="BC736" s="55"/>
      <c r="BD736" s="55"/>
      <c r="BE736" s="55"/>
      <c r="BF736" s="55"/>
      <c r="BG736" s="55"/>
      <c r="BH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55"/>
      <c r="BB737" s="55"/>
      <c r="BC737" s="55"/>
      <c r="BD737" s="55"/>
      <c r="BE737" s="55"/>
      <c r="BF737" s="55"/>
      <c r="BG737" s="55"/>
      <c r="BH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55"/>
      <c r="BB738" s="55"/>
      <c r="BC738" s="55"/>
      <c r="BD738" s="55"/>
      <c r="BE738" s="55"/>
      <c r="BF738" s="55"/>
      <c r="BG738" s="55"/>
      <c r="BH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  <c r="BG739" s="55"/>
      <c r="BH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  <c r="BD740" s="55"/>
      <c r="BE740" s="55"/>
      <c r="BF740" s="55"/>
      <c r="BG740" s="55"/>
      <c r="BH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  <c r="BD741" s="55"/>
      <c r="BE741" s="55"/>
      <c r="BF741" s="55"/>
      <c r="BG741" s="55"/>
      <c r="BH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55"/>
      <c r="BB742" s="55"/>
      <c r="BC742" s="55"/>
      <c r="BD742" s="55"/>
      <c r="BE742" s="55"/>
      <c r="BF742" s="55"/>
      <c r="BG742" s="55"/>
      <c r="BH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/>
      <c r="BD743" s="55"/>
      <c r="BE743" s="55"/>
      <c r="BF743" s="55"/>
      <c r="BG743" s="55"/>
      <c r="BH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/>
      <c r="BD744" s="55"/>
      <c r="BE744" s="55"/>
      <c r="BF744" s="55"/>
      <c r="BG744" s="55"/>
      <c r="BH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55"/>
      <c r="BB745" s="55"/>
      <c r="BC745" s="55"/>
      <c r="BD745" s="55"/>
      <c r="BE745" s="55"/>
      <c r="BF745" s="55"/>
      <c r="BG745" s="55"/>
      <c r="BH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55"/>
      <c r="BB746" s="55"/>
      <c r="BC746" s="55"/>
      <c r="BD746" s="55"/>
      <c r="BE746" s="55"/>
      <c r="BF746" s="55"/>
      <c r="BG746" s="55"/>
      <c r="BH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/>
      <c r="BD747" s="55"/>
      <c r="BE747" s="55"/>
      <c r="BF747" s="55"/>
      <c r="BG747" s="55"/>
      <c r="BH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55"/>
      <c r="BB748" s="55"/>
      <c r="BC748" s="55"/>
      <c r="BD748" s="55"/>
      <c r="BE748" s="55"/>
      <c r="BF748" s="55"/>
      <c r="BG748" s="55"/>
      <c r="BH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  <c r="BD749" s="55"/>
      <c r="BE749" s="55"/>
      <c r="BF749" s="55"/>
      <c r="BG749" s="55"/>
      <c r="BH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55"/>
      <c r="BB750" s="55"/>
      <c r="BC750" s="55"/>
      <c r="BD750" s="55"/>
      <c r="BE750" s="55"/>
      <c r="BF750" s="55"/>
      <c r="BG750" s="55"/>
      <c r="BH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55"/>
      <c r="BB751" s="55"/>
      <c r="BC751" s="55"/>
      <c r="BD751" s="55"/>
      <c r="BE751" s="55"/>
      <c r="BF751" s="55"/>
      <c r="BG751" s="55"/>
      <c r="BH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55"/>
      <c r="BB752" s="55"/>
      <c r="BC752" s="55"/>
      <c r="BD752" s="55"/>
      <c r="BE752" s="55"/>
      <c r="BF752" s="55"/>
      <c r="BG752" s="55"/>
      <c r="BH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55"/>
      <c r="BB753" s="55"/>
      <c r="BC753" s="55"/>
      <c r="BD753" s="55"/>
      <c r="BE753" s="55"/>
      <c r="BF753" s="55"/>
      <c r="BG753" s="55"/>
      <c r="BH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/>
      <c r="BD754" s="55"/>
      <c r="BE754" s="55"/>
      <c r="BF754" s="55"/>
      <c r="BG754" s="55"/>
      <c r="BH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/>
      <c r="BD755" s="55"/>
      <c r="BE755" s="55"/>
      <c r="BF755" s="55"/>
      <c r="BG755" s="55"/>
      <c r="BH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55"/>
      <c r="BB756" s="55"/>
      <c r="BC756" s="55"/>
      <c r="BD756" s="55"/>
      <c r="BE756" s="55"/>
      <c r="BF756" s="55"/>
      <c r="BG756" s="55"/>
      <c r="BH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55"/>
      <c r="BB757" s="55"/>
      <c r="BC757" s="55"/>
      <c r="BD757" s="55"/>
      <c r="BE757" s="55"/>
      <c r="BF757" s="55"/>
      <c r="BG757" s="55"/>
      <c r="BH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55"/>
      <c r="BB758" s="55"/>
      <c r="BC758" s="55"/>
      <c r="BD758" s="55"/>
      <c r="BE758" s="55"/>
      <c r="BF758" s="55"/>
      <c r="BG758" s="55"/>
      <c r="BH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/>
      <c r="BD759" s="55"/>
      <c r="BE759" s="55"/>
      <c r="BF759" s="55"/>
      <c r="BG759" s="55"/>
      <c r="BH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55"/>
      <c r="BB760" s="55"/>
      <c r="BC760" s="55"/>
      <c r="BD760" s="55"/>
      <c r="BE760" s="55"/>
      <c r="BF760" s="55"/>
      <c r="BG760" s="55"/>
      <c r="BH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55"/>
      <c r="BB761" s="55"/>
      <c r="BC761" s="55"/>
      <c r="BD761" s="55"/>
      <c r="BE761" s="55"/>
      <c r="BF761" s="55"/>
      <c r="BG761" s="55"/>
      <c r="BH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/>
      <c r="BD762" s="55"/>
      <c r="BE762" s="55"/>
      <c r="BF762" s="55"/>
      <c r="BG762" s="55"/>
      <c r="BH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55"/>
      <c r="BB763" s="55"/>
      <c r="BC763" s="55"/>
      <c r="BD763" s="55"/>
      <c r="BE763" s="55"/>
      <c r="BF763" s="55"/>
      <c r="BG763" s="55"/>
      <c r="BH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55"/>
      <c r="BB764" s="55"/>
      <c r="BC764" s="55"/>
      <c r="BD764" s="55"/>
      <c r="BE764" s="55"/>
      <c r="BF764" s="55"/>
      <c r="BG764" s="55"/>
      <c r="BH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55"/>
      <c r="BB765" s="55"/>
      <c r="BC765" s="55"/>
      <c r="BD765" s="55"/>
      <c r="BE765" s="55"/>
      <c r="BF765" s="55"/>
      <c r="BG765" s="55"/>
      <c r="BH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55"/>
      <c r="BB766" s="55"/>
      <c r="BC766" s="55"/>
      <c r="BD766" s="55"/>
      <c r="BE766" s="55"/>
      <c r="BF766" s="55"/>
      <c r="BG766" s="55"/>
      <c r="BH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/>
      <c r="BD767" s="55"/>
      <c r="BE767" s="55"/>
      <c r="BF767" s="55"/>
      <c r="BG767" s="55"/>
      <c r="BH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55"/>
      <c r="BB768" s="55"/>
      <c r="BC768" s="55"/>
      <c r="BD768" s="55"/>
      <c r="BE768" s="55"/>
      <c r="BF768" s="55"/>
      <c r="BG768" s="55"/>
      <c r="BH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55"/>
      <c r="BB769" s="55"/>
      <c r="BC769" s="55"/>
      <c r="BD769" s="55"/>
      <c r="BE769" s="55"/>
      <c r="BF769" s="55"/>
      <c r="BG769" s="55"/>
      <c r="BH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55"/>
      <c r="BB770" s="55"/>
      <c r="BC770" s="55"/>
      <c r="BD770" s="55"/>
      <c r="BE770" s="55"/>
      <c r="BF770" s="55"/>
      <c r="BG770" s="55"/>
      <c r="BH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/>
      <c r="BD771" s="55"/>
      <c r="BE771" s="55"/>
      <c r="BF771" s="55"/>
      <c r="BG771" s="55"/>
      <c r="BH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/>
      <c r="BD772" s="55"/>
      <c r="BE772" s="55"/>
      <c r="BF772" s="55"/>
      <c r="BG772" s="55"/>
      <c r="BH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/>
      <c r="BD773" s="55"/>
      <c r="BE773" s="55"/>
      <c r="BF773" s="55"/>
      <c r="BG773" s="55"/>
      <c r="BH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/>
      <c r="BD774" s="55"/>
      <c r="BE774" s="55"/>
      <c r="BF774" s="55"/>
      <c r="BG774" s="55"/>
      <c r="BH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/>
      <c r="BD775" s="55"/>
      <c r="BE775" s="55"/>
      <c r="BF775" s="55"/>
      <c r="BG775" s="55"/>
      <c r="BH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/>
      <c r="BD776" s="55"/>
      <c r="BE776" s="55"/>
      <c r="BF776" s="55"/>
      <c r="BG776" s="55"/>
      <c r="BH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  <c r="BD777" s="55"/>
      <c r="BE777" s="55"/>
      <c r="BF777" s="55"/>
      <c r="BG777" s="55"/>
      <c r="BH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  <c r="BD778" s="55"/>
      <c r="BE778" s="55"/>
      <c r="BF778" s="55"/>
      <c r="BG778" s="55"/>
      <c r="BH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/>
      <c r="BD779" s="55"/>
      <c r="BE779" s="55"/>
      <c r="BF779" s="55"/>
      <c r="BG779" s="55"/>
      <c r="BH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/>
      <c r="BD780" s="55"/>
      <c r="BE780" s="55"/>
      <c r="BF780" s="55"/>
      <c r="BG780" s="55"/>
      <c r="BH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  <c r="BD781" s="55"/>
      <c r="BE781" s="55"/>
      <c r="BF781" s="55"/>
      <c r="BG781" s="55"/>
      <c r="BH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/>
      <c r="BD782" s="55"/>
      <c r="BE782" s="55"/>
      <c r="BF782" s="55"/>
      <c r="BG782" s="55"/>
      <c r="BH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  <c r="BD783" s="55"/>
      <c r="BE783" s="55"/>
      <c r="BF783" s="55"/>
      <c r="BG783" s="55"/>
      <c r="BH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/>
      <c r="BD784" s="55"/>
      <c r="BE784" s="55"/>
      <c r="BF784" s="55"/>
      <c r="BG784" s="55"/>
      <c r="BH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/>
      <c r="BD785" s="55"/>
      <c r="BE785" s="55"/>
      <c r="BF785" s="55"/>
      <c r="BG785" s="55"/>
      <c r="BH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/>
      <c r="BD786" s="55"/>
      <c r="BE786" s="55"/>
      <c r="BF786" s="55"/>
      <c r="BG786" s="55"/>
      <c r="BH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/>
      <c r="BD787" s="55"/>
      <c r="BE787" s="55"/>
      <c r="BF787" s="55"/>
      <c r="BG787" s="55"/>
      <c r="BH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  <c r="BG788" s="55"/>
      <c r="BH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  <c r="BD789" s="55"/>
      <c r="BE789" s="55"/>
      <c r="BF789" s="55"/>
      <c r="BG789" s="55"/>
      <c r="BH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  <c r="BD790" s="55"/>
      <c r="BE790" s="55"/>
      <c r="BF790" s="55"/>
      <c r="BG790" s="55"/>
      <c r="BH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  <c r="BG791" s="55"/>
      <c r="BH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  <c r="BD792" s="55"/>
      <c r="BE792" s="55"/>
      <c r="BF792" s="55"/>
      <c r="BG792" s="55"/>
      <c r="BH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/>
      <c r="BD793" s="55"/>
      <c r="BE793" s="55"/>
      <c r="BF793" s="55"/>
      <c r="BG793" s="55"/>
      <c r="BH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/>
      <c r="BD794" s="55"/>
      <c r="BE794" s="55"/>
      <c r="BF794" s="55"/>
      <c r="BG794" s="55"/>
      <c r="BH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/>
      <c r="BD795" s="55"/>
      <c r="BE795" s="55"/>
      <c r="BF795" s="55"/>
      <c r="BG795" s="55"/>
      <c r="BH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/>
      <c r="BD796" s="55"/>
      <c r="BE796" s="55"/>
      <c r="BF796" s="55"/>
      <c r="BG796" s="55"/>
      <c r="BH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  <c r="BD797" s="55"/>
      <c r="BE797" s="55"/>
      <c r="BF797" s="55"/>
      <c r="BG797" s="55"/>
      <c r="BH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  <c r="BD798" s="55"/>
      <c r="BE798" s="55"/>
      <c r="BF798" s="55"/>
      <c r="BG798" s="55"/>
      <c r="BH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  <c r="BH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  <c r="BG800" s="55"/>
      <c r="BH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  <c r="BD801" s="55"/>
      <c r="BE801" s="55"/>
      <c r="BF801" s="55"/>
      <c r="BG801" s="55"/>
      <c r="BH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/>
      <c r="BD802" s="55"/>
      <c r="BE802" s="55"/>
      <c r="BF802" s="55"/>
      <c r="BG802" s="55"/>
      <c r="BH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  <c r="BD803" s="55"/>
      <c r="BE803" s="55"/>
      <c r="BF803" s="55"/>
      <c r="BG803" s="55"/>
      <c r="BH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  <c r="BD804" s="55"/>
      <c r="BE804" s="55"/>
      <c r="BF804" s="55"/>
      <c r="BG804" s="55"/>
      <c r="BH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  <c r="BD805" s="55"/>
      <c r="BE805" s="55"/>
      <c r="BF805" s="55"/>
      <c r="BG805" s="55"/>
      <c r="BH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  <c r="BD806" s="55"/>
      <c r="BE806" s="55"/>
      <c r="BF806" s="55"/>
      <c r="BG806" s="55"/>
      <c r="BH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  <c r="BD807" s="55"/>
      <c r="BE807" s="55"/>
      <c r="BF807" s="55"/>
      <c r="BG807" s="55"/>
      <c r="BH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  <c r="BD808" s="55"/>
      <c r="BE808" s="55"/>
      <c r="BF808" s="55"/>
      <c r="BG808" s="55"/>
      <c r="BH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  <c r="BG809" s="55"/>
      <c r="BH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  <c r="BG810" s="55"/>
      <c r="BH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/>
      <c r="BD811" s="55"/>
      <c r="BE811" s="55"/>
      <c r="BF811" s="55"/>
      <c r="BG811" s="55"/>
      <c r="BH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/>
      <c r="BD812" s="55"/>
      <c r="BE812" s="55"/>
      <c r="BF812" s="55"/>
      <c r="BG812" s="55"/>
      <c r="BH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/>
      <c r="BD813" s="55"/>
      <c r="BE813" s="55"/>
      <c r="BF813" s="55"/>
      <c r="BG813" s="55"/>
      <c r="BH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/>
      <c r="BD814" s="55"/>
      <c r="BE814" s="55"/>
      <c r="BF814" s="55"/>
      <c r="BG814" s="55"/>
      <c r="BH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/>
      <c r="BD815" s="55"/>
      <c r="BE815" s="55"/>
      <c r="BF815" s="55"/>
      <c r="BG815" s="55"/>
      <c r="BH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  <c r="BA816" s="55"/>
      <c r="BB816" s="55"/>
      <c r="BC816" s="55"/>
      <c r="BD816" s="55"/>
      <c r="BE816" s="55"/>
      <c r="BF816" s="55"/>
      <c r="BG816" s="55"/>
      <c r="BH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  <c r="BA817" s="55"/>
      <c r="BB817" s="55"/>
      <c r="BC817" s="55"/>
      <c r="BD817" s="55"/>
      <c r="BE817" s="55"/>
      <c r="BF817" s="55"/>
      <c r="BG817" s="55"/>
      <c r="BH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55"/>
      <c r="BB818" s="55"/>
      <c r="BC818" s="55"/>
      <c r="BD818" s="55"/>
      <c r="BE818" s="55"/>
      <c r="BF818" s="55"/>
      <c r="BG818" s="55"/>
      <c r="BH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55"/>
      <c r="BB819" s="55"/>
      <c r="BC819" s="55"/>
      <c r="BD819" s="55"/>
      <c r="BE819" s="55"/>
      <c r="BF819" s="55"/>
      <c r="BG819" s="55"/>
      <c r="BH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55"/>
      <c r="BB820" s="55"/>
      <c r="BC820" s="55"/>
      <c r="BD820" s="55"/>
      <c r="BE820" s="55"/>
      <c r="BF820" s="55"/>
      <c r="BG820" s="55"/>
      <c r="BH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  <c r="BA821" s="55"/>
      <c r="BB821" s="55"/>
      <c r="BC821" s="55"/>
      <c r="BD821" s="55"/>
      <c r="BE821" s="55"/>
      <c r="BF821" s="55"/>
      <c r="BG821" s="55"/>
      <c r="BH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  <c r="BA822" s="55"/>
      <c r="BB822" s="55"/>
      <c r="BC822" s="55"/>
      <c r="BD822" s="55"/>
      <c r="BE822" s="55"/>
      <c r="BF822" s="55"/>
      <c r="BG822" s="55"/>
      <c r="BH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55"/>
      <c r="BB823" s="55"/>
      <c r="BC823" s="55"/>
      <c r="BD823" s="55"/>
      <c r="BE823" s="55"/>
      <c r="BF823" s="55"/>
      <c r="BG823" s="55"/>
      <c r="BH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55"/>
      <c r="BB824" s="55"/>
      <c r="BC824" s="55"/>
      <c r="BD824" s="55"/>
      <c r="BE824" s="55"/>
      <c r="BF824" s="55"/>
      <c r="BG824" s="55"/>
      <c r="BH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  <c r="BA825" s="55"/>
      <c r="BB825" s="55"/>
      <c r="BC825" s="55"/>
      <c r="BD825" s="55"/>
      <c r="BE825" s="55"/>
      <c r="BF825" s="55"/>
      <c r="BG825" s="55"/>
      <c r="BH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  <c r="BA826" s="55"/>
      <c r="BB826" s="55"/>
      <c r="BC826" s="55"/>
      <c r="BD826" s="55"/>
      <c r="BE826" s="55"/>
      <c r="BF826" s="55"/>
      <c r="BG826" s="55"/>
      <c r="BH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  <c r="BA827" s="55"/>
      <c r="BB827" s="55"/>
      <c r="BC827" s="55"/>
      <c r="BD827" s="55"/>
      <c r="BE827" s="55"/>
      <c r="BF827" s="55"/>
      <c r="BG827" s="55"/>
      <c r="BH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  <c r="BA828" s="55"/>
      <c r="BB828" s="55"/>
      <c r="BC828" s="55"/>
      <c r="BD828" s="55"/>
      <c r="BE828" s="55"/>
      <c r="BF828" s="55"/>
      <c r="BG828" s="55"/>
      <c r="BH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  <c r="BA829" s="55"/>
      <c r="BB829" s="55"/>
      <c r="BC829" s="55"/>
      <c r="BD829" s="55"/>
      <c r="BE829" s="55"/>
      <c r="BF829" s="55"/>
      <c r="BG829" s="55"/>
      <c r="BH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  <c r="BA830" s="55"/>
      <c r="BB830" s="55"/>
      <c r="BC830" s="55"/>
      <c r="BD830" s="55"/>
      <c r="BE830" s="55"/>
      <c r="BF830" s="55"/>
      <c r="BG830" s="55"/>
      <c r="BH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  <c r="BA831" s="55"/>
      <c r="BB831" s="55"/>
      <c r="BC831" s="55"/>
      <c r="BD831" s="55"/>
      <c r="BE831" s="55"/>
      <c r="BF831" s="55"/>
      <c r="BG831" s="55"/>
      <c r="BH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  <c r="BA832" s="55"/>
      <c r="BB832" s="55"/>
      <c r="BC832" s="55"/>
      <c r="BD832" s="55"/>
      <c r="BE832" s="55"/>
      <c r="BF832" s="55"/>
      <c r="BG832" s="55"/>
      <c r="BH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  <c r="BA833" s="55"/>
      <c r="BB833" s="55"/>
      <c r="BC833" s="55"/>
      <c r="BD833" s="55"/>
      <c r="BE833" s="55"/>
      <c r="BF833" s="55"/>
      <c r="BG833" s="55"/>
      <c r="BH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  <c r="BA834" s="55"/>
      <c r="BB834" s="55"/>
      <c r="BC834" s="55"/>
      <c r="BD834" s="55"/>
      <c r="BE834" s="55"/>
      <c r="BF834" s="55"/>
      <c r="BG834" s="55"/>
      <c r="BH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  <c r="BA835" s="55"/>
      <c r="BB835" s="55"/>
      <c r="BC835" s="55"/>
      <c r="BD835" s="55"/>
      <c r="BE835" s="55"/>
      <c r="BF835" s="55"/>
      <c r="BG835" s="55"/>
      <c r="BH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  <c r="BA836" s="55"/>
      <c r="BB836" s="55"/>
      <c r="BC836" s="55"/>
      <c r="BD836" s="55"/>
      <c r="BE836" s="55"/>
      <c r="BF836" s="55"/>
      <c r="BG836" s="55"/>
      <c r="BH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  <c r="BA837" s="55"/>
      <c r="BB837" s="55"/>
      <c r="BC837" s="55"/>
      <c r="BD837" s="55"/>
      <c r="BE837" s="55"/>
      <c r="BF837" s="55"/>
      <c r="BG837" s="55"/>
      <c r="BH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  <c r="BA838" s="55"/>
      <c r="BB838" s="55"/>
      <c r="BC838" s="55"/>
      <c r="BD838" s="55"/>
      <c r="BE838" s="55"/>
      <c r="BF838" s="55"/>
      <c r="BG838" s="55"/>
      <c r="BH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  <c r="BA839" s="55"/>
      <c r="BB839" s="55"/>
      <c r="BC839" s="55"/>
      <c r="BD839" s="55"/>
      <c r="BE839" s="55"/>
      <c r="BF839" s="55"/>
      <c r="BG839" s="55"/>
      <c r="BH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55"/>
      <c r="BB840" s="55"/>
      <c r="BC840" s="55"/>
      <c r="BD840" s="55"/>
      <c r="BE840" s="55"/>
      <c r="BF840" s="55"/>
      <c r="BG840" s="55"/>
      <c r="BH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/>
      <c r="BD841" s="55"/>
      <c r="BE841" s="55"/>
      <c r="BF841" s="55"/>
      <c r="BG841" s="55"/>
      <c r="BH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  <c r="BA842" s="55"/>
      <c r="BB842" s="55"/>
      <c r="BC842" s="55"/>
      <c r="BD842" s="55"/>
      <c r="BE842" s="55"/>
      <c r="BF842" s="55"/>
      <c r="BG842" s="55"/>
      <c r="BH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  <c r="BA843" s="55"/>
      <c r="BB843" s="55"/>
      <c r="BC843" s="55"/>
      <c r="BD843" s="55"/>
      <c r="BE843" s="55"/>
      <c r="BF843" s="55"/>
      <c r="BG843" s="55"/>
      <c r="BH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  <c r="BA844" s="55"/>
      <c r="BB844" s="55"/>
      <c r="BC844" s="55"/>
      <c r="BD844" s="55"/>
      <c r="BE844" s="55"/>
      <c r="BF844" s="55"/>
      <c r="BG844" s="55"/>
      <c r="BH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/>
      <c r="BD845" s="55"/>
      <c r="BE845" s="55"/>
      <c r="BF845" s="55"/>
      <c r="BG845" s="55"/>
      <c r="BH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55"/>
      <c r="BB846" s="55"/>
      <c r="BC846" s="55"/>
      <c r="BD846" s="55"/>
      <c r="BE846" s="55"/>
      <c r="BF846" s="55"/>
      <c r="BG846" s="55"/>
      <c r="BH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  <c r="BA847" s="55"/>
      <c r="BB847" s="55"/>
      <c r="BC847" s="55"/>
      <c r="BD847" s="55"/>
      <c r="BE847" s="55"/>
      <c r="BF847" s="55"/>
      <c r="BG847" s="55"/>
      <c r="BH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55"/>
      <c r="BB848" s="55"/>
      <c r="BC848" s="55"/>
      <c r="BD848" s="55"/>
      <c r="BE848" s="55"/>
      <c r="BF848" s="55"/>
      <c r="BG848" s="55"/>
      <c r="BH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  <c r="BA849" s="55"/>
      <c r="BB849" s="55"/>
      <c r="BC849" s="55"/>
      <c r="BD849" s="55"/>
      <c r="BE849" s="55"/>
      <c r="BF849" s="55"/>
      <c r="BG849" s="55"/>
      <c r="BH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55"/>
      <c r="BB850" s="55"/>
      <c r="BC850" s="55"/>
      <c r="BD850" s="55"/>
      <c r="BE850" s="55"/>
      <c r="BF850" s="55"/>
      <c r="BG850" s="55"/>
      <c r="BH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55"/>
      <c r="BB851" s="55"/>
      <c r="BC851" s="55"/>
      <c r="BD851" s="55"/>
      <c r="BE851" s="55"/>
      <c r="BF851" s="55"/>
      <c r="BG851" s="55"/>
      <c r="BH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55"/>
      <c r="BB852" s="55"/>
      <c r="BC852" s="55"/>
      <c r="BD852" s="55"/>
      <c r="BE852" s="55"/>
      <c r="BF852" s="55"/>
      <c r="BG852" s="55"/>
      <c r="BH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/>
      <c r="BD853" s="55"/>
      <c r="BE853" s="55"/>
      <c r="BF853" s="55"/>
      <c r="BG853" s="55"/>
      <c r="BH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  <c r="BA854" s="55"/>
      <c r="BB854" s="55"/>
      <c r="BC854" s="55"/>
      <c r="BD854" s="55"/>
      <c r="BE854" s="55"/>
      <c r="BF854" s="55"/>
      <c r="BG854" s="55"/>
      <c r="BH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  <c r="BA855" s="55"/>
      <c r="BB855" s="55"/>
      <c r="BC855" s="55"/>
      <c r="BD855" s="55"/>
      <c r="BE855" s="55"/>
      <c r="BF855" s="55"/>
      <c r="BG855" s="55"/>
      <c r="BH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55"/>
      <c r="BB856" s="55"/>
      <c r="BC856" s="55"/>
      <c r="BD856" s="55"/>
      <c r="BE856" s="55"/>
      <c r="BF856" s="55"/>
      <c r="BG856" s="55"/>
      <c r="BH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  <c r="BD857" s="55"/>
      <c r="BE857" s="55"/>
      <c r="BF857" s="55"/>
      <c r="BG857" s="55"/>
      <c r="BH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55"/>
      <c r="BB858" s="55"/>
      <c r="BC858" s="55"/>
      <c r="BD858" s="55"/>
      <c r="BE858" s="55"/>
      <c r="BF858" s="55"/>
      <c r="BG858" s="55"/>
      <c r="BH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  <c r="BA859" s="55"/>
      <c r="BB859" s="55"/>
      <c r="BC859" s="55"/>
      <c r="BD859" s="55"/>
      <c r="BE859" s="55"/>
      <c r="BF859" s="55"/>
      <c r="BG859" s="55"/>
      <c r="BH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  <c r="BA860" s="55"/>
      <c r="BB860" s="55"/>
      <c r="BC860" s="55"/>
      <c r="BD860" s="55"/>
      <c r="BE860" s="55"/>
      <c r="BF860" s="55"/>
      <c r="BG860" s="55"/>
      <c r="BH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  <c r="BA861" s="55"/>
      <c r="BB861" s="55"/>
      <c r="BC861" s="55"/>
      <c r="BD861" s="55"/>
      <c r="BE861" s="55"/>
      <c r="BF861" s="55"/>
      <c r="BG861" s="55"/>
      <c r="BH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55"/>
      <c r="BB862" s="55"/>
      <c r="BC862" s="55"/>
      <c r="BD862" s="55"/>
      <c r="BE862" s="55"/>
      <c r="BF862" s="55"/>
      <c r="BG862" s="55"/>
      <c r="BH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  <c r="BA863" s="55"/>
      <c r="BB863" s="55"/>
      <c r="BC863" s="55"/>
      <c r="BD863" s="55"/>
      <c r="BE863" s="55"/>
      <c r="BF863" s="55"/>
      <c r="BG863" s="55"/>
      <c r="BH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  <c r="AZ864" s="55"/>
      <c r="BA864" s="55"/>
      <c r="BB864" s="55"/>
      <c r="BC864" s="55"/>
      <c r="BD864" s="55"/>
      <c r="BE864" s="55"/>
      <c r="BF864" s="55"/>
      <c r="BG864" s="55"/>
      <c r="BH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  <c r="AZ865" s="55"/>
      <c r="BA865" s="55"/>
      <c r="BB865" s="55"/>
      <c r="BC865" s="55"/>
      <c r="BD865" s="55"/>
      <c r="BE865" s="55"/>
      <c r="BF865" s="55"/>
      <c r="BG865" s="55"/>
      <c r="BH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  <c r="BA866" s="55"/>
      <c r="BB866" s="55"/>
      <c r="BC866" s="55"/>
      <c r="BD866" s="55"/>
      <c r="BE866" s="55"/>
      <c r="BF866" s="55"/>
      <c r="BG866" s="55"/>
      <c r="BH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  <c r="BA867" s="55"/>
      <c r="BB867" s="55"/>
      <c r="BC867" s="55"/>
      <c r="BD867" s="55"/>
      <c r="BE867" s="55"/>
      <c r="BF867" s="55"/>
      <c r="BG867" s="55"/>
      <c r="BH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  <c r="BA868" s="55"/>
      <c r="BB868" s="55"/>
      <c r="BC868" s="55"/>
      <c r="BD868" s="55"/>
      <c r="BE868" s="55"/>
      <c r="BF868" s="55"/>
      <c r="BG868" s="55"/>
      <c r="BH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  <c r="BA869" s="55"/>
      <c r="BB869" s="55"/>
      <c r="BC869" s="55"/>
      <c r="BD869" s="55"/>
      <c r="BE869" s="55"/>
      <c r="BF869" s="55"/>
      <c r="BG869" s="55"/>
      <c r="BH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  <c r="AZ870" s="55"/>
      <c r="BA870" s="55"/>
      <c r="BB870" s="55"/>
      <c r="BC870" s="55"/>
      <c r="BD870" s="55"/>
      <c r="BE870" s="55"/>
      <c r="BF870" s="55"/>
      <c r="BG870" s="55"/>
      <c r="BH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  <c r="AZ871" s="55"/>
      <c r="BA871" s="55"/>
      <c r="BB871" s="55"/>
      <c r="BC871" s="55"/>
      <c r="BD871" s="55"/>
      <c r="BE871" s="55"/>
      <c r="BF871" s="55"/>
      <c r="BG871" s="55"/>
      <c r="BH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  <c r="AZ872" s="55"/>
      <c r="BA872" s="55"/>
      <c r="BB872" s="55"/>
      <c r="BC872" s="55"/>
      <c r="BD872" s="55"/>
      <c r="BE872" s="55"/>
      <c r="BF872" s="55"/>
      <c r="BG872" s="55"/>
      <c r="BH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  <c r="AZ873" s="55"/>
      <c r="BA873" s="55"/>
      <c r="BB873" s="55"/>
      <c r="BC873" s="55"/>
      <c r="BD873" s="55"/>
      <c r="BE873" s="55"/>
      <c r="BF873" s="55"/>
      <c r="BG873" s="55"/>
      <c r="BH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  <c r="BA874" s="55"/>
      <c r="BB874" s="55"/>
      <c r="BC874" s="55"/>
      <c r="BD874" s="55"/>
      <c r="BE874" s="55"/>
      <c r="BF874" s="55"/>
      <c r="BG874" s="55"/>
      <c r="BH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  <c r="AZ875" s="55"/>
      <c r="BA875" s="55"/>
      <c r="BB875" s="55"/>
      <c r="BC875" s="55"/>
      <c r="BD875" s="55"/>
      <c r="BE875" s="55"/>
      <c r="BF875" s="55"/>
      <c r="BG875" s="55"/>
      <c r="BH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  <c r="AX876" s="55"/>
      <c r="AY876" s="55"/>
      <c r="AZ876" s="55"/>
      <c r="BA876" s="55"/>
      <c r="BB876" s="55"/>
      <c r="BC876" s="55"/>
      <c r="BD876" s="55"/>
      <c r="BE876" s="55"/>
      <c r="BF876" s="55"/>
      <c r="BG876" s="55"/>
      <c r="BH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  <c r="AZ877" s="55"/>
      <c r="BA877" s="55"/>
      <c r="BB877" s="55"/>
      <c r="BC877" s="55"/>
      <c r="BD877" s="55"/>
      <c r="BE877" s="55"/>
      <c r="BF877" s="55"/>
      <c r="BG877" s="55"/>
      <c r="BH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  <c r="AX878" s="55"/>
      <c r="AY878" s="55"/>
      <c r="AZ878" s="55"/>
      <c r="BA878" s="55"/>
      <c r="BB878" s="55"/>
      <c r="BC878" s="55"/>
      <c r="BD878" s="55"/>
      <c r="BE878" s="55"/>
      <c r="BF878" s="55"/>
      <c r="BG878" s="55"/>
      <c r="BH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  <c r="AX879" s="55"/>
      <c r="AY879" s="55"/>
      <c r="AZ879" s="55"/>
      <c r="BA879" s="55"/>
      <c r="BB879" s="55"/>
      <c r="BC879" s="55"/>
      <c r="BD879" s="55"/>
      <c r="BE879" s="55"/>
      <c r="BF879" s="55"/>
      <c r="BG879" s="55"/>
      <c r="BH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  <c r="AX880" s="55"/>
      <c r="AY880" s="55"/>
      <c r="AZ880" s="55"/>
      <c r="BA880" s="55"/>
      <c r="BB880" s="55"/>
      <c r="BC880" s="55"/>
      <c r="BD880" s="55"/>
      <c r="BE880" s="55"/>
      <c r="BF880" s="55"/>
      <c r="BG880" s="55"/>
      <c r="BH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  <c r="BA881" s="55"/>
      <c r="BB881" s="55"/>
      <c r="BC881" s="55"/>
      <c r="BD881" s="55"/>
      <c r="BE881" s="55"/>
      <c r="BF881" s="55"/>
      <c r="BG881" s="55"/>
      <c r="BH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  <c r="AX882" s="55"/>
      <c r="AY882" s="55"/>
      <c r="AZ882" s="55"/>
      <c r="BA882" s="55"/>
      <c r="BB882" s="55"/>
      <c r="BC882" s="55"/>
      <c r="BD882" s="55"/>
      <c r="BE882" s="55"/>
      <c r="BF882" s="55"/>
      <c r="BG882" s="55"/>
      <c r="BH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  <c r="AW883" s="55"/>
      <c r="AX883" s="55"/>
      <c r="AY883" s="55"/>
      <c r="AZ883" s="55"/>
      <c r="BA883" s="55"/>
      <c r="BB883" s="55"/>
      <c r="BC883" s="55"/>
      <c r="BD883" s="55"/>
      <c r="BE883" s="55"/>
      <c r="BF883" s="55"/>
      <c r="BG883" s="55"/>
      <c r="BH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  <c r="AW884" s="55"/>
      <c r="AX884" s="55"/>
      <c r="AY884" s="55"/>
      <c r="AZ884" s="55"/>
      <c r="BA884" s="55"/>
      <c r="BB884" s="55"/>
      <c r="BC884" s="55"/>
      <c r="BD884" s="55"/>
      <c r="BE884" s="55"/>
      <c r="BF884" s="55"/>
      <c r="BG884" s="55"/>
      <c r="BH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  <c r="AW885" s="55"/>
      <c r="AX885" s="55"/>
      <c r="AY885" s="55"/>
      <c r="AZ885" s="55"/>
      <c r="BA885" s="55"/>
      <c r="BB885" s="55"/>
      <c r="BC885" s="55"/>
      <c r="BD885" s="55"/>
      <c r="BE885" s="55"/>
      <c r="BF885" s="55"/>
      <c r="BG885" s="55"/>
      <c r="BH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  <c r="AX886" s="55"/>
      <c r="AY886" s="55"/>
      <c r="AZ886" s="55"/>
      <c r="BA886" s="55"/>
      <c r="BB886" s="55"/>
      <c r="BC886" s="55"/>
      <c r="BD886" s="55"/>
      <c r="BE886" s="55"/>
      <c r="BF886" s="55"/>
      <c r="BG886" s="55"/>
      <c r="BH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  <c r="AW887" s="55"/>
      <c r="AX887" s="55"/>
      <c r="AY887" s="55"/>
      <c r="AZ887" s="55"/>
      <c r="BA887" s="55"/>
      <c r="BB887" s="55"/>
      <c r="BC887" s="55"/>
      <c r="BD887" s="55"/>
      <c r="BE887" s="55"/>
      <c r="BF887" s="55"/>
      <c r="BG887" s="55"/>
      <c r="BH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  <c r="AW888" s="55"/>
      <c r="AX888" s="55"/>
      <c r="AY888" s="55"/>
      <c r="AZ888" s="55"/>
      <c r="BA888" s="55"/>
      <c r="BB888" s="55"/>
      <c r="BC888" s="55"/>
      <c r="BD888" s="55"/>
      <c r="BE888" s="55"/>
      <c r="BF888" s="55"/>
      <c r="BG888" s="55"/>
      <c r="BH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  <c r="AW889" s="55"/>
      <c r="AX889" s="55"/>
      <c r="AY889" s="55"/>
      <c r="AZ889" s="55"/>
      <c r="BA889" s="55"/>
      <c r="BB889" s="55"/>
      <c r="BC889" s="55"/>
      <c r="BD889" s="55"/>
      <c r="BE889" s="55"/>
      <c r="BF889" s="55"/>
      <c r="BG889" s="55"/>
      <c r="BH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  <c r="AW890" s="55"/>
      <c r="AX890" s="55"/>
      <c r="AY890" s="55"/>
      <c r="AZ890" s="55"/>
      <c r="BA890" s="55"/>
      <c r="BB890" s="55"/>
      <c r="BC890" s="55"/>
      <c r="BD890" s="55"/>
      <c r="BE890" s="55"/>
      <c r="BF890" s="55"/>
      <c r="BG890" s="55"/>
      <c r="BH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  <c r="AX891" s="55"/>
      <c r="AY891" s="55"/>
      <c r="AZ891" s="55"/>
      <c r="BA891" s="55"/>
      <c r="BB891" s="55"/>
      <c r="BC891" s="55"/>
      <c r="BD891" s="55"/>
      <c r="BE891" s="55"/>
      <c r="BF891" s="55"/>
      <c r="BG891" s="55"/>
      <c r="BH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  <c r="AX892" s="55"/>
      <c r="AY892" s="55"/>
      <c r="AZ892" s="55"/>
      <c r="BA892" s="55"/>
      <c r="BB892" s="55"/>
      <c r="BC892" s="55"/>
      <c r="BD892" s="55"/>
      <c r="BE892" s="55"/>
      <c r="BF892" s="55"/>
      <c r="BG892" s="55"/>
      <c r="BH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  <c r="AX893" s="55"/>
      <c r="AY893" s="55"/>
      <c r="AZ893" s="55"/>
      <c r="BA893" s="55"/>
      <c r="BB893" s="55"/>
      <c r="BC893" s="55"/>
      <c r="BD893" s="55"/>
      <c r="BE893" s="55"/>
      <c r="BF893" s="55"/>
      <c r="BG893" s="55"/>
      <c r="BH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  <c r="AW894" s="55"/>
      <c r="AX894" s="55"/>
      <c r="AY894" s="55"/>
      <c r="AZ894" s="55"/>
      <c r="BA894" s="55"/>
      <c r="BB894" s="55"/>
      <c r="BC894" s="55"/>
      <c r="BD894" s="55"/>
      <c r="BE894" s="55"/>
      <c r="BF894" s="55"/>
      <c r="BG894" s="55"/>
      <c r="BH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  <c r="AW895" s="55"/>
      <c r="AX895" s="55"/>
      <c r="AY895" s="55"/>
      <c r="AZ895" s="55"/>
      <c r="BA895" s="55"/>
      <c r="BB895" s="55"/>
      <c r="BC895" s="55"/>
      <c r="BD895" s="55"/>
      <c r="BE895" s="55"/>
      <c r="BF895" s="55"/>
      <c r="BG895" s="55"/>
      <c r="BH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  <c r="AW896" s="55"/>
      <c r="AX896" s="55"/>
      <c r="AY896" s="55"/>
      <c r="AZ896" s="55"/>
      <c r="BA896" s="55"/>
      <c r="BB896" s="55"/>
      <c r="BC896" s="55"/>
      <c r="BD896" s="55"/>
      <c r="BE896" s="55"/>
      <c r="BF896" s="55"/>
      <c r="BG896" s="55"/>
      <c r="BH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  <c r="BA897" s="55"/>
      <c r="BB897" s="55"/>
      <c r="BC897" s="55"/>
      <c r="BD897" s="55"/>
      <c r="BE897" s="55"/>
      <c r="BF897" s="55"/>
      <c r="BG897" s="55"/>
      <c r="BH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  <c r="AX898" s="55"/>
      <c r="AY898" s="55"/>
      <c r="AZ898" s="55"/>
      <c r="BA898" s="55"/>
      <c r="BB898" s="55"/>
      <c r="BC898" s="55"/>
      <c r="BD898" s="55"/>
      <c r="BE898" s="55"/>
      <c r="BF898" s="55"/>
      <c r="BG898" s="55"/>
      <c r="BH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  <c r="AW899" s="55"/>
      <c r="AX899" s="55"/>
      <c r="AY899" s="55"/>
      <c r="AZ899" s="55"/>
      <c r="BA899" s="55"/>
      <c r="BB899" s="55"/>
      <c r="BC899" s="55"/>
      <c r="BD899" s="55"/>
      <c r="BE899" s="55"/>
      <c r="BF899" s="55"/>
      <c r="BG899" s="55"/>
      <c r="BH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  <c r="AX900" s="55"/>
      <c r="AY900" s="55"/>
      <c r="AZ900" s="55"/>
      <c r="BA900" s="55"/>
      <c r="BB900" s="55"/>
      <c r="BC900" s="55"/>
      <c r="BD900" s="55"/>
      <c r="BE900" s="55"/>
      <c r="BF900" s="55"/>
      <c r="BG900" s="55"/>
      <c r="BH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  <c r="AW901" s="55"/>
      <c r="AX901" s="55"/>
      <c r="AY901" s="55"/>
      <c r="AZ901" s="55"/>
      <c r="BA901" s="55"/>
      <c r="BB901" s="55"/>
      <c r="BC901" s="55"/>
      <c r="BD901" s="55"/>
      <c r="BE901" s="55"/>
      <c r="BF901" s="55"/>
      <c r="BG901" s="55"/>
      <c r="BH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  <c r="BA902" s="55"/>
      <c r="BB902" s="55"/>
      <c r="BC902" s="55"/>
      <c r="BD902" s="55"/>
      <c r="BE902" s="55"/>
      <c r="BF902" s="55"/>
      <c r="BG902" s="55"/>
      <c r="BH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  <c r="AW903" s="55"/>
      <c r="AX903" s="55"/>
      <c r="AY903" s="55"/>
      <c r="AZ903" s="55"/>
      <c r="BA903" s="55"/>
      <c r="BB903" s="55"/>
      <c r="BC903" s="55"/>
      <c r="BD903" s="55"/>
      <c r="BE903" s="55"/>
      <c r="BF903" s="55"/>
      <c r="BG903" s="55"/>
      <c r="BH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  <c r="AX904" s="55"/>
      <c r="AY904" s="55"/>
      <c r="AZ904" s="55"/>
      <c r="BA904" s="55"/>
      <c r="BB904" s="55"/>
      <c r="BC904" s="55"/>
      <c r="BD904" s="55"/>
      <c r="BE904" s="55"/>
      <c r="BF904" s="55"/>
      <c r="BG904" s="55"/>
      <c r="BH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  <c r="AX905" s="55"/>
      <c r="AY905" s="55"/>
      <c r="AZ905" s="55"/>
      <c r="BA905" s="55"/>
      <c r="BB905" s="55"/>
      <c r="BC905" s="55"/>
      <c r="BD905" s="55"/>
      <c r="BE905" s="55"/>
      <c r="BF905" s="55"/>
      <c r="BG905" s="55"/>
      <c r="BH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  <c r="AX906" s="55"/>
      <c r="AY906" s="55"/>
      <c r="AZ906" s="55"/>
      <c r="BA906" s="55"/>
      <c r="BB906" s="55"/>
      <c r="BC906" s="55"/>
      <c r="BD906" s="55"/>
      <c r="BE906" s="55"/>
      <c r="BF906" s="55"/>
      <c r="BG906" s="55"/>
      <c r="BH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  <c r="AX907" s="55"/>
      <c r="AY907" s="55"/>
      <c r="AZ907" s="55"/>
      <c r="BA907" s="55"/>
      <c r="BB907" s="55"/>
      <c r="BC907" s="55"/>
      <c r="BD907" s="55"/>
      <c r="BE907" s="55"/>
      <c r="BF907" s="55"/>
      <c r="BG907" s="55"/>
      <c r="BH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  <c r="AW908" s="55"/>
      <c r="AX908" s="55"/>
      <c r="AY908" s="55"/>
      <c r="AZ908" s="55"/>
      <c r="BA908" s="55"/>
      <c r="BB908" s="55"/>
      <c r="BC908" s="55"/>
      <c r="BD908" s="55"/>
      <c r="BE908" s="55"/>
      <c r="BF908" s="55"/>
      <c r="BG908" s="55"/>
      <c r="BH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  <c r="BA909" s="55"/>
      <c r="BB909" s="55"/>
      <c r="BC909" s="55"/>
      <c r="BD909" s="55"/>
      <c r="BE909" s="55"/>
      <c r="BF909" s="55"/>
      <c r="BG909" s="55"/>
      <c r="BH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/>
      <c r="BD910" s="55"/>
      <c r="BE910" s="55"/>
      <c r="BF910" s="55"/>
      <c r="BG910" s="55"/>
      <c r="BH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  <c r="BA911" s="55"/>
      <c r="BB911" s="55"/>
      <c r="BC911" s="55"/>
      <c r="BD911" s="55"/>
      <c r="BE911" s="55"/>
      <c r="BF911" s="55"/>
      <c r="BG911" s="55"/>
      <c r="BH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  <c r="AX912" s="55"/>
      <c r="AY912" s="55"/>
      <c r="AZ912" s="55"/>
      <c r="BA912" s="55"/>
      <c r="BB912" s="55"/>
      <c r="BC912" s="55"/>
      <c r="BD912" s="55"/>
      <c r="BE912" s="55"/>
      <c r="BF912" s="55"/>
      <c r="BG912" s="55"/>
      <c r="BH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  <c r="AX913" s="55"/>
      <c r="AY913" s="55"/>
      <c r="AZ913" s="55"/>
      <c r="BA913" s="55"/>
      <c r="BB913" s="55"/>
      <c r="BC913" s="55"/>
      <c r="BD913" s="55"/>
      <c r="BE913" s="55"/>
      <c r="BF913" s="55"/>
      <c r="BG913" s="55"/>
      <c r="BH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  <c r="AX914" s="55"/>
      <c r="AY914" s="55"/>
      <c r="AZ914" s="55"/>
      <c r="BA914" s="55"/>
      <c r="BB914" s="55"/>
      <c r="BC914" s="55"/>
      <c r="BD914" s="55"/>
      <c r="BE914" s="55"/>
      <c r="BF914" s="55"/>
      <c r="BG914" s="55"/>
      <c r="BH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  <c r="AX915" s="55"/>
      <c r="AY915" s="55"/>
      <c r="AZ915" s="55"/>
      <c r="BA915" s="55"/>
      <c r="BB915" s="55"/>
      <c r="BC915" s="55"/>
      <c r="BD915" s="55"/>
      <c r="BE915" s="55"/>
      <c r="BF915" s="55"/>
      <c r="BG915" s="55"/>
      <c r="BH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  <c r="BA916" s="55"/>
      <c r="BB916" s="55"/>
      <c r="BC916" s="55"/>
      <c r="BD916" s="55"/>
      <c r="BE916" s="55"/>
      <c r="BF916" s="55"/>
      <c r="BG916" s="55"/>
      <c r="BH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  <c r="AX917" s="55"/>
      <c r="AY917" s="55"/>
      <c r="AZ917" s="55"/>
      <c r="BA917" s="55"/>
      <c r="BB917" s="55"/>
      <c r="BC917" s="55"/>
      <c r="BD917" s="55"/>
      <c r="BE917" s="55"/>
      <c r="BF917" s="55"/>
      <c r="BG917" s="55"/>
      <c r="BH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  <c r="AX918" s="55"/>
      <c r="AY918" s="55"/>
      <c r="AZ918" s="55"/>
      <c r="BA918" s="55"/>
      <c r="BB918" s="55"/>
      <c r="BC918" s="55"/>
      <c r="BD918" s="55"/>
      <c r="BE918" s="55"/>
      <c r="BF918" s="55"/>
      <c r="BG918" s="55"/>
      <c r="BH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  <c r="AX919" s="55"/>
      <c r="AY919" s="55"/>
      <c r="AZ919" s="55"/>
      <c r="BA919" s="55"/>
      <c r="BB919" s="55"/>
      <c r="BC919" s="55"/>
      <c r="BD919" s="55"/>
      <c r="BE919" s="55"/>
      <c r="BF919" s="55"/>
      <c r="BG919" s="55"/>
      <c r="BH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  <c r="AX920" s="55"/>
      <c r="AY920" s="55"/>
      <c r="AZ920" s="55"/>
      <c r="BA920" s="55"/>
      <c r="BB920" s="55"/>
      <c r="BC920" s="55"/>
      <c r="BD920" s="55"/>
      <c r="BE920" s="55"/>
      <c r="BF920" s="55"/>
      <c r="BG920" s="55"/>
      <c r="BH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  <c r="AX921" s="55"/>
      <c r="AY921" s="55"/>
      <c r="AZ921" s="55"/>
      <c r="BA921" s="55"/>
      <c r="BB921" s="55"/>
      <c r="BC921" s="55"/>
      <c r="BD921" s="55"/>
      <c r="BE921" s="55"/>
      <c r="BF921" s="55"/>
      <c r="BG921" s="55"/>
      <c r="BH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  <c r="AX922" s="55"/>
      <c r="AY922" s="55"/>
      <c r="AZ922" s="55"/>
      <c r="BA922" s="55"/>
      <c r="BB922" s="55"/>
      <c r="BC922" s="55"/>
      <c r="BD922" s="55"/>
      <c r="BE922" s="55"/>
      <c r="BF922" s="55"/>
      <c r="BG922" s="55"/>
      <c r="BH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  <c r="AX923" s="55"/>
      <c r="AY923" s="55"/>
      <c r="AZ923" s="55"/>
      <c r="BA923" s="55"/>
      <c r="BB923" s="55"/>
      <c r="BC923" s="55"/>
      <c r="BD923" s="55"/>
      <c r="BE923" s="55"/>
      <c r="BF923" s="55"/>
      <c r="BG923" s="55"/>
      <c r="BH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  <c r="AX924" s="55"/>
      <c r="AY924" s="55"/>
      <c r="AZ924" s="55"/>
      <c r="BA924" s="55"/>
      <c r="BB924" s="55"/>
      <c r="BC924" s="55"/>
      <c r="BD924" s="55"/>
      <c r="BE924" s="55"/>
      <c r="BF924" s="55"/>
      <c r="BG924" s="55"/>
      <c r="BH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  <c r="AX925" s="55"/>
      <c r="AY925" s="55"/>
      <c r="AZ925" s="55"/>
      <c r="BA925" s="55"/>
      <c r="BB925" s="55"/>
      <c r="BC925" s="55"/>
      <c r="BD925" s="55"/>
      <c r="BE925" s="55"/>
      <c r="BF925" s="55"/>
      <c r="BG925" s="55"/>
      <c r="BH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  <c r="AX926" s="55"/>
      <c r="AY926" s="55"/>
      <c r="AZ926" s="55"/>
      <c r="BA926" s="55"/>
      <c r="BB926" s="55"/>
      <c r="BC926" s="55"/>
      <c r="BD926" s="55"/>
      <c r="BE926" s="55"/>
      <c r="BF926" s="55"/>
      <c r="BG926" s="55"/>
      <c r="BH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  <c r="AX927" s="55"/>
      <c r="AY927" s="55"/>
      <c r="AZ927" s="55"/>
      <c r="BA927" s="55"/>
      <c r="BB927" s="55"/>
      <c r="BC927" s="55"/>
      <c r="BD927" s="55"/>
      <c r="BE927" s="55"/>
      <c r="BF927" s="55"/>
      <c r="BG927" s="55"/>
      <c r="BH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  <c r="AX928" s="55"/>
      <c r="AY928" s="55"/>
      <c r="AZ928" s="55"/>
      <c r="BA928" s="55"/>
      <c r="BB928" s="55"/>
      <c r="BC928" s="55"/>
      <c r="BD928" s="55"/>
      <c r="BE928" s="55"/>
      <c r="BF928" s="55"/>
      <c r="BG928" s="55"/>
      <c r="BH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  <c r="AW929" s="55"/>
      <c r="AX929" s="55"/>
      <c r="AY929" s="55"/>
      <c r="AZ929" s="55"/>
      <c r="BA929" s="55"/>
      <c r="BB929" s="55"/>
      <c r="BC929" s="55"/>
      <c r="BD929" s="55"/>
      <c r="BE929" s="55"/>
      <c r="BF929" s="55"/>
      <c r="BG929" s="55"/>
      <c r="BH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  <c r="AX930" s="55"/>
      <c r="AY930" s="55"/>
      <c r="AZ930" s="55"/>
      <c r="BA930" s="55"/>
      <c r="BB930" s="55"/>
      <c r="BC930" s="55"/>
      <c r="BD930" s="55"/>
      <c r="BE930" s="55"/>
      <c r="BF930" s="55"/>
      <c r="BG930" s="55"/>
      <c r="BH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  <c r="AW931" s="55"/>
      <c r="AX931" s="55"/>
      <c r="AY931" s="55"/>
      <c r="AZ931" s="55"/>
      <c r="BA931" s="55"/>
      <c r="BB931" s="55"/>
      <c r="BC931" s="55"/>
      <c r="BD931" s="55"/>
      <c r="BE931" s="55"/>
      <c r="BF931" s="55"/>
      <c r="BG931" s="55"/>
      <c r="BH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  <c r="AX932" s="55"/>
      <c r="AY932" s="55"/>
      <c r="AZ932" s="55"/>
      <c r="BA932" s="55"/>
      <c r="BB932" s="55"/>
      <c r="BC932" s="55"/>
      <c r="BD932" s="55"/>
      <c r="BE932" s="55"/>
      <c r="BF932" s="55"/>
      <c r="BG932" s="55"/>
      <c r="BH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  <c r="AW933" s="55"/>
      <c r="AX933" s="55"/>
      <c r="AY933" s="55"/>
      <c r="AZ933" s="55"/>
      <c r="BA933" s="55"/>
      <c r="BB933" s="55"/>
      <c r="BC933" s="55"/>
      <c r="BD933" s="55"/>
      <c r="BE933" s="55"/>
      <c r="BF933" s="55"/>
      <c r="BG933" s="55"/>
      <c r="BH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  <c r="AW934" s="55"/>
      <c r="AX934" s="55"/>
      <c r="AY934" s="55"/>
      <c r="AZ934" s="55"/>
      <c r="BA934" s="55"/>
      <c r="BB934" s="55"/>
      <c r="BC934" s="55"/>
      <c r="BD934" s="55"/>
      <c r="BE934" s="55"/>
      <c r="BF934" s="55"/>
      <c r="BG934" s="55"/>
      <c r="BH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  <c r="AW935" s="55"/>
      <c r="AX935" s="55"/>
      <c r="AY935" s="55"/>
      <c r="AZ935" s="55"/>
      <c r="BA935" s="55"/>
      <c r="BB935" s="55"/>
      <c r="BC935" s="55"/>
      <c r="BD935" s="55"/>
      <c r="BE935" s="55"/>
      <c r="BF935" s="55"/>
      <c r="BG935" s="55"/>
      <c r="BH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  <c r="AW936" s="55"/>
      <c r="AX936" s="55"/>
      <c r="AY936" s="55"/>
      <c r="AZ936" s="55"/>
      <c r="BA936" s="55"/>
      <c r="BB936" s="55"/>
      <c r="BC936" s="55"/>
      <c r="BD936" s="55"/>
      <c r="BE936" s="55"/>
      <c r="BF936" s="55"/>
      <c r="BG936" s="55"/>
      <c r="BH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  <c r="AW937" s="55"/>
      <c r="AX937" s="55"/>
      <c r="AY937" s="55"/>
      <c r="AZ937" s="55"/>
      <c r="BA937" s="55"/>
      <c r="BB937" s="55"/>
      <c r="BC937" s="55"/>
      <c r="BD937" s="55"/>
      <c r="BE937" s="55"/>
      <c r="BF937" s="55"/>
      <c r="BG937" s="55"/>
      <c r="BH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  <c r="AW938" s="55"/>
      <c r="AX938" s="55"/>
      <c r="AY938" s="55"/>
      <c r="AZ938" s="55"/>
      <c r="BA938" s="55"/>
      <c r="BB938" s="55"/>
      <c r="BC938" s="55"/>
      <c r="BD938" s="55"/>
      <c r="BE938" s="55"/>
      <c r="BF938" s="55"/>
      <c r="BG938" s="55"/>
      <c r="BH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  <c r="AW939" s="55"/>
      <c r="AX939" s="55"/>
      <c r="AY939" s="55"/>
      <c r="AZ939" s="55"/>
      <c r="BA939" s="55"/>
      <c r="BB939" s="55"/>
      <c r="BC939" s="55"/>
      <c r="BD939" s="55"/>
      <c r="BE939" s="55"/>
      <c r="BF939" s="55"/>
      <c r="BG939" s="55"/>
      <c r="BH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  <c r="AW940" s="55"/>
      <c r="AX940" s="55"/>
      <c r="AY940" s="55"/>
      <c r="AZ940" s="55"/>
      <c r="BA940" s="55"/>
      <c r="BB940" s="55"/>
      <c r="BC940" s="55"/>
      <c r="BD940" s="55"/>
      <c r="BE940" s="55"/>
      <c r="BF940" s="55"/>
      <c r="BG940" s="55"/>
      <c r="BH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  <c r="AW941" s="55"/>
      <c r="AX941" s="55"/>
      <c r="AY941" s="55"/>
      <c r="AZ941" s="55"/>
      <c r="BA941" s="55"/>
      <c r="BB941" s="55"/>
      <c r="BC941" s="55"/>
      <c r="BD941" s="55"/>
      <c r="BE941" s="55"/>
      <c r="BF941" s="55"/>
      <c r="BG941" s="55"/>
      <c r="BH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  <c r="AW942" s="55"/>
      <c r="AX942" s="55"/>
      <c r="AY942" s="55"/>
      <c r="AZ942" s="55"/>
      <c r="BA942" s="55"/>
      <c r="BB942" s="55"/>
      <c r="BC942" s="55"/>
      <c r="BD942" s="55"/>
      <c r="BE942" s="55"/>
      <c r="BF942" s="55"/>
      <c r="BG942" s="55"/>
      <c r="BH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  <c r="AW943" s="55"/>
      <c r="AX943" s="55"/>
      <c r="AY943" s="55"/>
      <c r="AZ943" s="55"/>
      <c r="BA943" s="55"/>
      <c r="BB943" s="55"/>
      <c r="BC943" s="55"/>
      <c r="BD943" s="55"/>
      <c r="BE943" s="55"/>
      <c r="BF943" s="55"/>
      <c r="BG943" s="55"/>
      <c r="BH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  <c r="AX944" s="55"/>
      <c r="AY944" s="55"/>
      <c r="AZ944" s="55"/>
      <c r="BA944" s="55"/>
      <c r="BB944" s="55"/>
      <c r="BC944" s="55"/>
      <c r="BD944" s="55"/>
      <c r="BE944" s="55"/>
      <c r="BF944" s="55"/>
      <c r="BG944" s="55"/>
      <c r="BH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  <c r="BA945" s="55"/>
      <c r="BB945" s="55"/>
      <c r="BC945" s="55"/>
      <c r="BD945" s="55"/>
      <c r="BE945" s="55"/>
      <c r="BF945" s="55"/>
      <c r="BG945" s="55"/>
      <c r="BH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  <c r="AX946" s="55"/>
      <c r="AY946" s="55"/>
      <c r="AZ946" s="55"/>
      <c r="BA946" s="55"/>
      <c r="BB946" s="55"/>
      <c r="BC946" s="55"/>
      <c r="BD946" s="55"/>
      <c r="BE946" s="55"/>
      <c r="BF946" s="55"/>
      <c r="BG946" s="55"/>
      <c r="BH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  <c r="AX947" s="55"/>
      <c r="AY947" s="55"/>
      <c r="AZ947" s="55"/>
      <c r="BA947" s="55"/>
      <c r="BB947" s="55"/>
      <c r="BC947" s="55"/>
      <c r="BD947" s="55"/>
      <c r="BE947" s="55"/>
      <c r="BF947" s="55"/>
      <c r="BG947" s="55"/>
      <c r="BH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  <c r="AW948" s="55"/>
      <c r="AX948" s="55"/>
      <c r="AY948" s="55"/>
      <c r="AZ948" s="55"/>
      <c r="BA948" s="55"/>
      <c r="BB948" s="55"/>
      <c r="BC948" s="55"/>
      <c r="BD948" s="55"/>
      <c r="BE948" s="55"/>
      <c r="BF948" s="55"/>
      <c r="BG948" s="55"/>
      <c r="BH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  <c r="AW949" s="55"/>
      <c r="AX949" s="55"/>
      <c r="AY949" s="55"/>
      <c r="AZ949" s="55"/>
      <c r="BA949" s="55"/>
      <c r="BB949" s="55"/>
      <c r="BC949" s="55"/>
      <c r="BD949" s="55"/>
      <c r="BE949" s="55"/>
      <c r="BF949" s="55"/>
      <c r="BG949" s="55"/>
      <c r="BH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  <c r="BA950" s="55"/>
      <c r="BB950" s="55"/>
      <c r="BC950" s="55"/>
      <c r="BD950" s="55"/>
      <c r="BE950" s="55"/>
      <c r="BF950" s="55"/>
      <c r="BG950" s="55"/>
      <c r="BH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  <c r="AX951" s="55"/>
      <c r="AY951" s="55"/>
      <c r="AZ951" s="55"/>
      <c r="BA951" s="55"/>
      <c r="BB951" s="55"/>
      <c r="BC951" s="55"/>
      <c r="BD951" s="55"/>
      <c r="BE951" s="55"/>
      <c r="BF951" s="55"/>
      <c r="BG951" s="55"/>
      <c r="BH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  <c r="BA952" s="55"/>
      <c r="BB952" s="55"/>
      <c r="BC952" s="55"/>
      <c r="BD952" s="55"/>
      <c r="BE952" s="55"/>
      <c r="BF952" s="55"/>
      <c r="BG952" s="55"/>
      <c r="BH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  <c r="AW953" s="55"/>
      <c r="AX953" s="55"/>
      <c r="AY953" s="55"/>
      <c r="AZ953" s="55"/>
      <c r="BA953" s="55"/>
      <c r="BB953" s="55"/>
      <c r="BC953" s="55"/>
      <c r="BD953" s="55"/>
      <c r="BE953" s="55"/>
      <c r="BF953" s="55"/>
      <c r="BG953" s="55"/>
      <c r="BH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  <c r="AX954" s="55"/>
      <c r="AY954" s="55"/>
      <c r="AZ954" s="55"/>
      <c r="BA954" s="55"/>
      <c r="BB954" s="55"/>
      <c r="BC954" s="55"/>
      <c r="BD954" s="55"/>
      <c r="BE954" s="55"/>
      <c r="BF954" s="55"/>
      <c r="BG954" s="55"/>
      <c r="BH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  <c r="AW955" s="55"/>
      <c r="AX955" s="55"/>
      <c r="AY955" s="55"/>
      <c r="AZ955" s="55"/>
      <c r="BA955" s="55"/>
      <c r="BB955" s="55"/>
      <c r="BC955" s="55"/>
      <c r="BD955" s="55"/>
      <c r="BE955" s="55"/>
      <c r="BF955" s="55"/>
      <c r="BG955" s="55"/>
      <c r="BH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  <c r="AW956" s="55"/>
      <c r="AX956" s="55"/>
      <c r="AY956" s="55"/>
      <c r="AZ956" s="55"/>
      <c r="BA956" s="55"/>
      <c r="BB956" s="55"/>
      <c r="BC956" s="55"/>
      <c r="BD956" s="55"/>
      <c r="BE956" s="55"/>
      <c r="BF956" s="55"/>
      <c r="BG956" s="55"/>
      <c r="BH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  <c r="AW957" s="55"/>
      <c r="AX957" s="55"/>
      <c r="AY957" s="55"/>
      <c r="AZ957" s="55"/>
      <c r="BA957" s="55"/>
      <c r="BB957" s="55"/>
      <c r="BC957" s="55"/>
      <c r="BD957" s="55"/>
      <c r="BE957" s="55"/>
      <c r="BF957" s="55"/>
      <c r="BG957" s="55"/>
      <c r="BH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  <c r="AX958" s="55"/>
      <c r="AY958" s="55"/>
      <c r="AZ958" s="55"/>
      <c r="BA958" s="55"/>
      <c r="BB958" s="55"/>
      <c r="BC958" s="55"/>
      <c r="BD958" s="55"/>
      <c r="BE958" s="55"/>
      <c r="BF958" s="55"/>
      <c r="BG958" s="55"/>
      <c r="BH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  <c r="AX959" s="55"/>
      <c r="AY959" s="55"/>
      <c r="AZ959" s="55"/>
      <c r="BA959" s="55"/>
      <c r="BB959" s="55"/>
      <c r="BC959" s="55"/>
      <c r="BD959" s="55"/>
      <c r="BE959" s="55"/>
      <c r="BF959" s="55"/>
      <c r="BG959" s="55"/>
      <c r="BH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  <c r="AX960" s="55"/>
      <c r="AY960" s="55"/>
      <c r="AZ960" s="55"/>
      <c r="BA960" s="55"/>
      <c r="BB960" s="55"/>
      <c r="BC960" s="55"/>
      <c r="BD960" s="55"/>
      <c r="BE960" s="55"/>
      <c r="BF960" s="55"/>
      <c r="BG960" s="55"/>
      <c r="BH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  <c r="AX961" s="55"/>
      <c r="AY961" s="55"/>
      <c r="AZ961" s="55"/>
      <c r="BA961" s="55"/>
      <c r="BB961" s="55"/>
      <c r="BC961" s="55"/>
      <c r="BD961" s="55"/>
      <c r="BE961" s="55"/>
      <c r="BF961" s="55"/>
      <c r="BG961" s="55"/>
      <c r="BH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  <c r="AW962" s="55"/>
      <c r="AX962" s="55"/>
      <c r="AY962" s="55"/>
      <c r="AZ962" s="55"/>
      <c r="BA962" s="55"/>
      <c r="BB962" s="55"/>
      <c r="BC962" s="55"/>
      <c r="BD962" s="55"/>
      <c r="BE962" s="55"/>
      <c r="BF962" s="55"/>
      <c r="BG962" s="55"/>
      <c r="BH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  <c r="AW963" s="55"/>
      <c r="AX963" s="55"/>
      <c r="AY963" s="55"/>
      <c r="AZ963" s="55"/>
      <c r="BA963" s="55"/>
      <c r="BB963" s="55"/>
      <c r="BC963" s="55"/>
      <c r="BD963" s="55"/>
      <c r="BE963" s="55"/>
      <c r="BF963" s="55"/>
      <c r="BG963" s="55"/>
      <c r="BH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  <c r="AW964" s="55"/>
      <c r="AX964" s="55"/>
      <c r="AY964" s="55"/>
      <c r="AZ964" s="55"/>
      <c r="BA964" s="55"/>
      <c r="BB964" s="55"/>
      <c r="BC964" s="55"/>
      <c r="BD964" s="55"/>
      <c r="BE964" s="55"/>
      <c r="BF964" s="55"/>
      <c r="BG964" s="55"/>
      <c r="BH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  <c r="AW965" s="55"/>
      <c r="AX965" s="55"/>
      <c r="AY965" s="55"/>
      <c r="AZ965" s="55"/>
      <c r="BA965" s="55"/>
      <c r="BB965" s="55"/>
      <c r="BC965" s="55"/>
      <c r="BD965" s="55"/>
      <c r="BE965" s="55"/>
      <c r="BF965" s="55"/>
      <c r="BG965" s="55"/>
      <c r="BH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  <c r="AW966" s="55"/>
      <c r="AX966" s="55"/>
      <c r="AY966" s="55"/>
      <c r="AZ966" s="55"/>
      <c r="BA966" s="55"/>
      <c r="BB966" s="55"/>
      <c r="BC966" s="55"/>
      <c r="BD966" s="55"/>
      <c r="BE966" s="55"/>
      <c r="BF966" s="55"/>
      <c r="BG966" s="55"/>
      <c r="BH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  <c r="AW967" s="55"/>
      <c r="AX967" s="55"/>
      <c r="AY967" s="55"/>
      <c r="AZ967" s="55"/>
      <c r="BA967" s="55"/>
      <c r="BB967" s="55"/>
      <c r="BC967" s="55"/>
      <c r="BD967" s="55"/>
      <c r="BE967" s="55"/>
      <c r="BF967" s="55"/>
      <c r="BG967" s="55"/>
      <c r="BH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  <c r="AW968" s="55"/>
      <c r="AX968" s="55"/>
      <c r="AY968" s="55"/>
      <c r="AZ968" s="55"/>
      <c r="BA968" s="55"/>
      <c r="BB968" s="55"/>
      <c r="BC968" s="55"/>
      <c r="BD968" s="55"/>
      <c r="BE968" s="55"/>
      <c r="BF968" s="55"/>
      <c r="BG968" s="55"/>
      <c r="BH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  <c r="AX969" s="55"/>
      <c r="AY969" s="55"/>
      <c r="AZ969" s="55"/>
      <c r="BA969" s="55"/>
      <c r="BB969" s="55"/>
      <c r="BC969" s="55"/>
      <c r="BD969" s="55"/>
      <c r="BE969" s="55"/>
      <c r="BF969" s="55"/>
      <c r="BG969" s="55"/>
      <c r="BH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  <c r="AW970" s="55"/>
      <c r="AX970" s="55"/>
      <c r="AY970" s="55"/>
      <c r="AZ970" s="55"/>
      <c r="BA970" s="55"/>
      <c r="BB970" s="55"/>
      <c r="BC970" s="55"/>
      <c r="BD970" s="55"/>
      <c r="BE970" s="55"/>
      <c r="BF970" s="55"/>
      <c r="BG970" s="55"/>
      <c r="BH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  <c r="AW971" s="55"/>
      <c r="AX971" s="55"/>
      <c r="AY971" s="55"/>
      <c r="AZ971" s="55"/>
      <c r="BA971" s="55"/>
      <c r="BB971" s="55"/>
      <c r="BC971" s="55"/>
      <c r="BD971" s="55"/>
      <c r="BE971" s="55"/>
      <c r="BF971" s="55"/>
      <c r="BG971" s="55"/>
      <c r="BH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  <c r="AW972" s="55"/>
      <c r="AX972" s="55"/>
      <c r="AY972" s="55"/>
      <c r="AZ972" s="55"/>
      <c r="BA972" s="55"/>
      <c r="BB972" s="55"/>
      <c r="BC972" s="55"/>
      <c r="BD972" s="55"/>
      <c r="BE972" s="55"/>
      <c r="BF972" s="55"/>
      <c r="BG972" s="55"/>
      <c r="BH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  <c r="AW973" s="55"/>
      <c r="AX973" s="55"/>
      <c r="AY973" s="55"/>
      <c r="AZ973" s="55"/>
      <c r="BA973" s="55"/>
      <c r="BB973" s="55"/>
      <c r="BC973" s="55"/>
      <c r="BD973" s="55"/>
      <c r="BE973" s="55"/>
      <c r="BF973" s="55"/>
      <c r="BG973" s="55"/>
      <c r="BH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  <c r="AX974" s="55"/>
      <c r="AY974" s="55"/>
      <c r="AZ974" s="55"/>
      <c r="BA974" s="55"/>
      <c r="BB974" s="55"/>
      <c r="BC974" s="55"/>
      <c r="BD974" s="55"/>
      <c r="BE974" s="55"/>
      <c r="BF974" s="55"/>
      <c r="BG974" s="55"/>
      <c r="BH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  <c r="AW975" s="55"/>
      <c r="AX975" s="55"/>
      <c r="AY975" s="55"/>
      <c r="AZ975" s="55"/>
      <c r="BA975" s="55"/>
      <c r="BB975" s="55"/>
      <c r="BC975" s="55"/>
      <c r="BD975" s="55"/>
      <c r="BE975" s="55"/>
      <c r="BF975" s="55"/>
      <c r="BG975" s="55"/>
      <c r="BH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  <c r="AW976" s="55"/>
      <c r="AX976" s="55"/>
      <c r="AY976" s="55"/>
      <c r="AZ976" s="55"/>
      <c r="BA976" s="55"/>
      <c r="BB976" s="55"/>
      <c r="BC976" s="55"/>
      <c r="BD976" s="55"/>
      <c r="BE976" s="55"/>
      <c r="BF976" s="55"/>
      <c r="BG976" s="55"/>
      <c r="BH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  <c r="AW977" s="55"/>
      <c r="AX977" s="55"/>
      <c r="AY977" s="55"/>
      <c r="AZ977" s="55"/>
      <c r="BA977" s="55"/>
      <c r="BB977" s="55"/>
      <c r="BC977" s="55"/>
      <c r="BD977" s="55"/>
      <c r="BE977" s="55"/>
      <c r="BF977" s="55"/>
      <c r="BG977" s="55"/>
      <c r="BH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  <c r="AW978" s="55"/>
      <c r="AX978" s="55"/>
      <c r="AY978" s="55"/>
      <c r="AZ978" s="55"/>
      <c r="BA978" s="55"/>
      <c r="BB978" s="55"/>
      <c r="BC978" s="55"/>
      <c r="BD978" s="55"/>
      <c r="BE978" s="55"/>
      <c r="BF978" s="55"/>
      <c r="BG978" s="55"/>
      <c r="BH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  <c r="AX979" s="55"/>
      <c r="AY979" s="55"/>
      <c r="AZ979" s="55"/>
      <c r="BA979" s="55"/>
      <c r="BB979" s="55"/>
      <c r="BC979" s="55"/>
      <c r="BD979" s="55"/>
      <c r="BE979" s="55"/>
      <c r="BF979" s="55"/>
      <c r="BG979" s="55"/>
      <c r="BH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  <c r="AW980" s="55"/>
      <c r="AX980" s="55"/>
      <c r="AY980" s="55"/>
      <c r="AZ980" s="55"/>
      <c r="BA980" s="55"/>
      <c r="BB980" s="55"/>
      <c r="BC980" s="55"/>
      <c r="BD980" s="55"/>
      <c r="BE980" s="55"/>
      <c r="BF980" s="55"/>
      <c r="BG980" s="55"/>
      <c r="BH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  <c r="AW981" s="55"/>
      <c r="AX981" s="55"/>
      <c r="AY981" s="55"/>
      <c r="AZ981" s="55"/>
      <c r="BA981" s="55"/>
      <c r="BB981" s="55"/>
      <c r="BC981" s="55"/>
      <c r="BD981" s="55"/>
      <c r="BE981" s="55"/>
      <c r="BF981" s="55"/>
      <c r="BG981" s="55"/>
      <c r="BH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  <c r="AW982" s="55"/>
      <c r="AX982" s="55"/>
      <c r="AY982" s="55"/>
      <c r="AZ982" s="55"/>
      <c r="BA982" s="55"/>
      <c r="BB982" s="55"/>
      <c r="BC982" s="55"/>
      <c r="BD982" s="55"/>
      <c r="BE982" s="55"/>
      <c r="BF982" s="55"/>
      <c r="BG982" s="55"/>
      <c r="BH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  <c r="AW983" s="55"/>
      <c r="AX983" s="55"/>
      <c r="AY983" s="55"/>
      <c r="AZ983" s="55"/>
      <c r="BA983" s="55"/>
      <c r="BB983" s="55"/>
      <c r="BC983" s="55"/>
      <c r="BD983" s="55"/>
      <c r="BE983" s="55"/>
      <c r="BF983" s="55"/>
      <c r="BG983" s="55"/>
      <c r="BH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  <c r="AX984" s="55"/>
      <c r="AY984" s="55"/>
      <c r="AZ984" s="55"/>
      <c r="BA984" s="55"/>
      <c r="BB984" s="55"/>
      <c r="BC984" s="55"/>
      <c r="BD984" s="55"/>
      <c r="BE984" s="55"/>
      <c r="BF984" s="55"/>
      <c r="BG984" s="55"/>
      <c r="BH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  <c r="BA985" s="55"/>
      <c r="BB985" s="55"/>
      <c r="BC985" s="55"/>
      <c r="BD985" s="55"/>
      <c r="BE985" s="55"/>
      <c r="BF985" s="55"/>
      <c r="BG985" s="55"/>
      <c r="BH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  <c r="BA986" s="55"/>
      <c r="BB986" s="55"/>
      <c r="BC986" s="55"/>
      <c r="BD986" s="55"/>
      <c r="BE986" s="55"/>
      <c r="BF986" s="55"/>
      <c r="BG986" s="55"/>
      <c r="BH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  <c r="AX987" s="55"/>
      <c r="AY987" s="55"/>
      <c r="AZ987" s="55"/>
      <c r="BA987" s="55"/>
      <c r="BB987" s="55"/>
      <c r="BC987" s="55"/>
      <c r="BD987" s="55"/>
      <c r="BE987" s="55"/>
      <c r="BF987" s="55"/>
      <c r="BG987" s="55"/>
      <c r="BH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  <c r="AW988" s="55"/>
      <c r="AX988" s="55"/>
      <c r="AY988" s="55"/>
      <c r="AZ988" s="55"/>
      <c r="BA988" s="55"/>
      <c r="BB988" s="55"/>
      <c r="BC988" s="55"/>
      <c r="BD988" s="55"/>
      <c r="BE988" s="55"/>
      <c r="BF988" s="55"/>
      <c r="BG988" s="55"/>
      <c r="BH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  <c r="AW989" s="55"/>
      <c r="AX989" s="55"/>
      <c r="AY989" s="55"/>
      <c r="AZ989" s="55"/>
      <c r="BA989" s="55"/>
      <c r="BB989" s="55"/>
      <c r="BC989" s="55"/>
      <c r="BD989" s="55"/>
      <c r="BE989" s="55"/>
      <c r="BF989" s="55"/>
      <c r="BG989" s="55"/>
      <c r="BH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  <c r="BA990" s="55"/>
      <c r="BB990" s="55"/>
      <c r="BC990" s="55"/>
      <c r="BD990" s="55"/>
      <c r="BE990" s="55"/>
      <c r="BF990" s="55"/>
      <c r="BG990" s="55"/>
      <c r="BH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  <c r="AX991" s="55"/>
      <c r="AY991" s="55"/>
      <c r="AZ991" s="55"/>
      <c r="BA991" s="55"/>
      <c r="BB991" s="55"/>
      <c r="BC991" s="55"/>
      <c r="BD991" s="55"/>
      <c r="BE991" s="55"/>
      <c r="BF991" s="55"/>
      <c r="BG991" s="55"/>
      <c r="BH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  <c r="AX992" s="55"/>
      <c r="AY992" s="55"/>
      <c r="AZ992" s="55"/>
      <c r="BA992" s="55"/>
      <c r="BB992" s="55"/>
      <c r="BC992" s="55"/>
      <c r="BD992" s="55"/>
      <c r="BE992" s="55"/>
      <c r="BF992" s="55"/>
      <c r="BG992" s="55"/>
      <c r="BH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  <c r="AW993" s="55"/>
      <c r="AX993" s="55"/>
      <c r="AY993" s="55"/>
      <c r="AZ993" s="55"/>
      <c r="BA993" s="55"/>
      <c r="BB993" s="55"/>
      <c r="BC993" s="55"/>
      <c r="BD993" s="55"/>
      <c r="BE993" s="55"/>
      <c r="BF993" s="55"/>
      <c r="BG993" s="55"/>
      <c r="BH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  <c r="AW994" s="55"/>
      <c r="AX994" s="55"/>
      <c r="AY994" s="55"/>
      <c r="AZ994" s="55"/>
      <c r="BA994" s="55"/>
      <c r="BB994" s="55"/>
      <c r="BC994" s="55"/>
      <c r="BD994" s="55"/>
      <c r="BE994" s="55"/>
      <c r="BF994" s="55"/>
      <c r="BG994" s="55"/>
      <c r="BH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  <c r="AW995" s="55"/>
      <c r="AX995" s="55"/>
      <c r="AY995" s="55"/>
      <c r="AZ995" s="55"/>
      <c r="BA995" s="55"/>
      <c r="BB995" s="55"/>
      <c r="BC995" s="55"/>
      <c r="BD995" s="55"/>
      <c r="BE995" s="55"/>
      <c r="BF995" s="55"/>
      <c r="BG995" s="55"/>
      <c r="BH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  <c r="AW996" s="55"/>
      <c r="AX996" s="55"/>
      <c r="AY996" s="55"/>
      <c r="AZ996" s="55"/>
      <c r="BA996" s="55"/>
      <c r="BB996" s="55"/>
      <c r="BC996" s="55"/>
      <c r="BD996" s="55"/>
      <c r="BE996" s="55"/>
      <c r="BF996" s="55"/>
      <c r="BG996" s="55"/>
      <c r="BH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  <c r="AW997" s="55"/>
      <c r="AX997" s="55"/>
      <c r="AY997" s="55"/>
      <c r="AZ997" s="55"/>
      <c r="BA997" s="55"/>
      <c r="BB997" s="55"/>
      <c r="BC997" s="55"/>
      <c r="BD997" s="55"/>
      <c r="BE997" s="55"/>
      <c r="BF997" s="55"/>
      <c r="BG997" s="55"/>
      <c r="BH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  <c r="AW998" s="55"/>
      <c r="AX998" s="55"/>
      <c r="AY998" s="55"/>
      <c r="AZ998" s="55"/>
      <c r="BA998" s="55"/>
      <c r="BB998" s="55"/>
      <c r="BC998" s="55"/>
      <c r="BD998" s="55"/>
      <c r="BE998" s="55"/>
      <c r="BF998" s="55"/>
      <c r="BG998" s="55"/>
      <c r="BH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  <c r="AW999" s="55"/>
      <c r="AX999" s="55"/>
      <c r="AY999" s="55"/>
      <c r="AZ999" s="55"/>
      <c r="BA999" s="55"/>
      <c r="BB999" s="55"/>
      <c r="BC999" s="55"/>
      <c r="BD999" s="55"/>
      <c r="BE999" s="55"/>
      <c r="BF999" s="55"/>
      <c r="BG999" s="55"/>
      <c r="BH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  <c r="AW1000" s="55"/>
      <c r="AX1000" s="55"/>
      <c r="AY1000" s="55"/>
      <c r="AZ1000" s="55"/>
      <c r="BA1000" s="55"/>
      <c r="BB1000" s="55"/>
      <c r="BC1000" s="55"/>
      <c r="BD1000" s="55"/>
      <c r="BE1000" s="55"/>
      <c r="BF1000" s="55"/>
      <c r="BG1000" s="55"/>
      <c r="BH1000" s="55"/>
    </row>
  </sheetData>
  <autoFilter ref="$B$6:$BG$24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3.22"/>
    <col customWidth="1" min="2" max="3" width="13.44"/>
    <col customWidth="1" min="4" max="4" width="9.44"/>
    <col customWidth="1" min="5" max="6" width="13.44"/>
    <col customWidth="1" min="7" max="7" width="9.44"/>
    <col customWidth="1" min="8" max="8" width="14.0"/>
    <col customWidth="1" min="9" max="9" width="13.44"/>
    <col customWidth="1" min="10" max="10" width="9.44"/>
    <col customWidth="1" min="11" max="11" width="14.0"/>
    <col customWidth="1" min="12" max="12" width="13.44"/>
    <col customWidth="1" min="13" max="13" width="9.44"/>
    <col customWidth="1" min="14" max="14" width="14.0"/>
    <col customWidth="1" min="15" max="15" width="13.44"/>
    <col customWidth="1" min="16" max="16" width="9.44"/>
    <col customWidth="1" min="17" max="25" width="6.22"/>
    <col customWidth="1" min="26" max="26" width="8.56"/>
  </cols>
  <sheetData>
    <row r="1">
      <c r="A1" s="92"/>
      <c r="B1" s="93" t="s">
        <v>81</v>
      </c>
      <c r="C1" s="94"/>
      <c r="D1" s="94"/>
      <c r="E1" s="93" t="s">
        <v>82</v>
      </c>
      <c r="F1" s="94"/>
      <c r="G1" s="94"/>
      <c r="H1" s="93" t="s">
        <v>83</v>
      </c>
      <c r="I1" s="94"/>
      <c r="J1" s="94"/>
      <c r="K1" s="93" t="s">
        <v>84</v>
      </c>
      <c r="L1" s="94"/>
      <c r="M1" s="94"/>
      <c r="N1" s="93" t="s">
        <v>85</v>
      </c>
      <c r="O1" s="94"/>
      <c r="P1" s="94"/>
      <c r="Q1" s="93" t="s">
        <v>86</v>
      </c>
      <c r="R1" s="94"/>
      <c r="S1" s="94"/>
      <c r="T1" s="93" t="s">
        <v>87</v>
      </c>
      <c r="U1" s="94"/>
      <c r="V1" s="94"/>
      <c r="W1" s="93" t="s">
        <v>88</v>
      </c>
      <c r="X1" s="94"/>
      <c r="Y1" s="95"/>
    </row>
    <row r="2">
      <c r="A2" s="96"/>
      <c r="B2" s="97" t="s">
        <v>89</v>
      </c>
      <c r="E2" s="97" t="s">
        <v>90</v>
      </c>
      <c r="H2" s="97" t="s">
        <v>91</v>
      </c>
      <c r="K2" s="97" t="s">
        <v>92</v>
      </c>
      <c r="N2" s="97" t="s">
        <v>93</v>
      </c>
      <c r="Q2" s="97" t="s">
        <v>94</v>
      </c>
      <c r="T2" s="97" t="s">
        <v>95</v>
      </c>
      <c r="W2" s="97" t="s">
        <v>96</v>
      </c>
      <c r="Y2" s="98"/>
    </row>
    <row r="3">
      <c r="A3" s="99"/>
      <c r="B3" s="100" t="s">
        <v>97</v>
      </c>
      <c r="C3" s="100" t="s">
        <v>98</v>
      </c>
      <c r="D3" s="100" t="s">
        <v>99</v>
      </c>
      <c r="E3" s="100" t="s">
        <v>97</v>
      </c>
      <c r="F3" s="100" t="s">
        <v>98</v>
      </c>
      <c r="G3" s="100" t="s">
        <v>99</v>
      </c>
      <c r="H3" s="100" t="s">
        <v>97</v>
      </c>
      <c r="I3" s="100" t="s">
        <v>98</v>
      </c>
      <c r="J3" s="100" t="s">
        <v>99</v>
      </c>
      <c r="K3" s="100" t="s">
        <v>97</v>
      </c>
      <c r="L3" s="100" t="s">
        <v>98</v>
      </c>
      <c r="M3" s="100" t="s">
        <v>99</v>
      </c>
      <c r="N3" s="100" t="s">
        <v>97</v>
      </c>
      <c r="O3" s="100" t="s">
        <v>98</v>
      </c>
      <c r="P3" s="100" t="s">
        <v>99</v>
      </c>
      <c r="Q3" s="100" t="s">
        <v>97</v>
      </c>
      <c r="R3" s="100" t="s">
        <v>98</v>
      </c>
      <c r="S3" s="100" t="s">
        <v>99</v>
      </c>
      <c r="T3" s="100" t="s">
        <v>97</v>
      </c>
      <c r="U3" s="100" t="s">
        <v>98</v>
      </c>
      <c r="V3" s="100" t="s">
        <v>99</v>
      </c>
      <c r="W3" s="100" t="s">
        <v>97</v>
      </c>
      <c r="X3" s="100" t="s">
        <v>98</v>
      </c>
      <c r="Y3" s="101" t="s">
        <v>99</v>
      </c>
    </row>
    <row r="4">
      <c r="A4" s="102" t="s">
        <v>100</v>
      </c>
      <c r="Y4" s="103"/>
    </row>
    <row r="5">
      <c r="A5" s="102" t="s">
        <v>101</v>
      </c>
      <c r="Y5" s="103"/>
    </row>
    <row r="6">
      <c r="A6" s="96" t="s">
        <v>102</v>
      </c>
      <c r="B6" s="104">
        <v>28747.5</v>
      </c>
      <c r="C6" s="104">
        <v>0.0</v>
      </c>
      <c r="D6" s="105">
        <v>0.0</v>
      </c>
      <c r="E6" s="104">
        <v>28747.5</v>
      </c>
      <c r="F6" s="104">
        <v>0.0</v>
      </c>
      <c r="G6" s="105">
        <v>0.0</v>
      </c>
      <c r="H6" s="104">
        <v>121297.78</v>
      </c>
      <c r="I6" s="104">
        <v>0.0</v>
      </c>
      <c r="J6" s="105">
        <v>0.0</v>
      </c>
      <c r="K6" s="104">
        <v>239737.29</v>
      </c>
      <c r="L6" s="104">
        <v>0.0</v>
      </c>
      <c r="M6" s="105">
        <v>0.0</v>
      </c>
      <c r="N6" s="104">
        <v>0.0</v>
      </c>
      <c r="O6" s="104">
        <v>0.0</v>
      </c>
      <c r="P6" s="105">
        <v>0.0</v>
      </c>
      <c r="Q6" s="104">
        <v>0.0</v>
      </c>
      <c r="R6" s="104">
        <v>0.0</v>
      </c>
      <c r="S6" s="105">
        <v>0.0</v>
      </c>
      <c r="T6" s="104">
        <v>210989.79</v>
      </c>
      <c r="U6" s="104">
        <v>0.0</v>
      </c>
      <c r="V6" s="105">
        <v>0.0</v>
      </c>
      <c r="W6" s="104">
        <v>28747.5</v>
      </c>
      <c r="X6" s="104">
        <v>0.0</v>
      </c>
      <c r="Y6" s="106">
        <v>0.0</v>
      </c>
    </row>
    <row r="7">
      <c r="A7" s="96" t="s">
        <v>103</v>
      </c>
      <c r="B7" s="104">
        <v>28630.62</v>
      </c>
      <c r="C7" s="104">
        <v>0.0</v>
      </c>
      <c r="D7" s="105">
        <v>0.0</v>
      </c>
      <c r="E7" s="104">
        <v>28630.62</v>
      </c>
      <c r="F7" s="104">
        <v>0.0</v>
      </c>
      <c r="G7" s="105">
        <v>0.0</v>
      </c>
      <c r="H7" s="104">
        <v>120986.1</v>
      </c>
      <c r="I7" s="104">
        <v>0.0</v>
      </c>
      <c r="J7" s="105">
        <v>0.0</v>
      </c>
      <c r="K7" s="104">
        <v>239191.85</v>
      </c>
      <c r="L7" s="104">
        <v>0.0</v>
      </c>
      <c r="M7" s="105">
        <v>0.0</v>
      </c>
      <c r="N7" s="104">
        <v>0.0</v>
      </c>
      <c r="O7" s="104">
        <v>0.0</v>
      </c>
      <c r="P7" s="105">
        <v>0.0</v>
      </c>
      <c r="Q7" s="104">
        <v>0.0</v>
      </c>
      <c r="R7" s="104">
        <v>0.0</v>
      </c>
      <c r="S7" s="105">
        <v>0.0</v>
      </c>
      <c r="T7" s="104">
        <v>210561.23</v>
      </c>
      <c r="U7" s="104">
        <v>0.0</v>
      </c>
      <c r="V7" s="105">
        <v>0.0</v>
      </c>
      <c r="W7" s="104">
        <v>28630.62</v>
      </c>
      <c r="X7" s="104">
        <v>0.0</v>
      </c>
      <c r="Y7" s="106">
        <v>0.0</v>
      </c>
    </row>
    <row r="8">
      <c r="A8" s="96" t="s">
        <v>104</v>
      </c>
      <c r="B8" s="107">
        <v>741.0</v>
      </c>
      <c r="C8" s="107">
        <v>0.0</v>
      </c>
      <c r="D8" s="105">
        <v>0.0</v>
      </c>
      <c r="E8" s="107">
        <v>741.0</v>
      </c>
      <c r="F8" s="107">
        <v>0.0</v>
      </c>
      <c r="G8" s="105">
        <v>0.0</v>
      </c>
      <c r="H8" s="107">
        <v>3132.0</v>
      </c>
      <c r="I8" s="107">
        <v>0.0</v>
      </c>
      <c r="J8" s="105">
        <v>0.0</v>
      </c>
      <c r="K8" s="107">
        <v>6191.0</v>
      </c>
      <c r="L8" s="107">
        <v>0.0</v>
      </c>
      <c r="M8" s="105">
        <v>0.0</v>
      </c>
      <c r="N8" s="107">
        <v>0.0</v>
      </c>
      <c r="O8" s="107">
        <v>0.0</v>
      </c>
      <c r="P8" s="105">
        <v>0.0</v>
      </c>
      <c r="Q8" s="107">
        <v>0.0</v>
      </c>
      <c r="R8" s="107">
        <v>0.0</v>
      </c>
      <c r="S8" s="105">
        <v>0.0</v>
      </c>
      <c r="T8" s="107">
        <v>5450.0</v>
      </c>
      <c r="U8" s="107">
        <v>0.0</v>
      </c>
      <c r="V8" s="105">
        <v>0.0</v>
      </c>
      <c r="W8" s="107">
        <v>741.0</v>
      </c>
      <c r="X8" s="107">
        <v>0.0</v>
      </c>
      <c r="Y8" s="106">
        <v>0.0</v>
      </c>
    </row>
    <row r="9">
      <c r="A9" s="96" t="s">
        <v>105</v>
      </c>
      <c r="B9" s="108">
        <v>38.8</v>
      </c>
      <c r="C9" s="108">
        <v>0.0</v>
      </c>
      <c r="D9" s="105">
        <v>0.0</v>
      </c>
      <c r="E9" s="108">
        <v>38.8</v>
      </c>
      <c r="F9" s="108">
        <v>0.0</v>
      </c>
      <c r="G9" s="105">
        <v>0.0</v>
      </c>
      <c r="H9" s="108">
        <v>38.73</v>
      </c>
      <c r="I9" s="108">
        <v>0.0</v>
      </c>
      <c r="J9" s="105">
        <v>0.0</v>
      </c>
      <c r="K9" s="108">
        <v>38.72</v>
      </c>
      <c r="L9" s="108">
        <v>0.0</v>
      </c>
      <c r="M9" s="105">
        <v>0.0</v>
      </c>
      <c r="N9" s="108">
        <v>0.0</v>
      </c>
      <c r="O9" s="108">
        <v>0.0</v>
      </c>
      <c r="P9" s="105">
        <v>0.0</v>
      </c>
      <c r="Q9" s="108">
        <v>0.0</v>
      </c>
      <c r="R9" s="108">
        <v>0.0</v>
      </c>
      <c r="S9" s="105">
        <v>0.0</v>
      </c>
      <c r="T9" s="108">
        <v>38.71</v>
      </c>
      <c r="U9" s="108">
        <v>0.0</v>
      </c>
      <c r="V9" s="105">
        <v>0.0</v>
      </c>
      <c r="W9" s="108">
        <v>38.8</v>
      </c>
      <c r="X9" s="108">
        <v>0.0</v>
      </c>
      <c r="Y9" s="106">
        <v>0.0</v>
      </c>
    </row>
    <row r="10">
      <c r="A10" s="96" t="s">
        <v>106</v>
      </c>
      <c r="B10" s="104">
        <v>38.96</v>
      </c>
      <c r="C10" s="104">
        <v>0.0</v>
      </c>
      <c r="D10" s="105">
        <v>0.0</v>
      </c>
      <c r="E10" s="104">
        <v>38.96</v>
      </c>
      <c r="F10" s="104">
        <v>0.0</v>
      </c>
      <c r="G10" s="105">
        <v>0.0</v>
      </c>
      <c r="H10" s="104">
        <v>116.88</v>
      </c>
      <c r="I10" s="104">
        <v>0.0</v>
      </c>
      <c r="J10" s="105">
        <v>0.0</v>
      </c>
      <c r="K10" s="104">
        <v>155.84</v>
      </c>
      <c r="L10" s="104">
        <v>0.0</v>
      </c>
      <c r="M10" s="105">
        <v>0.0</v>
      </c>
      <c r="N10" s="104">
        <v>0.0</v>
      </c>
      <c r="O10" s="104">
        <v>0.0</v>
      </c>
      <c r="P10" s="105">
        <v>0.0</v>
      </c>
      <c r="Q10" s="104">
        <v>0.0</v>
      </c>
      <c r="R10" s="104">
        <v>0.0</v>
      </c>
      <c r="S10" s="105">
        <v>0.0</v>
      </c>
      <c r="T10" s="104">
        <v>116.88</v>
      </c>
      <c r="U10" s="104">
        <v>0.0</v>
      </c>
      <c r="V10" s="105">
        <v>0.0</v>
      </c>
      <c r="W10" s="104">
        <v>38.96</v>
      </c>
      <c r="X10" s="104">
        <v>0.0</v>
      </c>
      <c r="Y10" s="106">
        <v>0.0</v>
      </c>
    </row>
    <row r="11">
      <c r="A11" s="96" t="s">
        <v>107</v>
      </c>
      <c r="B11" s="105">
        <v>0.001355248</v>
      </c>
      <c r="C11" s="105">
        <v>0.0</v>
      </c>
      <c r="D11" s="105">
        <v>0.0</v>
      </c>
      <c r="E11" s="105">
        <v>0.001355248</v>
      </c>
      <c r="F11" s="105">
        <v>0.0</v>
      </c>
      <c r="G11" s="105">
        <v>0.0</v>
      </c>
      <c r="H11" s="105">
        <v>9.63579E-4</v>
      </c>
      <c r="I11" s="105">
        <v>0.0</v>
      </c>
      <c r="J11" s="105">
        <v>0.0</v>
      </c>
      <c r="K11" s="105">
        <v>6.50045E-4</v>
      </c>
      <c r="L11" s="105">
        <v>0.0</v>
      </c>
      <c r="M11" s="105">
        <v>0.0</v>
      </c>
      <c r="N11" s="105">
        <v>0.0</v>
      </c>
      <c r="O11" s="105">
        <v>0.0</v>
      </c>
      <c r="P11" s="105">
        <v>0.0</v>
      </c>
      <c r="Q11" s="105">
        <v>0.0</v>
      </c>
      <c r="R11" s="105">
        <v>0.0</v>
      </c>
      <c r="S11" s="105">
        <v>0.0</v>
      </c>
      <c r="T11" s="105">
        <v>5.5396E-4</v>
      </c>
      <c r="U11" s="105">
        <v>0.0</v>
      </c>
      <c r="V11" s="105">
        <v>0.0</v>
      </c>
      <c r="W11" s="105">
        <v>0.001355248</v>
      </c>
      <c r="X11" s="105">
        <v>0.0</v>
      </c>
      <c r="Y11" s="106">
        <v>0.0</v>
      </c>
    </row>
    <row r="12">
      <c r="A12" s="102" t="s">
        <v>108</v>
      </c>
      <c r="Y12" s="103"/>
    </row>
    <row r="13">
      <c r="A13" s="96" t="s">
        <v>109</v>
      </c>
      <c r="B13" s="104">
        <v>643357.088571429</v>
      </c>
      <c r="C13" s="104">
        <v>0.0</v>
      </c>
      <c r="D13" s="105">
        <v>0.0</v>
      </c>
      <c r="E13" s="104">
        <v>643357.088571429</v>
      </c>
      <c r="F13" s="104">
        <v>0.0</v>
      </c>
      <c r="G13" s="105">
        <v>0.0</v>
      </c>
      <c r="H13" s="104">
        <v>644640.165</v>
      </c>
      <c r="I13" s="104">
        <v>0.0</v>
      </c>
      <c r="J13" s="105">
        <v>0.0</v>
      </c>
      <c r="K13" s="104">
        <v>421493.849450549</v>
      </c>
      <c r="L13" s="104">
        <v>0.0</v>
      </c>
      <c r="M13" s="105">
        <v>0.0</v>
      </c>
      <c r="N13" s="104">
        <v>0.0</v>
      </c>
      <c r="O13" s="104">
        <v>0.0</v>
      </c>
      <c r="P13" s="105">
        <v>0.0</v>
      </c>
      <c r="Q13" s="104">
        <v>0.0</v>
      </c>
      <c r="R13" s="104">
        <v>0.0</v>
      </c>
      <c r="S13" s="105">
        <v>0.0</v>
      </c>
      <c r="T13" s="104">
        <v>403005.246190476</v>
      </c>
      <c r="U13" s="104">
        <v>0.0</v>
      </c>
      <c r="V13" s="105">
        <v>0.0</v>
      </c>
      <c r="W13" s="104">
        <v>643357.088571429</v>
      </c>
      <c r="X13" s="104">
        <v>0.0</v>
      </c>
      <c r="Y13" s="106">
        <v>0.0</v>
      </c>
    </row>
    <row r="14">
      <c r="A14" s="96" t="s">
        <v>110</v>
      </c>
      <c r="B14" s="104">
        <v>400525.808571429</v>
      </c>
      <c r="C14" s="104">
        <v>0.0</v>
      </c>
      <c r="D14" s="105">
        <v>0.0</v>
      </c>
      <c r="E14" s="104">
        <v>400525.808571429</v>
      </c>
      <c r="F14" s="104">
        <v>0.0</v>
      </c>
      <c r="G14" s="105">
        <v>0.0</v>
      </c>
      <c r="H14" s="104">
        <v>394208.198571429</v>
      </c>
      <c r="I14" s="104">
        <v>0.0</v>
      </c>
      <c r="J14" s="105">
        <v>0.0</v>
      </c>
      <c r="K14" s="104">
        <v>256194.58021978</v>
      </c>
      <c r="L14" s="104">
        <v>0.0</v>
      </c>
      <c r="M14" s="105">
        <v>0.0</v>
      </c>
      <c r="N14" s="104">
        <v>0.0</v>
      </c>
      <c r="O14" s="104">
        <v>0.0</v>
      </c>
      <c r="P14" s="105">
        <v>0.0</v>
      </c>
      <c r="Q14" s="104">
        <v>0.0</v>
      </c>
      <c r="R14" s="104">
        <v>0.0</v>
      </c>
      <c r="S14" s="105">
        <v>0.0</v>
      </c>
      <c r="T14" s="104">
        <v>244166.977857143</v>
      </c>
      <c r="U14" s="104">
        <v>0.0</v>
      </c>
      <c r="V14" s="105">
        <v>0.0</v>
      </c>
      <c r="W14" s="104">
        <v>400525.808571429</v>
      </c>
      <c r="X14" s="104">
        <v>0.0</v>
      </c>
      <c r="Y14" s="106">
        <v>0.0</v>
      </c>
    </row>
    <row r="15">
      <c r="A15" s="96" t="s">
        <v>111</v>
      </c>
      <c r="B15" s="104">
        <v>25692.342857143</v>
      </c>
      <c r="C15" s="104">
        <v>0.0</v>
      </c>
      <c r="D15" s="105">
        <v>0.0</v>
      </c>
      <c r="E15" s="104">
        <v>25692.342857143</v>
      </c>
      <c r="F15" s="104">
        <v>0.0</v>
      </c>
      <c r="G15" s="105">
        <v>0.0</v>
      </c>
      <c r="H15" s="104">
        <v>40008.244285714</v>
      </c>
      <c r="I15" s="104">
        <v>0.0</v>
      </c>
      <c r="J15" s="105">
        <v>0.0</v>
      </c>
      <c r="K15" s="104">
        <v>102392.423076923</v>
      </c>
      <c r="L15" s="104">
        <v>0.0</v>
      </c>
      <c r="M15" s="105">
        <v>0.0</v>
      </c>
      <c r="N15" s="104">
        <v>0.0</v>
      </c>
      <c r="O15" s="104">
        <v>0.0</v>
      </c>
      <c r="P15" s="105">
        <v>0.0</v>
      </c>
      <c r="Q15" s="104">
        <v>0.0</v>
      </c>
      <c r="R15" s="104">
        <v>0.0</v>
      </c>
      <c r="S15" s="105">
        <v>0.0</v>
      </c>
      <c r="T15" s="104">
        <v>108784.096428571</v>
      </c>
      <c r="U15" s="104">
        <v>0.0</v>
      </c>
      <c r="V15" s="105">
        <v>0.0</v>
      </c>
      <c r="W15" s="104">
        <v>25692.342857143</v>
      </c>
      <c r="X15" s="104">
        <v>0.0</v>
      </c>
      <c r="Y15" s="106">
        <v>0.0</v>
      </c>
    </row>
    <row r="16">
      <c r="A16" s="96" t="s">
        <v>112</v>
      </c>
      <c r="B16" s="105">
        <v>0.988582811</v>
      </c>
      <c r="C16" s="105">
        <v>0.0</v>
      </c>
      <c r="D16" s="105">
        <v>0.0</v>
      </c>
      <c r="E16" s="105">
        <v>0.988582811</v>
      </c>
      <c r="F16" s="105">
        <v>0.0</v>
      </c>
      <c r="G16" s="105">
        <v>0.0</v>
      </c>
      <c r="H16" s="105">
        <v>0.985955228</v>
      </c>
      <c r="I16" s="105">
        <v>0.0</v>
      </c>
      <c r="J16" s="105">
        <v>0.0</v>
      </c>
      <c r="K16" s="105">
        <v>0.981401492</v>
      </c>
      <c r="L16" s="105">
        <v>0.0</v>
      </c>
      <c r="M16" s="105">
        <v>0.0</v>
      </c>
      <c r="N16" s="105">
        <v>0.0</v>
      </c>
      <c r="O16" s="105">
        <v>0.0</v>
      </c>
      <c r="P16" s="105">
        <v>0.0</v>
      </c>
      <c r="Q16" s="105">
        <v>0.0</v>
      </c>
      <c r="R16" s="105">
        <v>0.0</v>
      </c>
      <c r="S16" s="105">
        <v>0.0</v>
      </c>
      <c r="T16" s="105">
        <v>0.980315828</v>
      </c>
      <c r="U16" s="105">
        <v>0.0</v>
      </c>
      <c r="V16" s="105">
        <v>0.0</v>
      </c>
      <c r="W16" s="105">
        <v>0.988582811</v>
      </c>
      <c r="X16" s="105">
        <v>0.0</v>
      </c>
      <c r="Y16" s="106">
        <v>0.0</v>
      </c>
    </row>
    <row r="17">
      <c r="A17" s="96" t="s">
        <v>113</v>
      </c>
      <c r="B17" s="108">
        <v>2.334141004</v>
      </c>
      <c r="C17" s="108">
        <v>0.0</v>
      </c>
      <c r="D17" s="105">
        <v>0.0</v>
      </c>
      <c r="E17" s="108">
        <v>2.334141004</v>
      </c>
      <c r="F17" s="108">
        <v>0.0</v>
      </c>
      <c r="G17" s="105">
        <v>0.0</v>
      </c>
      <c r="H17" s="108">
        <v>2.461121312</v>
      </c>
      <c r="I17" s="108">
        <v>0.0</v>
      </c>
      <c r="J17" s="105">
        <v>0.0</v>
      </c>
      <c r="K17" s="108">
        <v>2.287546664</v>
      </c>
      <c r="L17" s="108">
        <v>0.0</v>
      </c>
      <c r="M17" s="105">
        <v>0.0</v>
      </c>
      <c r="N17" s="108">
        <v>0.0</v>
      </c>
      <c r="O17" s="108">
        <v>0.0</v>
      </c>
      <c r="P17" s="105">
        <v>0.0</v>
      </c>
      <c r="Q17" s="108">
        <v>0.0</v>
      </c>
      <c r="R17" s="108">
        <v>0.0</v>
      </c>
      <c r="S17" s="105">
        <v>0.0</v>
      </c>
      <c r="T17" s="108">
        <v>2.281354816</v>
      </c>
      <c r="U17" s="108">
        <v>0.0</v>
      </c>
      <c r="V17" s="105">
        <v>0.0</v>
      </c>
      <c r="W17" s="108">
        <v>2.334141004</v>
      </c>
      <c r="X17" s="108">
        <v>0.0</v>
      </c>
      <c r="Y17" s="106">
        <v>0.0</v>
      </c>
    </row>
    <row r="18">
      <c r="A18" s="96" t="s">
        <v>114</v>
      </c>
      <c r="B18" s="108">
        <v>2.323546316</v>
      </c>
      <c r="C18" s="108">
        <v>0.0</v>
      </c>
      <c r="D18" s="105">
        <v>0.0</v>
      </c>
      <c r="E18" s="108">
        <v>2.323546316</v>
      </c>
      <c r="F18" s="108">
        <v>0.0</v>
      </c>
      <c r="G18" s="105">
        <v>0.0</v>
      </c>
      <c r="H18" s="108">
        <v>2.446126124</v>
      </c>
      <c r="I18" s="108">
        <v>0.0</v>
      </c>
      <c r="J18" s="105">
        <v>0.0</v>
      </c>
      <c r="K18" s="108">
        <v>2.275120172</v>
      </c>
      <c r="L18" s="108">
        <v>0.0</v>
      </c>
      <c r="M18" s="105">
        <v>0.0</v>
      </c>
      <c r="N18" s="108">
        <v>0.0</v>
      </c>
      <c r="O18" s="108">
        <v>0.0</v>
      </c>
      <c r="P18" s="105">
        <v>0.0</v>
      </c>
      <c r="Q18" s="108">
        <v>0.0</v>
      </c>
      <c r="R18" s="108">
        <v>0.0</v>
      </c>
      <c r="S18" s="105">
        <v>0.0</v>
      </c>
      <c r="T18" s="108">
        <v>2.268677892</v>
      </c>
      <c r="U18" s="108">
        <v>0.0</v>
      </c>
      <c r="V18" s="105">
        <v>0.0</v>
      </c>
      <c r="W18" s="108">
        <v>2.323546316</v>
      </c>
      <c r="X18" s="108">
        <v>0.0</v>
      </c>
      <c r="Y18" s="106">
        <v>0.0</v>
      </c>
    </row>
    <row r="19">
      <c r="A19" s="96" t="s">
        <v>115</v>
      </c>
      <c r="B19" s="108">
        <v>21.21656632</v>
      </c>
      <c r="C19" s="108">
        <v>0.0</v>
      </c>
      <c r="D19" s="105">
        <v>0.0</v>
      </c>
      <c r="E19" s="108">
        <v>21.21656632</v>
      </c>
      <c r="F19" s="108">
        <v>0.0</v>
      </c>
      <c r="G19" s="105">
        <v>0.0</v>
      </c>
      <c r="H19" s="108">
        <v>23.064670541</v>
      </c>
      <c r="I19" s="108">
        <v>0.0</v>
      </c>
      <c r="J19" s="105">
        <v>0.0</v>
      </c>
      <c r="K19" s="108">
        <v>28.911282311</v>
      </c>
      <c r="L19" s="108">
        <v>0.0</v>
      </c>
      <c r="M19" s="105">
        <v>0.0</v>
      </c>
      <c r="N19" s="108">
        <v>0.0</v>
      </c>
      <c r="O19" s="108">
        <v>0.0</v>
      </c>
      <c r="P19" s="105">
        <v>0.0</v>
      </c>
      <c r="Q19" s="108">
        <v>0.0</v>
      </c>
      <c r="R19" s="108">
        <v>0.0</v>
      </c>
      <c r="S19" s="105">
        <v>0.0</v>
      </c>
      <c r="T19" s="108">
        <v>30.626274552</v>
      </c>
      <c r="U19" s="108">
        <v>0.0</v>
      </c>
      <c r="V19" s="105">
        <v>0.0</v>
      </c>
      <c r="W19" s="108">
        <v>21.21656632</v>
      </c>
      <c r="X19" s="108">
        <v>0.0</v>
      </c>
      <c r="Y19" s="106">
        <v>0.0</v>
      </c>
    </row>
    <row r="20">
      <c r="A20" s="96" t="s">
        <v>116</v>
      </c>
      <c r="B20" s="104">
        <v>19518.96</v>
      </c>
      <c r="C20" s="104">
        <v>0.0</v>
      </c>
      <c r="D20" s="105">
        <v>0.0</v>
      </c>
      <c r="E20" s="104">
        <v>19518.96</v>
      </c>
      <c r="F20" s="104">
        <v>0.0</v>
      </c>
      <c r="G20" s="105">
        <v>0.0</v>
      </c>
      <c r="H20" s="104">
        <v>117358.8</v>
      </c>
      <c r="I20" s="104">
        <v>0.0</v>
      </c>
      <c r="J20" s="105">
        <v>0.0</v>
      </c>
      <c r="K20" s="104">
        <v>874264.74</v>
      </c>
      <c r="L20" s="104">
        <v>0.0</v>
      </c>
      <c r="M20" s="105">
        <v>0.0</v>
      </c>
      <c r="N20" s="104">
        <v>0.0</v>
      </c>
      <c r="O20" s="104">
        <v>0.0</v>
      </c>
      <c r="P20" s="105">
        <v>0.0</v>
      </c>
      <c r="Q20" s="104">
        <v>0.0</v>
      </c>
      <c r="R20" s="104">
        <v>0.0</v>
      </c>
      <c r="S20" s="105">
        <v>0.0</v>
      </c>
      <c r="T20" s="104">
        <v>854745.78</v>
      </c>
      <c r="U20" s="104">
        <v>0.0</v>
      </c>
      <c r="V20" s="105">
        <v>0.0</v>
      </c>
      <c r="W20" s="104">
        <v>19518.96</v>
      </c>
      <c r="X20" s="104">
        <v>0.0</v>
      </c>
      <c r="Y20" s="106">
        <v>0.0</v>
      </c>
    </row>
    <row r="21">
      <c r="A21" s="96" t="s">
        <v>117</v>
      </c>
      <c r="B21" s="104">
        <v>12185.99</v>
      </c>
      <c r="C21" s="104">
        <v>0.0</v>
      </c>
      <c r="D21" s="105">
        <v>0.0</v>
      </c>
      <c r="E21" s="104">
        <v>12185.99</v>
      </c>
      <c r="F21" s="104">
        <v>0.0</v>
      </c>
      <c r="G21" s="105">
        <v>0.0</v>
      </c>
      <c r="H21" s="104">
        <v>73188.91</v>
      </c>
      <c r="I21" s="104">
        <v>0.0</v>
      </c>
      <c r="J21" s="105">
        <v>0.0</v>
      </c>
      <c r="K21" s="104">
        <v>545551.41</v>
      </c>
      <c r="L21" s="104">
        <v>0.0</v>
      </c>
      <c r="M21" s="105">
        <v>0.0</v>
      </c>
      <c r="N21" s="104">
        <v>0.0</v>
      </c>
      <c r="O21" s="104">
        <v>0.0</v>
      </c>
      <c r="P21" s="105">
        <v>0.0</v>
      </c>
      <c r="Q21" s="104">
        <v>0.0</v>
      </c>
      <c r="R21" s="104">
        <v>0.0</v>
      </c>
      <c r="S21" s="105">
        <v>0.0</v>
      </c>
      <c r="T21" s="104">
        <v>533365.42</v>
      </c>
      <c r="U21" s="104">
        <v>0.0</v>
      </c>
      <c r="V21" s="105">
        <v>0.0</v>
      </c>
      <c r="W21" s="104">
        <v>12185.99</v>
      </c>
      <c r="X21" s="104">
        <v>0.0</v>
      </c>
      <c r="Y21" s="106">
        <v>0.0</v>
      </c>
    </row>
    <row r="22">
      <c r="A22" s="102" t="s">
        <v>118</v>
      </c>
      <c r="Y22" s="103"/>
    </row>
    <row r="23">
      <c r="A23" s="96" t="s">
        <v>119</v>
      </c>
      <c r="B23" s="104">
        <v>19847.84</v>
      </c>
      <c r="C23" s="104">
        <v>0.0</v>
      </c>
      <c r="D23" s="105">
        <v>0.0</v>
      </c>
      <c r="E23" s="104">
        <v>23350.4</v>
      </c>
      <c r="F23" s="104">
        <v>0.0</v>
      </c>
      <c r="G23" s="105">
        <v>0.0</v>
      </c>
      <c r="H23" s="104">
        <v>145933.36</v>
      </c>
      <c r="I23" s="104">
        <v>0.0</v>
      </c>
      <c r="J23" s="105">
        <v>0.0</v>
      </c>
      <c r="K23" s="104">
        <v>623720.82</v>
      </c>
      <c r="L23" s="104">
        <v>0.0</v>
      </c>
      <c r="M23" s="105">
        <v>0.0</v>
      </c>
      <c r="N23" s="104">
        <v>0.0</v>
      </c>
      <c r="O23" s="104">
        <v>0.0</v>
      </c>
      <c r="P23" s="105">
        <v>0.0</v>
      </c>
      <c r="Q23" s="104">
        <v>0.0</v>
      </c>
      <c r="R23" s="104">
        <v>0.0</v>
      </c>
      <c r="S23" s="105">
        <v>0.0</v>
      </c>
      <c r="T23" s="104">
        <v>600370.42</v>
      </c>
      <c r="U23" s="104">
        <v>0.0</v>
      </c>
      <c r="V23" s="105">
        <v>0.0</v>
      </c>
      <c r="W23" s="104">
        <v>23350.4</v>
      </c>
      <c r="X23" s="104">
        <v>0.0</v>
      </c>
      <c r="Y23" s="106">
        <v>0.0</v>
      </c>
    </row>
    <row r="24">
      <c r="A24" s="96" t="s">
        <v>120</v>
      </c>
      <c r="B24" s="108">
        <v>0.0</v>
      </c>
      <c r="C24" s="108">
        <v>0.0</v>
      </c>
      <c r="D24" s="105">
        <v>0.0</v>
      </c>
      <c r="E24" s="108">
        <v>0.0</v>
      </c>
      <c r="F24" s="108">
        <v>0.0</v>
      </c>
      <c r="G24" s="105">
        <v>0.0</v>
      </c>
      <c r="H24" s="108">
        <v>0.0</v>
      </c>
      <c r="I24" s="108">
        <v>0.0</v>
      </c>
      <c r="J24" s="105">
        <v>0.0</v>
      </c>
      <c r="K24" s="108">
        <v>0.0</v>
      </c>
      <c r="L24" s="108">
        <v>0.0</v>
      </c>
      <c r="M24" s="105">
        <v>0.0</v>
      </c>
      <c r="N24" s="108">
        <v>0.0</v>
      </c>
      <c r="O24" s="108">
        <v>0.0</v>
      </c>
      <c r="P24" s="105">
        <v>0.0</v>
      </c>
      <c r="Q24" s="108">
        <v>0.0</v>
      </c>
      <c r="R24" s="108">
        <v>0.0</v>
      </c>
      <c r="S24" s="105">
        <v>0.0</v>
      </c>
      <c r="T24" s="108">
        <v>0.0</v>
      </c>
      <c r="U24" s="108">
        <v>0.0</v>
      </c>
      <c r="V24" s="105">
        <v>0.0</v>
      </c>
      <c r="W24" s="108">
        <v>0.0</v>
      </c>
      <c r="X24" s="108">
        <v>0.0</v>
      </c>
      <c r="Y24" s="106">
        <v>0.0</v>
      </c>
    </row>
    <row r="25">
      <c r="A25" s="96" t="s">
        <v>121</v>
      </c>
      <c r="B25" s="104">
        <v>0.0</v>
      </c>
      <c r="C25" s="104">
        <v>0.0</v>
      </c>
      <c r="D25" s="105">
        <v>0.0</v>
      </c>
      <c r="E25" s="104">
        <v>0.0</v>
      </c>
      <c r="F25" s="104">
        <v>0.0</v>
      </c>
      <c r="G25" s="105">
        <v>0.0</v>
      </c>
      <c r="H25" s="104">
        <v>0.0</v>
      </c>
      <c r="I25" s="104">
        <v>0.0</v>
      </c>
      <c r="J25" s="105">
        <v>0.0</v>
      </c>
      <c r="K25" s="104">
        <v>0.0</v>
      </c>
      <c r="L25" s="104">
        <v>0.0</v>
      </c>
      <c r="M25" s="105">
        <v>0.0</v>
      </c>
      <c r="N25" s="104">
        <v>0.0</v>
      </c>
      <c r="O25" s="104">
        <v>0.0</v>
      </c>
      <c r="P25" s="105">
        <v>0.0</v>
      </c>
      <c r="Q25" s="104">
        <v>0.0</v>
      </c>
      <c r="R25" s="104">
        <v>0.0</v>
      </c>
      <c r="S25" s="105">
        <v>0.0</v>
      </c>
      <c r="T25" s="104">
        <v>0.0</v>
      </c>
      <c r="U25" s="104">
        <v>0.0</v>
      </c>
      <c r="V25" s="105">
        <v>0.0</v>
      </c>
      <c r="W25" s="104">
        <v>0.0</v>
      </c>
      <c r="X25" s="104">
        <v>0.0</v>
      </c>
      <c r="Y25" s="106">
        <v>0.0</v>
      </c>
    </row>
    <row r="26">
      <c r="A26" s="96" t="s">
        <v>111</v>
      </c>
      <c r="B26" s="104">
        <v>31021.92</v>
      </c>
      <c r="C26" s="104">
        <v>0.0</v>
      </c>
      <c r="D26" s="105">
        <v>0.0</v>
      </c>
      <c r="E26" s="104">
        <v>17034.0</v>
      </c>
      <c r="F26" s="104">
        <v>0.0</v>
      </c>
      <c r="G26" s="105">
        <v>0.0</v>
      </c>
      <c r="H26" s="104">
        <v>87574.8</v>
      </c>
      <c r="I26" s="104">
        <v>0.0</v>
      </c>
      <c r="J26" s="105">
        <v>0.0</v>
      </c>
      <c r="K26" s="104">
        <v>59753.884615385</v>
      </c>
      <c r="L26" s="104">
        <v>0.0</v>
      </c>
      <c r="M26" s="105">
        <v>0.0</v>
      </c>
      <c r="N26" s="104">
        <v>0.0</v>
      </c>
      <c r="O26" s="104">
        <v>0.0</v>
      </c>
      <c r="P26" s="105">
        <v>0.0</v>
      </c>
      <c r="Q26" s="104">
        <v>0.0</v>
      </c>
      <c r="R26" s="104">
        <v>0.0</v>
      </c>
      <c r="S26" s="105">
        <v>0.0</v>
      </c>
      <c r="T26" s="104">
        <v>116887.153846154</v>
      </c>
      <c r="U26" s="104">
        <v>0.0</v>
      </c>
      <c r="V26" s="105">
        <v>0.0</v>
      </c>
      <c r="W26" s="104">
        <v>17034.0</v>
      </c>
      <c r="X26" s="104">
        <v>0.0</v>
      </c>
      <c r="Y26" s="106">
        <v>0.0</v>
      </c>
    </row>
    <row r="27">
      <c r="A27" s="96" t="s">
        <v>122</v>
      </c>
      <c r="B27" s="108">
        <v>0.0</v>
      </c>
      <c r="C27" s="108">
        <v>0.0</v>
      </c>
      <c r="D27" s="105">
        <v>0.0</v>
      </c>
      <c r="E27" s="108">
        <v>0.0</v>
      </c>
      <c r="F27" s="108">
        <v>0.0</v>
      </c>
      <c r="G27" s="105">
        <v>0.0</v>
      </c>
      <c r="H27" s="108">
        <v>0.0</v>
      </c>
      <c r="I27" s="108">
        <v>0.0</v>
      </c>
      <c r="J27" s="105">
        <v>0.0</v>
      </c>
      <c r="K27" s="108">
        <v>0.0</v>
      </c>
      <c r="L27" s="108">
        <v>0.0</v>
      </c>
      <c r="M27" s="105">
        <v>0.0</v>
      </c>
      <c r="N27" s="108">
        <v>0.0</v>
      </c>
      <c r="O27" s="108">
        <v>0.0</v>
      </c>
      <c r="P27" s="105">
        <v>0.0</v>
      </c>
      <c r="Q27" s="108">
        <v>0.0</v>
      </c>
      <c r="R27" s="108">
        <v>0.0</v>
      </c>
      <c r="S27" s="105">
        <v>0.0</v>
      </c>
      <c r="T27" s="108">
        <v>0.0</v>
      </c>
      <c r="U27" s="108">
        <v>0.0</v>
      </c>
      <c r="V27" s="105">
        <v>0.0</v>
      </c>
      <c r="W27" s="108">
        <v>0.0</v>
      </c>
      <c r="X27" s="108">
        <v>0.0</v>
      </c>
      <c r="Y27" s="106">
        <v>0.0</v>
      </c>
    </row>
    <row r="28">
      <c r="A28" s="102" t="s">
        <v>123</v>
      </c>
      <c r="Y28" s="103"/>
    </row>
    <row r="29">
      <c r="A29" s="96" t="s">
        <v>124</v>
      </c>
      <c r="B29" s="105">
        <v>0.375684463</v>
      </c>
      <c r="C29" s="105">
        <v>0.0</v>
      </c>
      <c r="D29" s="105">
        <v>0.0</v>
      </c>
      <c r="E29" s="105">
        <v>0.375684463</v>
      </c>
      <c r="F29" s="105">
        <v>0.0</v>
      </c>
      <c r="G29" s="105">
        <v>0.0</v>
      </c>
      <c r="H29" s="105">
        <v>0.376366238</v>
      </c>
      <c r="I29" s="105">
        <v>0.0</v>
      </c>
      <c r="J29" s="105">
        <v>0.0</v>
      </c>
      <c r="K29" s="105">
        <v>0.375988319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0.375995258</v>
      </c>
      <c r="U29" s="105">
        <v>0.0</v>
      </c>
      <c r="V29" s="105">
        <v>0.0</v>
      </c>
      <c r="W29" s="105">
        <v>0.375684463</v>
      </c>
      <c r="X29" s="105">
        <v>0.0</v>
      </c>
      <c r="Y29" s="106">
        <v>0.0</v>
      </c>
    </row>
    <row r="30">
      <c r="A30" s="96" t="s">
        <v>125</v>
      </c>
      <c r="B30" s="105">
        <v>0.359044084</v>
      </c>
      <c r="C30" s="105">
        <v>0.0</v>
      </c>
      <c r="D30" s="105">
        <v>0.0</v>
      </c>
      <c r="E30" s="105">
        <v>0.359044084</v>
      </c>
      <c r="F30" s="105">
        <v>0.0</v>
      </c>
      <c r="G30" s="105">
        <v>0.0</v>
      </c>
      <c r="H30" s="105">
        <v>0.359263604</v>
      </c>
      <c r="I30" s="105">
        <v>0.0</v>
      </c>
      <c r="J30" s="105">
        <v>0.0</v>
      </c>
      <c r="K30" s="105">
        <v>0.358789828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0.358719812</v>
      </c>
      <c r="U30" s="105">
        <v>0.0</v>
      </c>
      <c r="V30" s="105">
        <v>0.0</v>
      </c>
      <c r="W30" s="105">
        <v>0.359044084</v>
      </c>
      <c r="X30" s="105">
        <v>0.0</v>
      </c>
      <c r="Y30" s="106">
        <v>0.0</v>
      </c>
    </row>
    <row r="31">
      <c r="A31" s="96" t="s">
        <v>126</v>
      </c>
      <c r="B31" s="105">
        <v>0.358994367</v>
      </c>
      <c r="C31" s="105">
        <v>0.0</v>
      </c>
      <c r="D31" s="105">
        <v>0.0</v>
      </c>
      <c r="E31" s="105">
        <v>0.358994367</v>
      </c>
      <c r="F31" s="105">
        <v>0.0</v>
      </c>
      <c r="G31" s="105">
        <v>0.0</v>
      </c>
      <c r="H31" s="105">
        <v>0.359239502</v>
      </c>
      <c r="I31" s="105">
        <v>0.0</v>
      </c>
      <c r="J31" s="105">
        <v>0.0</v>
      </c>
      <c r="K31" s="105">
        <v>0.358785447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0.358716452</v>
      </c>
      <c r="U31" s="105">
        <v>0.0</v>
      </c>
      <c r="V31" s="105">
        <v>0.0</v>
      </c>
      <c r="W31" s="105">
        <v>0.358994367</v>
      </c>
      <c r="X31" s="105">
        <v>0.0</v>
      </c>
      <c r="Y31" s="106">
        <v>0.0</v>
      </c>
    </row>
    <row r="32">
      <c r="A32" s="96" t="s">
        <v>127</v>
      </c>
      <c r="B32" s="104">
        <v>10320.190565333</v>
      </c>
      <c r="C32" s="104">
        <v>0.0</v>
      </c>
      <c r="D32" s="105">
        <v>0.0</v>
      </c>
      <c r="E32" s="104">
        <v>10320.190565333</v>
      </c>
      <c r="F32" s="104">
        <v>0.0</v>
      </c>
      <c r="G32" s="105">
        <v>0.0</v>
      </c>
      <c r="H32" s="104">
        <v>43574.954080906</v>
      </c>
      <c r="I32" s="104">
        <v>0.0</v>
      </c>
      <c r="J32" s="105">
        <v>0.0</v>
      </c>
      <c r="K32" s="104">
        <v>86014.250755219</v>
      </c>
      <c r="L32" s="104">
        <v>0.0</v>
      </c>
      <c r="M32" s="105">
        <v>0.0</v>
      </c>
      <c r="N32" s="104">
        <v>0.0</v>
      </c>
      <c r="O32" s="104">
        <v>0.0</v>
      </c>
      <c r="P32" s="105">
        <v>0.0</v>
      </c>
      <c r="Q32" s="104">
        <v>0.0</v>
      </c>
      <c r="R32" s="104">
        <v>0.0</v>
      </c>
      <c r="S32" s="105">
        <v>0.0</v>
      </c>
      <c r="T32" s="104">
        <v>75685.508877025</v>
      </c>
      <c r="U32" s="104">
        <v>0.0</v>
      </c>
      <c r="V32" s="105">
        <v>0.0</v>
      </c>
      <c r="W32" s="104">
        <v>10320.190565333</v>
      </c>
      <c r="X32" s="104">
        <v>0.0</v>
      </c>
      <c r="Y32" s="106">
        <v>0.0</v>
      </c>
    </row>
    <row r="33">
      <c r="A33" s="96" t="s">
        <v>128</v>
      </c>
      <c r="B33" s="108">
        <v>1.340049051</v>
      </c>
      <c r="C33" s="108">
        <v>0.0</v>
      </c>
      <c r="D33" s="105">
        <v>0.0</v>
      </c>
      <c r="E33" s="108">
        <v>1.340049051</v>
      </c>
      <c r="F33" s="108">
        <v>0.0</v>
      </c>
      <c r="G33" s="105">
        <v>0.0</v>
      </c>
      <c r="H33" s="108">
        <v>1.437089367</v>
      </c>
      <c r="I33" s="108">
        <v>0.0</v>
      </c>
      <c r="J33" s="105">
        <v>0.0</v>
      </c>
      <c r="K33" s="108">
        <v>1.342968317</v>
      </c>
      <c r="L33" s="108">
        <v>0.0</v>
      </c>
      <c r="M33" s="105">
        <v>0.0</v>
      </c>
      <c r="N33" s="108">
        <v>0.0</v>
      </c>
      <c r="O33" s="108">
        <v>0.0</v>
      </c>
      <c r="P33" s="105">
        <v>0.0</v>
      </c>
      <c r="Q33" s="108">
        <v>0.0</v>
      </c>
      <c r="R33" s="108">
        <v>0.0</v>
      </c>
      <c r="S33" s="105">
        <v>0.0</v>
      </c>
      <c r="T33" s="108">
        <v>1.343234918</v>
      </c>
      <c r="U33" s="108">
        <v>0.0</v>
      </c>
      <c r="V33" s="105">
        <v>0.0</v>
      </c>
      <c r="W33" s="108">
        <v>1.340049051</v>
      </c>
      <c r="X33" s="108">
        <v>0.0</v>
      </c>
      <c r="Y33" s="106">
        <v>0.0</v>
      </c>
    </row>
    <row r="34">
      <c r="A34" s="96" t="s">
        <v>129</v>
      </c>
      <c r="B34" s="104">
        <v>766.23</v>
      </c>
      <c r="C34" s="104">
        <v>0.0</v>
      </c>
      <c r="D34" s="105">
        <v>0.0</v>
      </c>
      <c r="E34" s="104">
        <v>766.23</v>
      </c>
      <c r="F34" s="104">
        <v>0.0</v>
      </c>
      <c r="G34" s="105">
        <v>0.0</v>
      </c>
      <c r="H34" s="104">
        <v>3326.49</v>
      </c>
      <c r="I34" s="104">
        <v>0.0</v>
      </c>
      <c r="J34" s="105">
        <v>0.0</v>
      </c>
      <c r="K34" s="104">
        <v>6607.44</v>
      </c>
      <c r="L34" s="104">
        <v>0.0</v>
      </c>
      <c r="M34" s="105">
        <v>0.0</v>
      </c>
      <c r="N34" s="104">
        <v>0.0</v>
      </c>
      <c r="O34" s="104">
        <v>0.0</v>
      </c>
      <c r="P34" s="105">
        <v>0.0</v>
      </c>
      <c r="Q34" s="104">
        <v>0.0</v>
      </c>
      <c r="R34" s="104">
        <v>0.0</v>
      </c>
      <c r="S34" s="105">
        <v>0.0</v>
      </c>
      <c r="T34" s="104">
        <v>5841.21</v>
      </c>
      <c r="U34" s="104">
        <v>0.0</v>
      </c>
      <c r="V34" s="105">
        <v>0.0</v>
      </c>
      <c r="W34" s="104">
        <v>766.23</v>
      </c>
      <c r="X34" s="104">
        <v>0.0</v>
      </c>
      <c r="Y34" s="106">
        <v>0.0</v>
      </c>
    </row>
    <row r="35">
      <c r="A35" s="96" t="s">
        <v>130</v>
      </c>
      <c r="B35" s="105">
        <v>0.026653796</v>
      </c>
      <c r="C35" s="105">
        <v>0.0</v>
      </c>
      <c r="D35" s="105">
        <v>0.0</v>
      </c>
      <c r="E35" s="105">
        <v>0.026653796</v>
      </c>
      <c r="F35" s="105">
        <v>0.0</v>
      </c>
      <c r="G35" s="105">
        <v>0.0</v>
      </c>
      <c r="H35" s="105">
        <v>0.027424162</v>
      </c>
      <c r="I35" s="105">
        <v>0.0</v>
      </c>
      <c r="J35" s="105">
        <v>0.0</v>
      </c>
      <c r="K35" s="105">
        <v>0.027561169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0.027684799</v>
      </c>
      <c r="U35" s="105">
        <v>0.0</v>
      </c>
      <c r="V35" s="105">
        <v>0.0</v>
      </c>
      <c r="W35" s="105">
        <v>0.026653796</v>
      </c>
      <c r="X35" s="105">
        <v>0.0</v>
      </c>
      <c r="Y35" s="106">
        <v>0.0</v>
      </c>
    </row>
    <row r="36">
      <c r="A36" s="9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10"/>
    </row>
  </sheetData>
  <mergeCells count="16">
    <mergeCell ref="E1:G1"/>
    <mergeCell ref="H1:J1"/>
    <mergeCell ref="K1:M1"/>
    <mergeCell ref="N1:P1"/>
    <mergeCell ref="Q1:S1"/>
    <mergeCell ref="T1:V1"/>
    <mergeCell ref="W1:Y1"/>
    <mergeCell ref="T2:V2"/>
    <mergeCell ref="W2:Y2"/>
    <mergeCell ref="B1:D1"/>
    <mergeCell ref="B2:D2"/>
    <mergeCell ref="E2:G2"/>
    <mergeCell ref="H2:J2"/>
    <mergeCell ref="K2:M2"/>
    <mergeCell ref="N2:P2"/>
    <mergeCell ref="Q2:S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1.22" defaultRowHeight="15.0"/>
  <cols>
    <col customWidth="1" min="1" max="1" width="13.0"/>
    <col customWidth="1" min="2" max="2" width="17.67"/>
    <col customWidth="1" min="3" max="4" width="17.22"/>
    <col customWidth="1" min="5" max="5" width="23.67"/>
    <col customWidth="1" hidden="1" min="6" max="6" width="2.22"/>
    <col customWidth="1" min="7" max="60" width="22.67"/>
  </cols>
  <sheetData>
    <row r="1" ht="70.5" hidden="1" customHeight="1">
      <c r="A1" s="55"/>
      <c r="B1" s="56" t="s">
        <v>131</v>
      </c>
      <c r="C1" s="55"/>
      <c r="D1" s="55"/>
      <c r="E1" s="55"/>
      <c r="F1" s="55"/>
      <c r="G1" s="55"/>
      <c r="H1" s="57">
        <v>3.0</v>
      </c>
      <c r="I1" s="57">
        <v>4.0</v>
      </c>
      <c r="J1" s="57">
        <v>5.0</v>
      </c>
      <c r="K1" s="57">
        <v>6.0</v>
      </c>
      <c r="L1" s="57">
        <v>7.0</v>
      </c>
      <c r="M1" s="57">
        <v>8.0</v>
      </c>
      <c r="N1" s="57">
        <v>9.0</v>
      </c>
      <c r="O1" s="57">
        <v>10.0</v>
      </c>
      <c r="P1" s="57">
        <v>11.0</v>
      </c>
      <c r="Q1" s="57">
        <v>12.0</v>
      </c>
      <c r="R1" s="57">
        <v>13.0</v>
      </c>
      <c r="S1" s="57">
        <v>14.0</v>
      </c>
      <c r="T1" s="57">
        <v>15.0</v>
      </c>
      <c r="U1" s="57">
        <v>16.0</v>
      </c>
      <c r="V1" s="57">
        <v>17.0</v>
      </c>
      <c r="W1" s="57">
        <v>18.0</v>
      </c>
      <c r="X1" s="57">
        <v>19.0</v>
      </c>
      <c r="Y1" s="57">
        <v>20.0</v>
      </c>
      <c r="Z1" s="57">
        <v>21.0</v>
      </c>
      <c r="AA1" s="57">
        <v>22.0</v>
      </c>
      <c r="AB1" s="57">
        <v>23.0</v>
      </c>
      <c r="AC1" s="57">
        <v>24.0</v>
      </c>
      <c r="AD1" s="57">
        <v>25.0</v>
      </c>
      <c r="AE1" s="57">
        <v>26.0</v>
      </c>
      <c r="AF1" s="57">
        <v>27.0</v>
      </c>
      <c r="AG1" s="57">
        <v>28.0</v>
      </c>
      <c r="AH1" s="57">
        <v>29.0</v>
      </c>
      <c r="AI1" s="57">
        <v>30.0</v>
      </c>
      <c r="AJ1" s="57">
        <v>31.0</v>
      </c>
      <c r="AK1" s="57">
        <v>32.0</v>
      </c>
      <c r="AL1" s="57">
        <v>33.0</v>
      </c>
      <c r="AM1" s="57">
        <v>34.0</v>
      </c>
      <c r="AN1" s="57">
        <v>35.0</v>
      </c>
      <c r="AO1" s="57">
        <v>36.0</v>
      </c>
      <c r="AP1" s="57">
        <v>37.0</v>
      </c>
      <c r="AQ1" s="57">
        <v>38.0</v>
      </c>
      <c r="AR1" s="57">
        <v>39.0</v>
      </c>
      <c r="AS1" s="57">
        <v>40.0</v>
      </c>
      <c r="AT1" s="57">
        <v>41.0</v>
      </c>
      <c r="AU1" s="57">
        <v>42.0</v>
      </c>
      <c r="AV1" s="57">
        <v>43.0</v>
      </c>
      <c r="AW1" s="57">
        <v>44.0</v>
      </c>
      <c r="AX1" s="57">
        <v>45.0</v>
      </c>
      <c r="AY1" s="57">
        <v>46.0</v>
      </c>
      <c r="AZ1" s="57">
        <v>47.0</v>
      </c>
      <c r="BA1" s="57">
        <v>48.0</v>
      </c>
      <c r="BB1" s="57">
        <v>49.0</v>
      </c>
      <c r="BC1" s="57">
        <v>50.0</v>
      </c>
      <c r="BD1" s="57">
        <v>51.0</v>
      </c>
      <c r="BE1" s="57">
        <v>52.0</v>
      </c>
      <c r="BF1" s="57">
        <v>53.0</v>
      </c>
      <c r="BG1" s="57">
        <v>54.0</v>
      </c>
      <c r="BH1" s="55"/>
    </row>
    <row r="2" ht="28.5" customHeight="1">
      <c r="A2" s="58"/>
      <c r="B2" s="65" t="s">
        <v>58</v>
      </c>
      <c r="C2" s="66" t="s">
        <v>3</v>
      </c>
      <c r="D2" s="66" t="s">
        <v>1</v>
      </c>
      <c r="E2" s="66" t="s">
        <v>2</v>
      </c>
      <c r="F2" s="66" t="s">
        <v>59</v>
      </c>
      <c r="G2" s="67" t="s">
        <v>60</v>
      </c>
      <c r="H2" s="68">
        <v>202501.0</v>
      </c>
      <c r="I2" s="68">
        <v>202502.0</v>
      </c>
      <c r="J2" s="68">
        <v>202503.0</v>
      </c>
      <c r="K2" s="68">
        <v>202504.0</v>
      </c>
      <c r="L2" s="68">
        <v>202505.0</v>
      </c>
      <c r="M2" s="68">
        <v>202506.0</v>
      </c>
      <c r="N2" s="68">
        <v>202507.0</v>
      </c>
      <c r="O2" s="68">
        <v>202508.0</v>
      </c>
      <c r="P2" s="68">
        <v>202509.0</v>
      </c>
      <c r="Q2" s="68">
        <v>202510.0</v>
      </c>
      <c r="R2" s="68">
        <v>202511.0</v>
      </c>
      <c r="S2" s="68">
        <v>202512.0</v>
      </c>
      <c r="T2" s="68">
        <v>202513.0</v>
      </c>
      <c r="U2" s="68">
        <v>202514.0</v>
      </c>
      <c r="V2" s="68">
        <v>202515.0</v>
      </c>
      <c r="W2" s="68">
        <v>202516.0</v>
      </c>
      <c r="X2" s="68">
        <v>202517.0</v>
      </c>
      <c r="Y2" s="68">
        <v>202518.0</v>
      </c>
      <c r="Z2" s="68">
        <v>202519.0</v>
      </c>
      <c r="AA2" s="68">
        <v>202520.0</v>
      </c>
      <c r="AB2" s="68">
        <v>202521.0</v>
      </c>
      <c r="AC2" s="68">
        <v>202522.0</v>
      </c>
      <c r="AD2" s="68">
        <v>202523.0</v>
      </c>
      <c r="AE2" s="68">
        <v>202524.0</v>
      </c>
      <c r="AF2" s="68">
        <v>202525.0</v>
      </c>
      <c r="AG2" s="68">
        <v>202526.0</v>
      </c>
      <c r="AH2" s="68">
        <v>202527.0</v>
      </c>
      <c r="AI2" s="68">
        <v>202528.0</v>
      </c>
      <c r="AJ2" s="68">
        <v>202529.0</v>
      </c>
      <c r="AK2" s="68">
        <v>202530.0</v>
      </c>
      <c r="AL2" s="68">
        <v>202531.0</v>
      </c>
      <c r="AM2" s="68">
        <v>202532.0</v>
      </c>
      <c r="AN2" s="68">
        <v>202533.0</v>
      </c>
      <c r="AO2" s="68">
        <v>202534.0</v>
      </c>
      <c r="AP2" s="68">
        <v>202535.0</v>
      </c>
      <c r="AQ2" s="68">
        <v>202536.0</v>
      </c>
      <c r="AR2" s="68">
        <v>202537.0</v>
      </c>
      <c r="AS2" s="68">
        <v>202538.0</v>
      </c>
      <c r="AT2" s="68">
        <v>202539.0</v>
      </c>
      <c r="AU2" s="68">
        <v>202540.0</v>
      </c>
      <c r="AV2" s="68">
        <v>202541.0</v>
      </c>
      <c r="AW2" s="68">
        <v>202542.0</v>
      </c>
      <c r="AX2" s="68">
        <v>202543.0</v>
      </c>
      <c r="AY2" s="68">
        <v>202544.0</v>
      </c>
      <c r="AZ2" s="68">
        <v>202545.0</v>
      </c>
      <c r="BA2" s="68">
        <v>202546.0</v>
      </c>
      <c r="BB2" s="68">
        <v>202547.0</v>
      </c>
      <c r="BC2" s="68">
        <v>202548.0</v>
      </c>
      <c r="BD2" s="68">
        <v>202549.0</v>
      </c>
      <c r="BE2" s="68">
        <v>202550.0</v>
      </c>
      <c r="BF2" s="68">
        <v>202551.0</v>
      </c>
      <c r="BG2" s="68">
        <v>202552.0</v>
      </c>
      <c r="BH2" s="69"/>
    </row>
    <row r="3">
      <c r="A3" s="70" t="str">
        <f t="shared" ref="A3:A20" si="1">CONCATENATE(D3,G3)</f>
        <v>677410826pos_sales_this_year</v>
      </c>
      <c r="B3" s="71">
        <v>2.0</v>
      </c>
      <c r="C3" s="71" t="s">
        <v>61</v>
      </c>
      <c r="D3" s="71">
        <v>6.77410826E8</v>
      </c>
      <c r="E3" s="71" t="s">
        <v>50</v>
      </c>
      <c r="F3" s="72" t="s">
        <v>62</v>
      </c>
      <c r="G3" s="73" t="s">
        <v>132</v>
      </c>
      <c r="H3" s="74">
        <f>VLOOKUP($A3,'Last Week Data'!$E:$BF,H$1,0)</f>
        <v>0</v>
      </c>
      <c r="I3" s="74">
        <f>VLOOKUP($A3,'Last Week Data'!$E:$BF,I$1,0)</f>
        <v>0</v>
      </c>
      <c r="J3" s="74">
        <f>VLOOKUP($A3,'Last Week Data'!$E:$BF,J$1,0)</f>
        <v>0</v>
      </c>
      <c r="K3" s="74">
        <f>VLOOKUP($A3,'Last Week Data'!$E:$BF,K$1,0)</f>
        <v>0</v>
      </c>
      <c r="L3" s="74">
        <f>VLOOKUP($A3,'Last Week Data'!$E:$BF,L$1,0)</f>
        <v>0</v>
      </c>
      <c r="M3" s="74">
        <f>VLOOKUP($A3,'Last Week Data'!$E:$BF,M$1,0)</f>
        <v>0</v>
      </c>
      <c r="N3" s="74">
        <f>VLOOKUP($A3,'Last Week Data'!$E:$BF,N$1,0)</f>
        <v>0</v>
      </c>
      <c r="O3" s="74">
        <f>VLOOKUP($A3,'Last Week Data'!$E:$BF,O$1,0)</f>
        <v>0</v>
      </c>
      <c r="P3" s="74">
        <f>VLOOKUP($A3,'Last Week Data'!$E:$BF,P$1,0)</f>
        <v>0</v>
      </c>
      <c r="Q3" s="74">
        <f>VLOOKUP($A3,'Last Week Data'!$E:$BF,Q$1,0)</f>
        <v>0</v>
      </c>
      <c r="R3" s="74">
        <f>VLOOKUP($A3,'Last Week Data'!$E:$BF,R$1,0)</f>
        <v>0</v>
      </c>
      <c r="S3" s="74">
        <f>VLOOKUP($A3,'Last Week Data'!$E:$BF,S$1,0)</f>
        <v>0</v>
      </c>
      <c r="T3" s="74">
        <f>VLOOKUP($A3,'Last Week Data'!$E:$BF,T$1,0)</f>
        <v>0</v>
      </c>
      <c r="U3" s="74">
        <f>VLOOKUP($A3,'Last Week Data'!$E:$BF,U$1,0)</f>
        <v>0</v>
      </c>
      <c r="V3" s="74">
        <f>VLOOKUP($A3,'Last Week Data'!$E:$BF,V$1,0)</f>
        <v>0</v>
      </c>
      <c r="W3" s="74">
        <f>VLOOKUP($A3,'Last Week Data'!$E:$BF,W$1,0)</f>
        <v>0</v>
      </c>
      <c r="X3" s="74">
        <f>VLOOKUP($A3,'Last Week Data'!$E:$BF,X$1,0)</f>
        <v>0</v>
      </c>
      <c r="Y3" s="74">
        <f>VLOOKUP($A3,'Last Week Data'!$E:$BF,Y$1,0)</f>
        <v>0</v>
      </c>
      <c r="Z3" s="74">
        <f>VLOOKUP($A3,'Last Week Data'!$E:$BF,Z$1,0)</f>
        <v>0</v>
      </c>
      <c r="AA3" s="74">
        <f>VLOOKUP($A3,'Last Week Data'!$E:$BF,AA$1,0)</f>
        <v>0</v>
      </c>
      <c r="AB3" s="74">
        <f>VLOOKUP($A3,'Last Week Data'!$E:$BF,AB$1,0)</f>
        <v>0</v>
      </c>
      <c r="AC3" s="74">
        <f>VLOOKUP($A3,'Last Week Data'!$E:$BF,AC$1,0)</f>
        <v>0</v>
      </c>
      <c r="AD3" s="74">
        <f>VLOOKUP($A3,'Last Week Data'!$E:$BF,AD$1,0)</f>
        <v>0</v>
      </c>
      <c r="AE3" s="74">
        <f>VLOOKUP($A3,'Last Week Data'!$E:$BF,AE$1,0)</f>
        <v>0</v>
      </c>
      <c r="AF3" s="74">
        <f>VLOOKUP($A3,'Last Week Data'!$E:$BF,AF$1,0)</f>
        <v>0</v>
      </c>
      <c r="AG3" s="74">
        <f>VLOOKUP($A3,'Last Week Data'!$E:$BF,AG$1,0)</f>
        <v>0</v>
      </c>
      <c r="AH3" s="74">
        <f>VLOOKUP($A3,'Last Week Data'!$E:$BF,AH$1,0)</f>
        <v>0</v>
      </c>
      <c r="AI3" s="74">
        <f>VLOOKUP($A3,'Last Week Data'!$E:$BF,AI$1,0)</f>
        <v>0</v>
      </c>
      <c r="AJ3" s="74">
        <f>VLOOKUP($A3,'Last Week Data'!$E:$BF,AJ$1,0)</f>
        <v>0</v>
      </c>
      <c r="AK3" s="74">
        <f>VLOOKUP($A3,'Last Week Data'!$E:$BF,AK$1,0)</f>
        <v>0</v>
      </c>
      <c r="AL3" s="74">
        <f>VLOOKUP($A3,'Last Week Data'!$E:$BF,AL$1,0)</f>
        <v>1201.8</v>
      </c>
      <c r="AM3" s="74">
        <f>VLOOKUP($A3,'Last Week Data'!$E:$BF,AM$1,0)</f>
        <v>4479.44</v>
      </c>
      <c r="AN3" s="74">
        <f>VLOOKUP($A3,'Last Week Data'!$E:$BF,AN$1,0)</f>
        <v>13158.52</v>
      </c>
      <c r="AO3" s="74">
        <f>VLOOKUP($A3,'Last Week Data'!$E:$BF,AO$1,0)</f>
        <v>16305.82</v>
      </c>
      <c r="AP3" s="74">
        <f>VLOOKUP($A3,'Last Week Data'!$E:$BF,AP$1,0)</f>
        <v>21142.82</v>
      </c>
      <c r="AQ3" s="74">
        <f>VLOOKUP($A3,'Last Week Data'!$E:$BF,AQ$1,0)</f>
        <v>19385.12</v>
      </c>
      <c r="AR3" s="74">
        <f>VLOOKUP($A3,'Last Week Data'!$E:$BF,AR$1,0)</f>
        <v>21669.02</v>
      </c>
      <c r="AS3" s="74">
        <f>VLOOKUP($A3,'Last Week Data'!$E:$BF,AS$1,0)</f>
        <v>19839.36</v>
      </c>
      <c r="AT3" s="74">
        <f>VLOOKUP($A3,'Last Week Data'!$E:$BF,AT$1,0)</f>
        <v>19075.03</v>
      </c>
      <c r="AU3" s="74">
        <f>VLOOKUP($A3,'Last Week Data'!$E:$BF,AU$1,0)</f>
        <v>18340.68</v>
      </c>
      <c r="AV3" s="74" t="str">
        <f>VLOOKUP($A3,'Last Week Data'!$E:$BF,AV$1,0)</f>
        <v/>
      </c>
      <c r="AW3" s="74" t="str">
        <f>VLOOKUP($A3,'Last Week Data'!$E:$BF,AW$1,0)</f>
        <v/>
      </c>
      <c r="AX3" s="74" t="str">
        <f>VLOOKUP($A3,'Last Week Data'!$E:$BF,AX$1,0)</f>
        <v/>
      </c>
      <c r="AY3" s="74" t="str">
        <f>VLOOKUP($A3,'Last Week Data'!$E:$BF,AY$1,0)</f>
        <v/>
      </c>
      <c r="AZ3" s="74" t="str">
        <f>VLOOKUP($A3,'Last Week Data'!$E:$BF,AZ$1,0)</f>
        <v/>
      </c>
      <c r="BA3" s="74" t="str">
        <f>VLOOKUP($A3,'Last Week Data'!$E:$BF,BA$1,0)</f>
        <v/>
      </c>
      <c r="BB3" s="74" t="str">
        <f>VLOOKUP($A3,'Last Week Data'!$E:$BF,BB$1,0)</f>
        <v/>
      </c>
      <c r="BC3" s="74" t="str">
        <f>VLOOKUP($A3,'Last Week Data'!$E:$BF,BC$1,0)</f>
        <v/>
      </c>
      <c r="BD3" s="74" t="str">
        <f>VLOOKUP($A3,'Last Week Data'!$E:$BF,BD$1,0)</f>
        <v/>
      </c>
      <c r="BE3" s="74" t="str">
        <f>VLOOKUP($A3,'Last Week Data'!$E:$BF,BE$1,0)</f>
        <v/>
      </c>
      <c r="BF3" s="74" t="str">
        <f>VLOOKUP($A3,'Last Week Data'!$E:$BF,BF$1,0)</f>
        <v/>
      </c>
      <c r="BG3" s="74" t="str">
        <f>VLOOKUP($A3,'Last Week Data'!$E:$BF,BG$1,0)</f>
        <v/>
      </c>
    </row>
    <row r="4">
      <c r="A4" s="70" t="str">
        <f t="shared" si="1"/>
        <v>677410826pos_quantity_this_year</v>
      </c>
      <c r="B4" s="75">
        <v>2.0</v>
      </c>
      <c r="C4" s="75" t="s">
        <v>61</v>
      </c>
      <c r="D4" s="75">
        <v>6.77410826E8</v>
      </c>
      <c r="E4" s="75" t="s">
        <v>50</v>
      </c>
      <c r="F4" s="76" t="s">
        <v>64</v>
      </c>
      <c r="G4" s="77" t="s">
        <v>133</v>
      </c>
      <c r="H4" s="78">
        <f>VLOOKUP($A4,'Last Week Data'!$E$3:$BF$17924,H$1,0)</f>
        <v>0</v>
      </c>
      <c r="I4" s="78">
        <f>VLOOKUP($A4,'Last Week Data'!$E$3:$BF$17924,I$1,0)</f>
        <v>0</v>
      </c>
      <c r="J4" s="78">
        <f>VLOOKUP($A4,'Last Week Data'!$E$3:$BF$17924,J$1,0)</f>
        <v>0</v>
      </c>
      <c r="K4" s="78">
        <f>VLOOKUP($A4,'Last Week Data'!$E$3:$BF$17924,K$1,0)</f>
        <v>0</v>
      </c>
      <c r="L4" s="78">
        <f>VLOOKUP($A4,'Last Week Data'!$E$3:$BF$17924,L$1,0)</f>
        <v>0</v>
      </c>
      <c r="M4" s="78">
        <f>VLOOKUP($A4,'Last Week Data'!$E$3:$BF$17924,M$1,0)</f>
        <v>0</v>
      </c>
      <c r="N4" s="78">
        <f>VLOOKUP($A4,'Last Week Data'!$E$3:$BF$17924,N$1,0)</f>
        <v>0</v>
      </c>
      <c r="O4" s="78">
        <f>VLOOKUP($A4,'Last Week Data'!$E$3:$BF$17924,O$1,0)</f>
        <v>0</v>
      </c>
      <c r="P4" s="78">
        <f>VLOOKUP($A4,'Last Week Data'!$E$3:$BF$17924,P$1,0)</f>
        <v>0</v>
      </c>
      <c r="Q4" s="78">
        <f>VLOOKUP($A4,'Last Week Data'!$E$3:$BF$17924,Q$1,0)</f>
        <v>0</v>
      </c>
      <c r="R4" s="78">
        <f>VLOOKUP($A4,'Last Week Data'!$E$3:$BF$17924,R$1,0)</f>
        <v>0</v>
      </c>
      <c r="S4" s="78">
        <f>VLOOKUP($A4,'Last Week Data'!$E$3:$BF$17924,S$1,0)</f>
        <v>0</v>
      </c>
      <c r="T4" s="78">
        <f>VLOOKUP($A4,'Last Week Data'!$E$3:$BF$17924,T$1,0)</f>
        <v>0</v>
      </c>
      <c r="U4" s="78">
        <f>VLOOKUP($A4,'Last Week Data'!$E$3:$BF$17924,U$1,0)</f>
        <v>0</v>
      </c>
      <c r="V4" s="78">
        <f>VLOOKUP($A4,'Last Week Data'!$E$3:$BF$17924,V$1,0)</f>
        <v>0</v>
      </c>
      <c r="W4" s="78">
        <f>VLOOKUP($A4,'Last Week Data'!$E$3:$BF$17924,W$1,0)</f>
        <v>0</v>
      </c>
      <c r="X4" s="78">
        <f>VLOOKUP($A4,'Last Week Data'!$E$3:$BF$17924,X$1,0)</f>
        <v>0</v>
      </c>
      <c r="Y4" s="78">
        <f>VLOOKUP($A4,'Last Week Data'!$E$3:$BF$17924,Y$1,0)</f>
        <v>0</v>
      </c>
      <c r="Z4" s="78">
        <f>VLOOKUP($A4,'Last Week Data'!$E$3:$BF$17924,Z$1,0)</f>
        <v>0</v>
      </c>
      <c r="AA4" s="78">
        <f>VLOOKUP($A4,'Last Week Data'!$E$3:$BF$17924,AA$1,0)</f>
        <v>0</v>
      </c>
      <c r="AB4" s="78">
        <f>VLOOKUP($A4,'Last Week Data'!$E$3:$BF$17924,AB$1,0)</f>
        <v>0</v>
      </c>
      <c r="AC4" s="78">
        <f>VLOOKUP($A4,'Last Week Data'!$E$3:$BF$17924,AC$1,0)</f>
        <v>0</v>
      </c>
      <c r="AD4" s="78">
        <f>VLOOKUP($A4,'Last Week Data'!$E$3:$BF$17924,AD$1,0)</f>
        <v>0</v>
      </c>
      <c r="AE4" s="78">
        <f>VLOOKUP($A4,'Last Week Data'!$E$3:$BF$17924,AE$1,0)</f>
        <v>0</v>
      </c>
      <c r="AF4" s="78">
        <f>VLOOKUP($A4,'Last Week Data'!$E$3:$BF$17924,AF$1,0)</f>
        <v>0</v>
      </c>
      <c r="AG4" s="78">
        <f>VLOOKUP($A4,'Last Week Data'!$E$3:$BF$17924,AG$1,0)</f>
        <v>0</v>
      </c>
      <c r="AH4" s="78">
        <f>VLOOKUP($A4,'Last Week Data'!$E$3:$BF$17924,AH$1,0)</f>
        <v>0</v>
      </c>
      <c r="AI4" s="78">
        <f>VLOOKUP($A4,'Last Week Data'!$E$3:$BF$17924,AI$1,0)</f>
        <v>0</v>
      </c>
      <c r="AJ4" s="78">
        <f>VLOOKUP($A4,'Last Week Data'!$E$3:$BF$17924,AJ$1,0)</f>
        <v>0</v>
      </c>
      <c r="AK4" s="78">
        <f>VLOOKUP($A4,'Last Week Data'!$E$3:$BF$17924,AK$1,0)</f>
        <v>0</v>
      </c>
      <c r="AL4" s="78">
        <f>VLOOKUP($A4,'Last Week Data'!$E$3:$BF$17924,AL$1,0)</f>
        <v>34</v>
      </c>
      <c r="AM4" s="78">
        <f>VLOOKUP($A4,'Last Week Data'!$E$3:$BF$17924,AM$1,0)</f>
        <v>118</v>
      </c>
      <c r="AN4" s="78">
        <f>VLOOKUP($A4,'Last Week Data'!$E$3:$BF$17924,AN$1,0)</f>
        <v>341</v>
      </c>
      <c r="AO4" s="78">
        <f>VLOOKUP($A4,'Last Week Data'!$E$3:$BF$17924,AO$1,0)</f>
        <v>419</v>
      </c>
      <c r="AP4" s="78">
        <f>VLOOKUP($A4,'Last Week Data'!$E$3:$BF$17924,AP$1,0)</f>
        <v>543</v>
      </c>
      <c r="AQ4" s="78">
        <f>VLOOKUP($A4,'Last Week Data'!$E$3:$BF$17924,AQ$1,0)</f>
        <v>499</v>
      </c>
      <c r="AR4" s="78">
        <f>VLOOKUP($A4,'Last Week Data'!$E$3:$BF$17924,AR$1,0)</f>
        <v>557</v>
      </c>
      <c r="AS4" s="78">
        <f>VLOOKUP($A4,'Last Week Data'!$E$3:$BF$17924,AS$1,0)</f>
        <v>516</v>
      </c>
      <c r="AT4" s="78">
        <f>VLOOKUP($A4,'Last Week Data'!$E$3:$BF$17924,AT$1,0)</f>
        <v>491</v>
      </c>
      <c r="AU4" s="78">
        <f>VLOOKUP($A4,'Last Week Data'!$E$3:$BF$17924,AU$1,0)</f>
        <v>473</v>
      </c>
      <c r="AV4" s="78" t="str">
        <f>VLOOKUP($A4,'Last Week Data'!$E$3:$BF$17924,AV$1,0)</f>
        <v/>
      </c>
      <c r="AW4" s="78" t="str">
        <f>VLOOKUP($A4,'Last Week Data'!$E$3:$BF$17924,AW$1,0)</f>
        <v/>
      </c>
      <c r="AX4" s="78" t="str">
        <f>VLOOKUP($A4,'Last Week Data'!$E$3:$BF$17924,AX$1,0)</f>
        <v/>
      </c>
      <c r="AY4" s="78" t="str">
        <f>VLOOKUP($A4,'Last Week Data'!$E$3:$BF$17924,AY$1,0)</f>
        <v/>
      </c>
      <c r="AZ4" s="78" t="str">
        <f>VLOOKUP($A4,'Last Week Data'!$E$3:$BF$17924,AZ$1,0)</f>
        <v/>
      </c>
      <c r="BA4" s="78" t="str">
        <f>VLOOKUP($A4,'Last Week Data'!$E$3:$BF$17924,BA$1,0)</f>
        <v/>
      </c>
      <c r="BB4" s="78" t="str">
        <f>VLOOKUP($A4,'Last Week Data'!$E$3:$BF$17924,BB$1,0)</f>
        <v/>
      </c>
      <c r="BC4" s="78" t="str">
        <f>VLOOKUP($A4,'Last Week Data'!$E$3:$BF$17924,BC$1,0)</f>
        <v/>
      </c>
      <c r="BD4" s="78" t="str">
        <f>VLOOKUP($A4,'Last Week Data'!$E$3:$BF$17924,BD$1,0)</f>
        <v/>
      </c>
      <c r="BE4" s="78" t="str">
        <f>VLOOKUP($A4,'Last Week Data'!$E$3:$BF$17924,BE$1,0)</f>
        <v/>
      </c>
      <c r="BF4" s="78" t="str">
        <f>VLOOKUP($A4,'Last Week Data'!$E$3:$BF$17924,BF$1,0)</f>
        <v/>
      </c>
      <c r="BG4" s="78" t="str">
        <f>VLOOKUP($A4,'Last Week Data'!$E$3:$BF$17924,BG$1,0)</f>
        <v/>
      </c>
    </row>
    <row r="5">
      <c r="A5" s="70" t="str">
        <f t="shared" si="1"/>
        <v>677410826POS Qty if Instock</v>
      </c>
      <c r="B5" s="75">
        <v>2.0</v>
      </c>
      <c r="C5" s="75" t="s">
        <v>61</v>
      </c>
      <c r="D5" s="75">
        <v>6.77410826E8</v>
      </c>
      <c r="E5" s="75" t="s">
        <v>50</v>
      </c>
      <c r="F5" s="76" t="s">
        <v>66</v>
      </c>
      <c r="G5" s="79" t="s">
        <v>67</v>
      </c>
      <c r="H5" s="80">
        <f t="shared" ref="H5:BG5" si="2">((1-H9)*H4)+H4</f>
        <v>0</v>
      </c>
      <c r="I5" s="80">
        <f t="shared" si="2"/>
        <v>0</v>
      </c>
      <c r="J5" s="80">
        <f t="shared" si="2"/>
        <v>0</v>
      </c>
      <c r="K5" s="80">
        <f t="shared" si="2"/>
        <v>0</v>
      </c>
      <c r="L5" s="80">
        <f t="shared" si="2"/>
        <v>0</v>
      </c>
      <c r="M5" s="80">
        <f t="shared" si="2"/>
        <v>0</v>
      </c>
      <c r="N5" s="80">
        <f t="shared" si="2"/>
        <v>0</v>
      </c>
      <c r="O5" s="80">
        <f t="shared" si="2"/>
        <v>0</v>
      </c>
      <c r="P5" s="80">
        <f t="shared" si="2"/>
        <v>0</v>
      </c>
      <c r="Q5" s="80">
        <f t="shared" si="2"/>
        <v>0</v>
      </c>
      <c r="R5" s="80">
        <f t="shared" si="2"/>
        <v>0</v>
      </c>
      <c r="S5" s="80">
        <f t="shared" si="2"/>
        <v>0</v>
      </c>
      <c r="T5" s="80">
        <f t="shared" si="2"/>
        <v>0</v>
      </c>
      <c r="U5" s="80">
        <f t="shared" si="2"/>
        <v>0</v>
      </c>
      <c r="V5" s="80">
        <f t="shared" si="2"/>
        <v>0</v>
      </c>
      <c r="W5" s="80">
        <f t="shared" si="2"/>
        <v>0</v>
      </c>
      <c r="X5" s="80">
        <f t="shared" si="2"/>
        <v>0</v>
      </c>
      <c r="Y5" s="80">
        <f t="shared" si="2"/>
        <v>0</v>
      </c>
      <c r="Z5" s="80">
        <f t="shared" si="2"/>
        <v>0</v>
      </c>
      <c r="AA5" s="80">
        <f t="shared" si="2"/>
        <v>0</v>
      </c>
      <c r="AB5" s="80">
        <f t="shared" si="2"/>
        <v>0</v>
      </c>
      <c r="AC5" s="80">
        <f t="shared" si="2"/>
        <v>0</v>
      </c>
      <c r="AD5" s="80">
        <f t="shared" si="2"/>
        <v>0</v>
      </c>
      <c r="AE5" s="80">
        <f t="shared" si="2"/>
        <v>0</v>
      </c>
      <c r="AF5" s="80">
        <f t="shared" si="2"/>
        <v>0</v>
      </c>
      <c r="AG5" s="80">
        <f t="shared" si="2"/>
        <v>0</v>
      </c>
      <c r="AH5" s="80">
        <f t="shared" si="2"/>
        <v>0</v>
      </c>
      <c r="AI5" s="80">
        <f t="shared" si="2"/>
        <v>0</v>
      </c>
      <c r="AJ5" s="80">
        <f t="shared" si="2"/>
        <v>0</v>
      </c>
      <c r="AK5" s="80">
        <f t="shared" si="2"/>
        <v>0</v>
      </c>
      <c r="AL5" s="80">
        <f t="shared" si="2"/>
        <v>68</v>
      </c>
      <c r="AM5" s="80">
        <f t="shared" si="2"/>
        <v>236</v>
      </c>
      <c r="AN5" s="80">
        <f t="shared" si="2"/>
        <v>351.912</v>
      </c>
      <c r="AO5" s="80">
        <f t="shared" si="2"/>
        <v>429.5169</v>
      </c>
      <c r="AP5" s="80">
        <f t="shared" si="2"/>
        <v>550.9278</v>
      </c>
      <c r="AQ5" s="80">
        <f t="shared" si="2"/>
        <v>504.5389</v>
      </c>
      <c r="AR5" s="80">
        <f t="shared" si="2"/>
        <v>571.0364</v>
      </c>
      <c r="AS5" s="80">
        <f t="shared" si="2"/>
        <v>525.4944</v>
      </c>
      <c r="AT5" s="80">
        <f t="shared" si="2"/>
        <v>497.3339</v>
      </c>
      <c r="AU5" s="80">
        <f t="shared" si="2"/>
        <v>479.1017</v>
      </c>
      <c r="AV5" s="80">
        <f t="shared" si="2"/>
        <v>0</v>
      </c>
      <c r="AW5" s="80">
        <f t="shared" si="2"/>
        <v>0</v>
      </c>
      <c r="AX5" s="80">
        <f t="shared" si="2"/>
        <v>0</v>
      </c>
      <c r="AY5" s="80">
        <f t="shared" si="2"/>
        <v>0</v>
      </c>
      <c r="AZ5" s="80">
        <f t="shared" si="2"/>
        <v>0</v>
      </c>
      <c r="BA5" s="80">
        <f t="shared" si="2"/>
        <v>0</v>
      </c>
      <c r="BB5" s="80">
        <f t="shared" si="2"/>
        <v>0</v>
      </c>
      <c r="BC5" s="80">
        <f t="shared" si="2"/>
        <v>0</v>
      </c>
      <c r="BD5" s="80">
        <f t="shared" si="2"/>
        <v>0</v>
      </c>
      <c r="BE5" s="80">
        <f t="shared" si="2"/>
        <v>0</v>
      </c>
      <c r="BF5" s="80">
        <f t="shared" si="2"/>
        <v>0</v>
      </c>
      <c r="BG5" s="80">
        <f t="shared" si="2"/>
        <v>0</v>
      </c>
    </row>
    <row r="6">
      <c r="A6" s="70" t="str">
        <f t="shared" si="1"/>
        <v>677410826Units per Store per Week (w/zeros)</v>
      </c>
      <c r="B6" s="75">
        <v>2.0</v>
      </c>
      <c r="C6" s="75" t="s">
        <v>61</v>
      </c>
      <c r="D6" s="75">
        <v>6.77410826E8</v>
      </c>
      <c r="E6" s="75" t="s">
        <v>50</v>
      </c>
      <c r="F6" s="76" t="s">
        <v>68</v>
      </c>
      <c r="G6" s="81" t="s">
        <v>69</v>
      </c>
      <c r="H6" s="82">
        <f t="shared" ref="H6:BG6" si="3">IFERROR(H4/H8,0)</f>
        <v>0</v>
      </c>
      <c r="I6" s="82">
        <f t="shared" si="3"/>
        <v>0</v>
      </c>
      <c r="J6" s="82">
        <f t="shared" si="3"/>
        <v>0</v>
      </c>
      <c r="K6" s="82">
        <f t="shared" si="3"/>
        <v>0</v>
      </c>
      <c r="L6" s="82">
        <f t="shared" si="3"/>
        <v>0</v>
      </c>
      <c r="M6" s="82">
        <f t="shared" si="3"/>
        <v>0</v>
      </c>
      <c r="N6" s="82">
        <f t="shared" si="3"/>
        <v>0</v>
      </c>
      <c r="O6" s="82">
        <f t="shared" si="3"/>
        <v>0</v>
      </c>
      <c r="P6" s="82">
        <f t="shared" si="3"/>
        <v>0</v>
      </c>
      <c r="Q6" s="82">
        <f t="shared" si="3"/>
        <v>0</v>
      </c>
      <c r="R6" s="82">
        <f t="shared" si="3"/>
        <v>0</v>
      </c>
      <c r="S6" s="82">
        <f t="shared" si="3"/>
        <v>0</v>
      </c>
      <c r="T6" s="82">
        <f t="shared" si="3"/>
        <v>0</v>
      </c>
      <c r="U6" s="82">
        <f t="shared" si="3"/>
        <v>0</v>
      </c>
      <c r="V6" s="82">
        <f t="shared" si="3"/>
        <v>0</v>
      </c>
      <c r="W6" s="82">
        <f t="shared" si="3"/>
        <v>0</v>
      </c>
      <c r="X6" s="82">
        <f t="shared" si="3"/>
        <v>0</v>
      </c>
      <c r="Y6" s="82">
        <f t="shared" si="3"/>
        <v>0</v>
      </c>
      <c r="Z6" s="82">
        <f t="shared" si="3"/>
        <v>0</v>
      </c>
      <c r="AA6" s="82">
        <f t="shared" si="3"/>
        <v>0</v>
      </c>
      <c r="AB6" s="82">
        <f t="shared" si="3"/>
        <v>0</v>
      </c>
      <c r="AC6" s="82">
        <f t="shared" si="3"/>
        <v>0</v>
      </c>
      <c r="AD6" s="82">
        <f t="shared" si="3"/>
        <v>0</v>
      </c>
      <c r="AE6" s="82">
        <f t="shared" si="3"/>
        <v>0</v>
      </c>
      <c r="AF6" s="82">
        <f t="shared" si="3"/>
        <v>0</v>
      </c>
      <c r="AG6" s="82">
        <f t="shared" si="3"/>
        <v>0</v>
      </c>
      <c r="AH6" s="82">
        <f t="shared" si="3"/>
        <v>0</v>
      </c>
      <c r="AI6" s="82">
        <f t="shared" si="3"/>
        <v>0</v>
      </c>
      <c r="AJ6" s="82">
        <f t="shared" si="3"/>
        <v>0</v>
      </c>
      <c r="AK6" s="82">
        <f t="shared" si="3"/>
        <v>0</v>
      </c>
      <c r="AL6" s="82">
        <f t="shared" si="3"/>
        <v>0.02362751911</v>
      </c>
      <c r="AM6" s="82">
        <f t="shared" si="3"/>
        <v>0.08194444444</v>
      </c>
      <c r="AN6" s="82">
        <f t="shared" si="3"/>
        <v>0.2368055556</v>
      </c>
      <c r="AO6" s="82">
        <f t="shared" si="3"/>
        <v>0.2907702984</v>
      </c>
      <c r="AP6" s="82">
        <f t="shared" si="3"/>
        <v>0.3765603329</v>
      </c>
      <c r="AQ6" s="82">
        <f t="shared" si="3"/>
        <v>0.3387644263</v>
      </c>
      <c r="AR6" s="82">
        <f t="shared" si="3"/>
        <v>0.3778833107</v>
      </c>
      <c r="AS6" s="82">
        <f t="shared" si="3"/>
        <v>0.350305499</v>
      </c>
      <c r="AT6" s="82">
        <f t="shared" si="3"/>
        <v>0.3333333333</v>
      </c>
      <c r="AU6" s="82">
        <f t="shared" si="3"/>
        <v>0.3213315217</v>
      </c>
      <c r="AV6" s="82">
        <f t="shared" si="3"/>
        <v>0</v>
      </c>
      <c r="AW6" s="82">
        <f t="shared" si="3"/>
        <v>0</v>
      </c>
      <c r="AX6" s="82">
        <f t="shared" si="3"/>
        <v>0</v>
      </c>
      <c r="AY6" s="82">
        <f t="shared" si="3"/>
        <v>0</v>
      </c>
      <c r="AZ6" s="82">
        <f t="shared" si="3"/>
        <v>0</v>
      </c>
      <c r="BA6" s="82">
        <f t="shared" si="3"/>
        <v>0</v>
      </c>
      <c r="BB6" s="82">
        <f t="shared" si="3"/>
        <v>0</v>
      </c>
      <c r="BC6" s="82">
        <f t="shared" si="3"/>
        <v>0</v>
      </c>
      <c r="BD6" s="82">
        <f t="shared" si="3"/>
        <v>0</v>
      </c>
      <c r="BE6" s="82">
        <f t="shared" si="3"/>
        <v>0</v>
      </c>
      <c r="BF6" s="82">
        <f t="shared" si="3"/>
        <v>0</v>
      </c>
      <c r="BG6" s="82">
        <f t="shared" si="3"/>
        <v>0</v>
      </c>
    </row>
    <row r="7">
      <c r="A7" s="70" t="str">
        <f t="shared" si="1"/>
        <v>677410826Avg Price</v>
      </c>
      <c r="B7" s="75">
        <v>2.0</v>
      </c>
      <c r="C7" s="75" t="s">
        <v>61</v>
      </c>
      <c r="D7" s="75">
        <v>6.77410826E8</v>
      </c>
      <c r="E7" s="75" t="s">
        <v>50</v>
      </c>
      <c r="F7" s="76" t="s">
        <v>70</v>
      </c>
      <c r="G7" s="81" t="s">
        <v>71</v>
      </c>
      <c r="H7" s="83">
        <f t="shared" ref="H7:BG7" si="4">IFERROR(H3/H4,0)</f>
        <v>0</v>
      </c>
      <c r="I7" s="83">
        <f t="shared" si="4"/>
        <v>0</v>
      </c>
      <c r="J7" s="83">
        <f t="shared" si="4"/>
        <v>0</v>
      </c>
      <c r="K7" s="83">
        <f t="shared" si="4"/>
        <v>0</v>
      </c>
      <c r="L7" s="83">
        <f t="shared" si="4"/>
        <v>0</v>
      </c>
      <c r="M7" s="83">
        <f t="shared" si="4"/>
        <v>0</v>
      </c>
      <c r="N7" s="83">
        <f t="shared" si="4"/>
        <v>0</v>
      </c>
      <c r="O7" s="83">
        <f t="shared" si="4"/>
        <v>0</v>
      </c>
      <c r="P7" s="83">
        <f t="shared" si="4"/>
        <v>0</v>
      </c>
      <c r="Q7" s="83">
        <f t="shared" si="4"/>
        <v>0</v>
      </c>
      <c r="R7" s="83">
        <f t="shared" si="4"/>
        <v>0</v>
      </c>
      <c r="S7" s="83">
        <f t="shared" si="4"/>
        <v>0</v>
      </c>
      <c r="T7" s="83">
        <f t="shared" si="4"/>
        <v>0</v>
      </c>
      <c r="U7" s="83">
        <f t="shared" si="4"/>
        <v>0</v>
      </c>
      <c r="V7" s="83">
        <f t="shared" si="4"/>
        <v>0</v>
      </c>
      <c r="W7" s="83">
        <f t="shared" si="4"/>
        <v>0</v>
      </c>
      <c r="X7" s="83">
        <f t="shared" si="4"/>
        <v>0</v>
      </c>
      <c r="Y7" s="83">
        <f t="shared" si="4"/>
        <v>0</v>
      </c>
      <c r="Z7" s="83">
        <f t="shared" si="4"/>
        <v>0</v>
      </c>
      <c r="AA7" s="83">
        <f t="shared" si="4"/>
        <v>0</v>
      </c>
      <c r="AB7" s="83">
        <f t="shared" si="4"/>
        <v>0</v>
      </c>
      <c r="AC7" s="83">
        <f t="shared" si="4"/>
        <v>0</v>
      </c>
      <c r="AD7" s="83">
        <f t="shared" si="4"/>
        <v>0</v>
      </c>
      <c r="AE7" s="83">
        <f t="shared" si="4"/>
        <v>0</v>
      </c>
      <c r="AF7" s="83">
        <f t="shared" si="4"/>
        <v>0</v>
      </c>
      <c r="AG7" s="83">
        <f t="shared" si="4"/>
        <v>0</v>
      </c>
      <c r="AH7" s="83">
        <f t="shared" si="4"/>
        <v>0</v>
      </c>
      <c r="AI7" s="83">
        <f t="shared" si="4"/>
        <v>0</v>
      </c>
      <c r="AJ7" s="83">
        <f t="shared" si="4"/>
        <v>0</v>
      </c>
      <c r="AK7" s="83">
        <f t="shared" si="4"/>
        <v>0</v>
      </c>
      <c r="AL7" s="83">
        <f t="shared" si="4"/>
        <v>35.34705882</v>
      </c>
      <c r="AM7" s="83">
        <f t="shared" si="4"/>
        <v>37.96135593</v>
      </c>
      <c r="AN7" s="83">
        <f t="shared" si="4"/>
        <v>38.58803519</v>
      </c>
      <c r="AO7" s="83">
        <f t="shared" si="4"/>
        <v>38.91603819</v>
      </c>
      <c r="AP7" s="83">
        <f t="shared" si="4"/>
        <v>38.93705341</v>
      </c>
      <c r="AQ7" s="83">
        <f t="shared" si="4"/>
        <v>38.84793587</v>
      </c>
      <c r="AR7" s="83">
        <f t="shared" si="4"/>
        <v>38.90308797</v>
      </c>
      <c r="AS7" s="83">
        <f t="shared" si="4"/>
        <v>38.44837209</v>
      </c>
      <c r="AT7" s="83">
        <f t="shared" si="4"/>
        <v>38.84934827</v>
      </c>
      <c r="AU7" s="83">
        <f t="shared" si="4"/>
        <v>38.77522199</v>
      </c>
      <c r="AV7" s="83">
        <f t="shared" si="4"/>
        <v>0</v>
      </c>
      <c r="AW7" s="83">
        <f t="shared" si="4"/>
        <v>0</v>
      </c>
      <c r="AX7" s="83">
        <f t="shared" si="4"/>
        <v>0</v>
      </c>
      <c r="AY7" s="83">
        <f t="shared" si="4"/>
        <v>0</v>
      </c>
      <c r="AZ7" s="83">
        <f t="shared" si="4"/>
        <v>0</v>
      </c>
      <c r="BA7" s="83">
        <f t="shared" si="4"/>
        <v>0</v>
      </c>
      <c r="BB7" s="83">
        <f t="shared" si="4"/>
        <v>0</v>
      </c>
      <c r="BC7" s="83">
        <f t="shared" si="4"/>
        <v>0</v>
      </c>
      <c r="BD7" s="83">
        <f t="shared" si="4"/>
        <v>0</v>
      </c>
      <c r="BE7" s="83">
        <f t="shared" si="4"/>
        <v>0</v>
      </c>
      <c r="BF7" s="83">
        <f t="shared" si="4"/>
        <v>0</v>
      </c>
      <c r="BG7" s="83">
        <f t="shared" si="4"/>
        <v>0</v>
      </c>
    </row>
    <row r="8">
      <c r="A8" s="70" t="str">
        <f t="shared" si="1"/>
        <v>677410826traited_store_count_this_year</v>
      </c>
      <c r="B8" s="75">
        <v>2.0</v>
      </c>
      <c r="C8" s="75" t="s">
        <v>61</v>
      </c>
      <c r="D8" s="75">
        <v>6.77410826E8</v>
      </c>
      <c r="E8" s="75" t="s">
        <v>50</v>
      </c>
      <c r="F8" s="76" t="s">
        <v>72</v>
      </c>
      <c r="G8" s="81" t="s">
        <v>134</v>
      </c>
      <c r="H8" s="84">
        <f>VLOOKUP($A8,'Last Week Data'!$E$3:$BF$17924,H$1,0)</f>
        <v>0</v>
      </c>
      <c r="I8" s="84">
        <f>VLOOKUP($A8,'Last Week Data'!$E$3:$BF$17924,I$1,0)</f>
        <v>0</v>
      </c>
      <c r="J8" s="84">
        <f>VLOOKUP($A8,'Last Week Data'!$E$3:$BF$17924,J$1,0)</f>
        <v>0</v>
      </c>
      <c r="K8" s="84">
        <f>VLOOKUP($A8,'Last Week Data'!$E$3:$BF$17924,K$1,0)</f>
        <v>0</v>
      </c>
      <c r="L8" s="84">
        <f>VLOOKUP($A8,'Last Week Data'!$E$3:$BF$17924,L$1,0)</f>
        <v>0</v>
      </c>
      <c r="M8" s="84">
        <f>VLOOKUP($A8,'Last Week Data'!$E$3:$BF$17924,M$1,0)</f>
        <v>0</v>
      </c>
      <c r="N8" s="84">
        <f>VLOOKUP($A8,'Last Week Data'!$E$3:$BF$17924,N$1,0)</f>
        <v>0</v>
      </c>
      <c r="O8" s="84">
        <f>VLOOKUP($A8,'Last Week Data'!$E$3:$BF$17924,O$1,0)</f>
        <v>0</v>
      </c>
      <c r="P8" s="84">
        <f>VLOOKUP($A8,'Last Week Data'!$E$3:$BF$17924,P$1,0)</f>
        <v>0</v>
      </c>
      <c r="Q8" s="84">
        <f>VLOOKUP($A8,'Last Week Data'!$E$3:$BF$17924,Q$1,0)</f>
        <v>0</v>
      </c>
      <c r="R8" s="84">
        <f>VLOOKUP($A8,'Last Week Data'!$E$3:$BF$17924,R$1,0)</f>
        <v>0</v>
      </c>
      <c r="S8" s="84">
        <f>VLOOKUP($A8,'Last Week Data'!$E$3:$BF$17924,S$1,0)</f>
        <v>0</v>
      </c>
      <c r="T8" s="84">
        <f>VLOOKUP($A8,'Last Week Data'!$E$3:$BF$17924,T$1,0)</f>
        <v>0</v>
      </c>
      <c r="U8" s="84">
        <f>VLOOKUP($A8,'Last Week Data'!$E$3:$BF$17924,U$1,0)</f>
        <v>0</v>
      </c>
      <c r="V8" s="84">
        <f>VLOOKUP($A8,'Last Week Data'!$E$3:$BF$17924,V$1,0)</f>
        <v>0</v>
      </c>
      <c r="W8" s="84">
        <f>VLOOKUP($A8,'Last Week Data'!$E$3:$BF$17924,W$1,0)</f>
        <v>0</v>
      </c>
      <c r="X8" s="84">
        <f>VLOOKUP($A8,'Last Week Data'!$E$3:$BF$17924,X$1,0)</f>
        <v>0</v>
      </c>
      <c r="Y8" s="84">
        <f>VLOOKUP($A8,'Last Week Data'!$E$3:$BF$17924,Y$1,0)</f>
        <v>0</v>
      </c>
      <c r="Z8" s="84">
        <f>VLOOKUP($A8,'Last Week Data'!$E$3:$BF$17924,Z$1,0)</f>
        <v>0</v>
      </c>
      <c r="AA8" s="84">
        <f>VLOOKUP($A8,'Last Week Data'!$E$3:$BF$17924,AA$1,0)</f>
        <v>0</v>
      </c>
      <c r="AB8" s="84">
        <f>VLOOKUP($A8,'Last Week Data'!$E$3:$BF$17924,AB$1,0)</f>
        <v>0</v>
      </c>
      <c r="AC8" s="84">
        <f>VLOOKUP($A8,'Last Week Data'!$E$3:$BF$17924,AC$1,0)</f>
        <v>0</v>
      </c>
      <c r="AD8" s="84">
        <f>VLOOKUP($A8,'Last Week Data'!$E$3:$BF$17924,AD$1,0)</f>
        <v>0</v>
      </c>
      <c r="AE8" s="84">
        <f>VLOOKUP($A8,'Last Week Data'!$E$3:$BF$17924,AE$1,0)</f>
        <v>0</v>
      </c>
      <c r="AF8" s="84">
        <f>VLOOKUP($A8,'Last Week Data'!$E$3:$BF$17924,AF$1,0)</f>
        <v>0</v>
      </c>
      <c r="AG8" s="84">
        <f>VLOOKUP($A8,'Last Week Data'!$E$3:$BF$17924,AG$1,0)</f>
        <v>0</v>
      </c>
      <c r="AH8" s="84">
        <f>VLOOKUP($A8,'Last Week Data'!$E$3:$BF$17924,AH$1,0)</f>
        <v>0</v>
      </c>
      <c r="AI8" s="84">
        <f>VLOOKUP($A8,'Last Week Data'!$E$3:$BF$17924,AI$1,0)</f>
        <v>0</v>
      </c>
      <c r="AJ8" s="84">
        <f>VLOOKUP($A8,'Last Week Data'!$E$3:$BF$17924,AJ$1,0)</f>
        <v>0</v>
      </c>
      <c r="AK8" s="84">
        <f>VLOOKUP($A8,'Last Week Data'!$E$3:$BF$17924,AK$1,0)</f>
        <v>0</v>
      </c>
      <c r="AL8" s="84">
        <f>VLOOKUP($A8,'Last Week Data'!$E$3:$BF$17924,AL$1,0)</f>
        <v>1439</v>
      </c>
      <c r="AM8" s="84">
        <f>VLOOKUP($A8,'Last Week Data'!$E$3:$BF$17924,AM$1,0)</f>
        <v>1440</v>
      </c>
      <c r="AN8" s="84">
        <f>VLOOKUP($A8,'Last Week Data'!$E$3:$BF$17924,AN$1,0)</f>
        <v>1440</v>
      </c>
      <c r="AO8" s="84">
        <f>VLOOKUP($A8,'Last Week Data'!$E$3:$BF$17924,AO$1,0)</f>
        <v>1441</v>
      </c>
      <c r="AP8" s="84">
        <f>VLOOKUP($A8,'Last Week Data'!$E$3:$BF$17924,AP$1,0)</f>
        <v>1442</v>
      </c>
      <c r="AQ8" s="84">
        <f>VLOOKUP($A8,'Last Week Data'!$E$3:$BF$17924,AQ$1,0)</f>
        <v>1473</v>
      </c>
      <c r="AR8" s="84">
        <f>VLOOKUP($A8,'Last Week Data'!$E$3:$BF$17924,AR$1,0)</f>
        <v>1474</v>
      </c>
      <c r="AS8" s="84">
        <f>VLOOKUP($A8,'Last Week Data'!$E$3:$BF$17924,AS$1,0)</f>
        <v>1473</v>
      </c>
      <c r="AT8" s="84">
        <f>VLOOKUP($A8,'Last Week Data'!$E$3:$BF$17924,AT$1,0)</f>
        <v>1473</v>
      </c>
      <c r="AU8" s="84">
        <f>VLOOKUP($A8,'Last Week Data'!$E$3:$BF$17924,AU$1,0)</f>
        <v>1472</v>
      </c>
      <c r="AV8" s="84" t="str">
        <f>VLOOKUP($A8,'Last Week Data'!$E$3:$BF$17924,AV$1,0)</f>
        <v/>
      </c>
      <c r="AW8" s="84" t="str">
        <f>VLOOKUP($A8,'Last Week Data'!$E$3:$BF$17924,AW$1,0)</f>
        <v/>
      </c>
      <c r="AX8" s="84" t="str">
        <f>VLOOKUP($A8,'Last Week Data'!$E$3:$BF$17924,AX$1,0)</f>
        <v/>
      </c>
      <c r="AY8" s="84" t="str">
        <f>VLOOKUP($A8,'Last Week Data'!$E$3:$BF$17924,AY$1,0)</f>
        <v/>
      </c>
      <c r="AZ8" s="84" t="str">
        <f>VLOOKUP($A8,'Last Week Data'!$E$3:$BF$17924,AZ$1,0)</f>
        <v/>
      </c>
      <c r="BA8" s="84" t="str">
        <f>VLOOKUP($A8,'Last Week Data'!$E$3:$BF$17924,BA$1,0)</f>
        <v/>
      </c>
      <c r="BB8" s="84" t="str">
        <f>VLOOKUP($A8,'Last Week Data'!$E$3:$BF$17924,BB$1,0)</f>
        <v/>
      </c>
      <c r="BC8" s="84" t="str">
        <f>VLOOKUP($A8,'Last Week Data'!$E$3:$BF$17924,BC$1,0)</f>
        <v/>
      </c>
      <c r="BD8" s="84" t="str">
        <f>VLOOKUP($A8,'Last Week Data'!$E$3:$BF$17924,BD$1,0)</f>
        <v/>
      </c>
      <c r="BE8" s="84" t="str">
        <f>VLOOKUP($A8,'Last Week Data'!$E$3:$BF$17924,BE$1,0)</f>
        <v/>
      </c>
      <c r="BF8" s="84" t="str">
        <f>VLOOKUP($A8,'Last Week Data'!$E$3:$BF$17924,BF$1,0)</f>
        <v/>
      </c>
      <c r="BG8" s="84" t="str">
        <f>VLOOKUP($A8,'Last Week Data'!$E$3:$BF$17924,BG$1,0)</f>
        <v/>
      </c>
    </row>
    <row r="9">
      <c r="A9" s="70" t="str">
        <f t="shared" si="1"/>
        <v>677410826repl_instock_percentage_this_year_eop</v>
      </c>
      <c r="B9" s="75">
        <v>2.0</v>
      </c>
      <c r="C9" s="75" t="s">
        <v>61</v>
      </c>
      <c r="D9" s="75">
        <v>6.77410826E8</v>
      </c>
      <c r="E9" s="75" t="s">
        <v>50</v>
      </c>
      <c r="F9" s="76" t="s">
        <v>74</v>
      </c>
      <c r="G9" s="81" t="s">
        <v>135</v>
      </c>
      <c r="H9" s="85">
        <f>VLOOKUP($A9,'Last Week Data'!$E$3:$BF$17924,H$1,0)</f>
        <v>0</v>
      </c>
      <c r="I9" s="85">
        <f>VLOOKUP($A9,'Last Week Data'!$E$3:$BF$17924,I$1,0)</f>
        <v>0</v>
      </c>
      <c r="J9" s="85">
        <f>VLOOKUP($A9,'Last Week Data'!$E$3:$BF$17924,J$1,0)</f>
        <v>0</v>
      </c>
      <c r="K9" s="85">
        <f>VLOOKUP($A9,'Last Week Data'!$E$3:$BF$17924,K$1,0)</f>
        <v>0</v>
      </c>
      <c r="L9" s="85">
        <f>VLOOKUP($A9,'Last Week Data'!$E$3:$BF$17924,L$1,0)</f>
        <v>0</v>
      </c>
      <c r="M9" s="85">
        <f>VLOOKUP($A9,'Last Week Data'!$E$3:$BF$17924,M$1,0)</f>
        <v>0</v>
      </c>
      <c r="N9" s="85">
        <f>VLOOKUP($A9,'Last Week Data'!$E$3:$BF$17924,N$1,0)</f>
        <v>0</v>
      </c>
      <c r="O9" s="85">
        <f>VLOOKUP($A9,'Last Week Data'!$E$3:$BF$17924,O$1,0)</f>
        <v>0</v>
      </c>
      <c r="P9" s="85">
        <f>VLOOKUP($A9,'Last Week Data'!$E$3:$BF$17924,P$1,0)</f>
        <v>0</v>
      </c>
      <c r="Q9" s="85">
        <f>VLOOKUP($A9,'Last Week Data'!$E$3:$BF$17924,Q$1,0)</f>
        <v>0</v>
      </c>
      <c r="R9" s="85">
        <f>VLOOKUP($A9,'Last Week Data'!$E$3:$BF$17924,R$1,0)</f>
        <v>0</v>
      </c>
      <c r="S9" s="85">
        <f>VLOOKUP($A9,'Last Week Data'!$E$3:$BF$17924,S$1,0)</f>
        <v>0</v>
      </c>
      <c r="T9" s="85">
        <f>VLOOKUP($A9,'Last Week Data'!$E$3:$BF$17924,T$1,0)</f>
        <v>0</v>
      </c>
      <c r="U9" s="85">
        <f>VLOOKUP($A9,'Last Week Data'!$E$3:$BF$17924,U$1,0)</f>
        <v>0</v>
      </c>
      <c r="V9" s="85">
        <f>VLOOKUP($A9,'Last Week Data'!$E$3:$BF$17924,V$1,0)</f>
        <v>0</v>
      </c>
      <c r="W9" s="85">
        <f>VLOOKUP($A9,'Last Week Data'!$E$3:$BF$17924,W$1,0)</f>
        <v>0</v>
      </c>
      <c r="X9" s="85">
        <f>VLOOKUP($A9,'Last Week Data'!$E$3:$BF$17924,X$1,0)</f>
        <v>0</v>
      </c>
      <c r="Y9" s="85">
        <f>VLOOKUP($A9,'Last Week Data'!$E$3:$BF$17924,Y$1,0)</f>
        <v>0</v>
      </c>
      <c r="Z9" s="85">
        <f>VLOOKUP($A9,'Last Week Data'!$E$3:$BF$17924,Z$1,0)</f>
        <v>0</v>
      </c>
      <c r="AA9" s="85">
        <f>VLOOKUP($A9,'Last Week Data'!$E$3:$BF$17924,AA$1,0)</f>
        <v>0</v>
      </c>
      <c r="AB9" s="85">
        <f>VLOOKUP($A9,'Last Week Data'!$E$3:$BF$17924,AB$1,0)</f>
        <v>0</v>
      </c>
      <c r="AC9" s="85">
        <f>VLOOKUP($A9,'Last Week Data'!$E$3:$BF$17924,AC$1,0)</f>
        <v>0</v>
      </c>
      <c r="AD9" s="85">
        <f>VLOOKUP($A9,'Last Week Data'!$E$3:$BF$17924,AD$1,0)</f>
        <v>0</v>
      </c>
      <c r="AE9" s="85">
        <f>VLOOKUP($A9,'Last Week Data'!$E$3:$BF$17924,AE$1,0)</f>
        <v>0</v>
      </c>
      <c r="AF9" s="85">
        <f>VLOOKUP($A9,'Last Week Data'!$E$3:$BF$17924,AF$1,0)</f>
        <v>0</v>
      </c>
      <c r="AG9" s="85">
        <f>VLOOKUP($A9,'Last Week Data'!$E$3:$BF$17924,AG$1,0)</f>
        <v>0</v>
      </c>
      <c r="AH9" s="85">
        <f>VLOOKUP($A9,'Last Week Data'!$E$3:$BF$17924,AH$1,0)</f>
        <v>0</v>
      </c>
      <c r="AI9" s="85">
        <f>VLOOKUP($A9,'Last Week Data'!$E$3:$BF$17924,AI$1,0)</f>
        <v>0</v>
      </c>
      <c r="AJ9" s="85">
        <f>VLOOKUP($A9,'Last Week Data'!$E$3:$BF$17924,AJ$1,0)</f>
        <v>0</v>
      </c>
      <c r="AK9" s="85">
        <f>VLOOKUP($A9,'Last Week Data'!$E$3:$BF$17924,AK$1,0)</f>
        <v>0</v>
      </c>
      <c r="AL9" s="85">
        <f>VLOOKUP($A9,'Last Week Data'!$E$3:$BF$17924,AL$1,0)</f>
        <v>0</v>
      </c>
      <c r="AM9" s="85">
        <f>VLOOKUP($A9,'Last Week Data'!$E$3:$BF$17924,AM$1,0)</f>
        <v>0</v>
      </c>
      <c r="AN9" s="85">
        <f>VLOOKUP($A9,'Last Week Data'!$E$3:$BF$17924,AN$1,0)</f>
        <v>0.968</v>
      </c>
      <c r="AO9" s="85">
        <f>VLOOKUP($A9,'Last Week Data'!$E$3:$BF$17924,AO$1,0)</f>
        <v>0.9749</v>
      </c>
      <c r="AP9" s="85">
        <f>VLOOKUP($A9,'Last Week Data'!$E$3:$BF$17924,AP$1,0)</f>
        <v>0.9854</v>
      </c>
      <c r="AQ9" s="85">
        <f>VLOOKUP($A9,'Last Week Data'!$E$3:$BF$17924,AQ$1,0)</f>
        <v>0.9889</v>
      </c>
      <c r="AR9" s="85">
        <f>VLOOKUP($A9,'Last Week Data'!$E$3:$BF$17924,AR$1,0)</f>
        <v>0.9748</v>
      </c>
      <c r="AS9" s="85">
        <f>VLOOKUP($A9,'Last Week Data'!$E$3:$BF$17924,AS$1,0)</f>
        <v>0.9816</v>
      </c>
      <c r="AT9" s="85">
        <f>VLOOKUP($A9,'Last Week Data'!$E$3:$BF$17924,AT$1,0)</f>
        <v>0.9871</v>
      </c>
      <c r="AU9" s="85">
        <f>VLOOKUP($A9,'Last Week Data'!$E$3:$BF$17924,AU$1,0)</f>
        <v>0.9871</v>
      </c>
      <c r="AV9" s="85" t="str">
        <f>VLOOKUP($A9,'Last Week Data'!$E$3:$BF$17924,AV$1,0)</f>
        <v/>
      </c>
      <c r="AW9" s="85" t="str">
        <f>VLOOKUP($A9,'Last Week Data'!$E$3:$BF$17924,AW$1,0)</f>
        <v/>
      </c>
      <c r="AX9" s="85" t="str">
        <f>VLOOKUP($A9,'Last Week Data'!$E$3:$BF$17924,AX$1,0)</f>
        <v/>
      </c>
      <c r="AY9" s="85" t="str">
        <f>VLOOKUP($A9,'Last Week Data'!$E$3:$BF$17924,AY$1,0)</f>
        <v/>
      </c>
      <c r="AZ9" s="85" t="str">
        <f>VLOOKUP($A9,'Last Week Data'!$E$3:$BF$17924,AZ$1,0)</f>
        <v/>
      </c>
      <c r="BA9" s="85" t="str">
        <f>VLOOKUP($A9,'Last Week Data'!$E$3:$BF$17924,BA$1,0)</f>
        <v/>
      </c>
      <c r="BB9" s="85" t="str">
        <f>VLOOKUP($A9,'Last Week Data'!$E$3:$BF$17924,BB$1,0)</f>
        <v/>
      </c>
      <c r="BC9" s="85" t="str">
        <f>VLOOKUP($A9,'Last Week Data'!$E$3:$BF$17924,BC$1,0)</f>
        <v/>
      </c>
      <c r="BD9" s="85" t="str">
        <f>VLOOKUP($A9,'Last Week Data'!$E$3:$BF$17924,BD$1,0)</f>
        <v/>
      </c>
      <c r="BE9" s="85" t="str">
        <f>VLOOKUP($A9,'Last Week Data'!$E$3:$BF$17924,BE$1,0)</f>
        <v/>
      </c>
      <c r="BF9" s="85" t="str">
        <f>VLOOKUP($A9,'Last Week Data'!$E$3:$BF$17924,BF$1,0)</f>
        <v/>
      </c>
      <c r="BG9" s="85" t="str">
        <f>VLOOKUP($A9,'Last Week Data'!$E$3:$BF$17924,BG$1,0)</f>
        <v/>
      </c>
    </row>
    <row r="10">
      <c r="A10" s="70" t="str">
        <f t="shared" si="1"/>
        <v>677410826Forecast</v>
      </c>
      <c r="B10" s="75">
        <v>2.0</v>
      </c>
      <c r="C10" s="75" t="s">
        <v>61</v>
      </c>
      <c r="D10" s="75">
        <v>6.77410826E8</v>
      </c>
      <c r="E10" s="75" t="s">
        <v>50</v>
      </c>
      <c r="F10" s="76" t="s">
        <v>76</v>
      </c>
      <c r="G10" s="86" t="s">
        <v>77</v>
      </c>
      <c r="H10" s="87" t="str">
        <f>IFNA(VLOOKUP($D10,'Luminate Forecast'!$U:$BV,'Luminate Forecast'!V$19,0),0)</f>
        <v/>
      </c>
      <c r="I10" s="87">
        <f>IFNA(VLOOKUP($D10,'Luminate Forecast'!$U:$BV,'Luminate Forecast'!W$19,0),0)</f>
        <v>1160.38</v>
      </c>
      <c r="J10" s="87">
        <f>IFNA(VLOOKUP($D10,'Luminate Forecast'!$U:$BV,'Luminate Forecast'!X$19,0),0)</f>
        <v>1331.27</v>
      </c>
      <c r="K10" s="87">
        <f>IFNA(VLOOKUP($D10,'Luminate Forecast'!$U:$BV,'Luminate Forecast'!Y$19,0),0)</f>
        <v>1603.65</v>
      </c>
      <c r="L10" s="87">
        <f>IFNA(VLOOKUP($D10,'Luminate Forecast'!$U:$BV,'Luminate Forecast'!Z$19,0),0)</f>
        <v>1828.22</v>
      </c>
      <c r="M10" s="87">
        <f>IFNA(VLOOKUP($D10,'Luminate Forecast'!$U:$BV,'Luminate Forecast'!AA$19,0),0)</f>
        <v>1830.35</v>
      </c>
      <c r="N10" s="87">
        <f>IFNA(VLOOKUP($D10,'Luminate Forecast'!$U:$BV,'Luminate Forecast'!AB$19,0),0)</f>
        <v>1625.91</v>
      </c>
      <c r="O10" s="87">
        <f>IFNA(VLOOKUP($D10,'Luminate Forecast'!$U:$BV,'Luminate Forecast'!AC$19,0),0)</f>
        <v>1605.65</v>
      </c>
      <c r="P10" s="87">
        <f>IFNA(VLOOKUP($D10,'Luminate Forecast'!$U:$BV,'Luminate Forecast'!AD$19,0),0)</f>
        <v>1579.09</v>
      </c>
      <c r="Q10" s="87">
        <f>IFNA(VLOOKUP($D10,'Luminate Forecast'!$U:$BV,'Luminate Forecast'!AE$19,0),0)</f>
        <v>1562.92</v>
      </c>
      <c r="R10" s="87">
        <f>IFNA(VLOOKUP($D10,'Luminate Forecast'!$U:$BV,'Luminate Forecast'!AF$19,0),0)</f>
        <v>1492.85</v>
      </c>
      <c r="S10" s="87">
        <f>IFNA(VLOOKUP($D10,'Luminate Forecast'!$U:$BV,'Luminate Forecast'!AG$19,0),0)</f>
        <v>1460.18</v>
      </c>
      <c r="T10" s="87">
        <f>IFNA(VLOOKUP($D10,'Luminate Forecast'!$U:$BV,'Luminate Forecast'!AH$19,0),0)</f>
        <v>1371.42</v>
      </c>
      <c r="U10" s="87">
        <f>IFNA(VLOOKUP($D10,'Luminate Forecast'!$U:$BV,'Luminate Forecast'!AI$19,0),0)</f>
        <v>1411.15</v>
      </c>
      <c r="V10" s="87">
        <f>IFNA(VLOOKUP($D10,'Luminate Forecast'!$U:$BV,'Luminate Forecast'!AJ$19,0),0)</f>
        <v>1314.38</v>
      </c>
      <c r="W10" s="87">
        <f>IFNA(VLOOKUP($D10,'Luminate Forecast'!$U:$BV,'Luminate Forecast'!AK$19,0),0)</f>
        <v>1286.22</v>
      </c>
      <c r="X10" s="87">
        <f>IFNA(VLOOKUP($D10,'Luminate Forecast'!$U:$BV,'Luminate Forecast'!AL$19,0),0)</f>
        <v>1277.65</v>
      </c>
      <c r="Y10" s="87">
        <f>IFNA(VLOOKUP($D10,'Luminate Forecast'!$U:$BV,'Luminate Forecast'!AM$19,0),0)</f>
        <v>1240.12</v>
      </c>
      <c r="Z10" s="87">
        <f>IFNA(VLOOKUP($D10,'Luminate Forecast'!$U:$BV,'Luminate Forecast'!AN$19,0),0)</f>
        <v>1338.88</v>
      </c>
      <c r="AA10" s="87">
        <f>IFNA(VLOOKUP($D10,'Luminate Forecast'!$U:$BV,'Luminate Forecast'!AO$19,0),0)</f>
        <v>1306.26</v>
      </c>
      <c r="AB10" s="87">
        <f>IFNA(VLOOKUP($D10,'Luminate Forecast'!$U:$BV,'Luminate Forecast'!AP$19,0),0)</f>
        <v>1358.61</v>
      </c>
      <c r="AC10" s="87">
        <f>IFNA(VLOOKUP($D10,'Luminate Forecast'!$U:$BV,'Luminate Forecast'!AQ$19,0),0)</f>
        <v>1358.61</v>
      </c>
      <c r="AD10" s="87">
        <f>IFNA(VLOOKUP($D10,'Luminate Forecast'!$U:$BV,'Luminate Forecast'!AR$19,0),0)</f>
        <v>1304.1</v>
      </c>
      <c r="AE10" s="87">
        <f>IFNA(VLOOKUP($D10,'Luminate Forecast'!$U:$BV,'Luminate Forecast'!AS$19,0),0)</f>
        <v>1299.89</v>
      </c>
      <c r="AF10" s="87">
        <f>IFNA(VLOOKUP($D10,'Luminate Forecast'!$U:$BV,'Luminate Forecast'!AT$19,0),0)</f>
        <v>1300.62</v>
      </c>
      <c r="AG10" s="87">
        <f>IFNA(VLOOKUP($D10,'Luminate Forecast'!$U:$BV,'Luminate Forecast'!AU$19,0),0)</f>
        <v>1296.68</v>
      </c>
      <c r="AH10" s="87">
        <f>IFNA(VLOOKUP($D10,'Luminate Forecast'!$U:$BV,'Luminate Forecast'!AV$19,0),0)</f>
        <v>1337.52</v>
      </c>
      <c r="AI10" s="87">
        <f>IFNA(VLOOKUP($D10,'Luminate Forecast'!$U:$BV,'Luminate Forecast'!AW$19,0),0)</f>
        <v>1330.41</v>
      </c>
      <c r="AJ10" s="87">
        <f>IFNA(VLOOKUP($D10,'Luminate Forecast'!$U:$BV,'Luminate Forecast'!AX$19,0),0)</f>
        <v>1374.86</v>
      </c>
      <c r="AK10" s="87">
        <f>IFNA(VLOOKUP($D10,'Luminate Forecast'!$U:$BV,'Luminate Forecast'!AY$19,0),0)</f>
        <v>1356.84</v>
      </c>
      <c r="AL10" s="87">
        <f>IFNA(VLOOKUP($D10,'Luminate Forecast'!$U:$BV,'Luminate Forecast'!AZ$19,0),0)</f>
        <v>1319.98</v>
      </c>
      <c r="AM10" s="87">
        <f>IFNA(VLOOKUP($D10,'Luminate Forecast'!$U:$BV,'Luminate Forecast'!BA$19,0),0)</f>
        <v>1245.11</v>
      </c>
      <c r="AN10" s="87">
        <f>IFNA(VLOOKUP($D10,'Luminate Forecast'!$U:$BV,'Luminate Forecast'!BB$19,0),0)</f>
        <v>1348.54</v>
      </c>
      <c r="AO10" s="87">
        <f>IFNA(VLOOKUP($D10,'Luminate Forecast'!$U:$BV,'Luminate Forecast'!BC$19,0),0)</f>
        <v>1472.72</v>
      </c>
      <c r="AP10" s="87">
        <f>IFNA(VLOOKUP($D10,'Luminate Forecast'!$U:$BV,'Luminate Forecast'!BD$19,0),0)</f>
        <v>1395.82</v>
      </c>
      <c r="AQ10" s="87">
        <f>IFNA(VLOOKUP($D10,'Luminate Forecast'!$U:$BV,'Luminate Forecast'!BE$19,0),0)</f>
        <v>1533.55</v>
      </c>
      <c r="AR10" s="87">
        <f>IFNA(VLOOKUP($D10,'Luminate Forecast'!$U:$BV,'Luminate Forecast'!BF$19,0),0)</f>
        <v>1390.35</v>
      </c>
      <c r="AS10" s="87">
        <f>IFNA(VLOOKUP($D10,'Luminate Forecast'!$U:$BV,'Luminate Forecast'!BG$19,0),0)</f>
        <v>1423.78</v>
      </c>
      <c r="AT10" s="87">
        <f>IFNA(VLOOKUP($D10,'Luminate Forecast'!$U:$BV,'Luminate Forecast'!BH$19,0),0)</f>
        <v>1433.92</v>
      </c>
      <c r="AU10" s="87">
        <f>IFNA(VLOOKUP($D10,'Luminate Forecast'!$U:$BV,'Luminate Forecast'!BI$19,0),0)</f>
        <v>1473.25</v>
      </c>
      <c r="AV10" s="87">
        <f>IFNA(VLOOKUP($D10,'Luminate Forecast'!$U:$BV,'Luminate Forecast'!BJ$19,0),0)</f>
        <v>1498.24</v>
      </c>
      <c r="AW10" s="87">
        <f>IFNA(VLOOKUP($D10,'Luminate Forecast'!$U:$BV,'Luminate Forecast'!BK$19,0),0)</f>
        <v>1504.84</v>
      </c>
      <c r="AX10" s="87">
        <f>IFNA(VLOOKUP($D10,'Luminate Forecast'!$U:$BV,'Luminate Forecast'!BL$19,0),0)</f>
        <v>1408.22</v>
      </c>
      <c r="AY10" s="87">
        <f>IFNA(VLOOKUP($D10,'Luminate Forecast'!$U:$BV,'Luminate Forecast'!BM$19,0),0)</f>
        <v>1243.53</v>
      </c>
      <c r="AZ10" s="87">
        <f>IFNA(VLOOKUP($D10,'Luminate Forecast'!$U:$BV,'Luminate Forecast'!BN$19,0),0)</f>
        <v>1543.86</v>
      </c>
      <c r="BA10" s="87">
        <f>IFNA(VLOOKUP($D10,'Luminate Forecast'!$U:$BV,'Luminate Forecast'!BO$19,0),0)</f>
        <v>1700.14</v>
      </c>
      <c r="BB10" s="87">
        <f>IFNA(VLOOKUP($D10,'Luminate Forecast'!$U:$BV,'Luminate Forecast'!BP$19,0),0)</f>
        <v>2214.56</v>
      </c>
      <c r="BC10" s="87">
        <f>IFNA(VLOOKUP($D10,'Luminate Forecast'!$U:$BV,'Luminate Forecast'!BQ$19,0),0)</f>
        <v>2203.16</v>
      </c>
      <c r="BD10" s="87">
        <f>IFNA(VLOOKUP($D10,'Luminate Forecast'!$U:$BV,'Luminate Forecast'!BR$19,0),0)</f>
        <v>1531.53</v>
      </c>
      <c r="BE10" s="87">
        <f>IFNA(VLOOKUP($D10,'Luminate Forecast'!$U:$BV,'Luminate Forecast'!BS$19,0),0)</f>
        <v>1450.65</v>
      </c>
      <c r="BF10" s="87">
        <f>IFNA(VLOOKUP($D10,'Luminate Forecast'!$U:$BV,'Luminate Forecast'!BT$19,0),0)</f>
        <v>1287.48</v>
      </c>
      <c r="BG10" s="87">
        <f>IFNA(VLOOKUP($D10,'Luminate Forecast'!$U:$BV,'Luminate Forecast'!BU$19,0),0)</f>
        <v>1043.52</v>
      </c>
    </row>
    <row r="11">
      <c r="A11" s="70" t="str">
        <f t="shared" si="1"/>
        <v>677410826Variance</v>
      </c>
      <c r="B11" s="88">
        <v>2.0</v>
      </c>
      <c r="C11" s="88" t="s">
        <v>61</v>
      </c>
      <c r="D11" s="88">
        <v>6.77410826E8</v>
      </c>
      <c r="E11" s="88" t="s">
        <v>50</v>
      </c>
      <c r="F11" s="89" t="s">
        <v>78</v>
      </c>
      <c r="G11" s="90" t="s">
        <v>79</v>
      </c>
      <c r="H11" s="91">
        <f t="shared" ref="H11:BG11" si="5">IF(H10&gt;0,H4/H10,0)</f>
        <v>0</v>
      </c>
      <c r="I11" s="91">
        <f t="shared" si="5"/>
        <v>0</v>
      </c>
      <c r="J11" s="91">
        <f t="shared" si="5"/>
        <v>0</v>
      </c>
      <c r="K11" s="91">
        <f t="shared" si="5"/>
        <v>0</v>
      </c>
      <c r="L11" s="91">
        <f t="shared" si="5"/>
        <v>0</v>
      </c>
      <c r="M11" s="91">
        <f t="shared" si="5"/>
        <v>0</v>
      </c>
      <c r="N11" s="91">
        <f t="shared" si="5"/>
        <v>0</v>
      </c>
      <c r="O11" s="91">
        <f t="shared" si="5"/>
        <v>0</v>
      </c>
      <c r="P11" s="91">
        <f t="shared" si="5"/>
        <v>0</v>
      </c>
      <c r="Q11" s="91">
        <f t="shared" si="5"/>
        <v>0</v>
      </c>
      <c r="R11" s="91">
        <f t="shared" si="5"/>
        <v>0</v>
      </c>
      <c r="S11" s="91">
        <f t="shared" si="5"/>
        <v>0</v>
      </c>
      <c r="T11" s="91">
        <f t="shared" si="5"/>
        <v>0</v>
      </c>
      <c r="U11" s="91">
        <f t="shared" si="5"/>
        <v>0</v>
      </c>
      <c r="V11" s="91">
        <f t="shared" si="5"/>
        <v>0</v>
      </c>
      <c r="W11" s="91">
        <f t="shared" si="5"/>
        <v>0</v>
      </c>
      <c r="X11" s="91">
        <f t="shared" si="5"/>
        <v>0</v>
      </c>
      <c r="Y11" s="91">
        <f t="shared" si="5"/>
        <v>0</v>
      </c>
      <c r="Z11" s="91">
        <f t="shared" si="5"/>
        <v>0</v>
      </c>
      <c r="AA11" s="91">
        <f t="shared" si="5"/>
        <v>0</v>
      </c>
      <c r="AB11" s="91">
        <f t="shared" si="5"/>
        <v>0</v>
      </c>
      <c r="AC11" s="91">
        <f t="shared" si="5"/>
        <v>0</v>
      </c>
      <c r="AD11" s="91">
        <f t="shared" si="5"/>
        <v>0</v>
      </c>
      <c r="AE11" s="91">
        <f t="shared" si="5"/>
        <v>0</v>
      </c>
      <c r="AF11" s="91">
        <f t="shared" si="5"/>
        <v>0</v>
      </c>
      <c r="AG11" s="91">
        <f t="shared" si="5"/>
        <v>0</v>
      </c>
      <c r="AH11" s="91">
        <f t="shared" si="5"/>
        <v>0</v>
      </c>
      <c r="AI11" s="91">
        <f t="shared" si="5"/>
        <v>0</v>
      </c>
      <c r="AJ11" s="91">
        <f t="shared" si="5"/>
        <v>0</v>
      </c>
      <c r="AK11" s="91">
        <f t="shared" si="5"/>
        <v>0</v>
      </c>
      <c r="AL11" s="91">
        <f t="shared" si="5"/>
        <v>0.02575796603</v>
      </c>
      <c r="AM11" s="91">
        <f t="shared" si="5"/>
        <v>0.09477074315</v>
      </c>
      <c r="AN11" s="91">
        <f t="shared" si="5"/>
        <v>0.2528660626</v>
      </c>
      <c r="AO11" s="91">
        <f t="shared" si="5"/>
        <v>0.2845075778</v>
      </c>
      <c r="AP11" s="91">
        <f t="shared" si="5"/>
        <v>0.3890186414</v>
      </c>
      <c r="AQ11" s="91">
        <f t="shared" si="5"/>
        <v>0.3253888038</v>
      </c>
      <c r="AR11" s="91">
        <f t="shared" si="5"/>
        <v>0.4006185493</v>
      </c>
      <c r="AS11" s="91">
        <f t="shared" si="5"/>
        <v>0.3624155417</v>
      </c>
      <c r="AT11" s="91">
        <f t="shared" si="5"/>
        <v>0.3424179871</v>
      </c>
      <c r="AU11" s="91">
        <f t="shared" si="5"/>
        <v>0.3210588834</v>
      </c>
      <c r="AV11" s="91">
        <f t="shared" si="5"/>
        <v>0</v>
      </c>
      <c r="AW11" s="91">
        <f t="shared" si="5"/>
        <v>0</v>
      </c>
      <c r="AX11" s="91">
        <f t="shared" si="5"/>
        <v>0</v>
      </c>
      <c r="AY11" s="91">
        <f t="shared" si="5"/>
        <v>0</v>
      </c>
      <c r="AZ11" s="91">
        <f t="shared" si="5"/>
        <v>0</v>
      </c>
      <c r="BA11" s="91">
        <f t="shared" si="5"/>
        <v>0</v>
      </c>
      <c r="BB11" s="91">
        <f t="shared" si="5"/>
        <v>0</v>
      </c>
      <c r="BC11" s="91">
        <f t="shared" si="5"/>
        <v>0</v>
      </c>
      <c r="BD11" s="91">
        <f t="shared" si="5"/>
        <v>0</v>
      </c>
      <c r="BE11" s="91">
        <f t="shared" si="5"/>
        <v>0</v>
      </c>
      <c r="BF11" s="91">
        <f t="shared" si="5"/>
        <v>0</v>
      </c>
      <c r="BG11" s="91">
        <f t="shared" si="5"/>
        <v>0</v>
      </c>
    </row>
    <row r="12">
      <c r="A12" s="70" t="str">
        <f t="shared" si="1"/>
        <v>677536463pos_sales_this_year</v>
      </c>
      <c r="B12" s="71">
        <v>2.0</v>
      </c>
      <c r="C12" s="71" t="s">
        <v>80</v>
      </c>
      <c r="D12" s="71">
        <v>6.77536463E8</v>
      </c>
      <c r="E12" s="71" t="s">
        <v>51</v>
      </c>
      <c r="F12" s="72" t="s">
        <v>62</v>
      </c>
      <c r="G12" s="73" t="s">
        <v>132</v>
      </c>
      <c r="H12" s="74">
        <f>VLOOKUP($A12,'Last Week Data'!$E:$BF,H$1,0)</f>
        <v>0</v>
      </c>
      <c r="I12" s="74">
        <f>VLOOKUP($A12,'Last Week Data'!$E:$BF,I$1,0)</f>
        <v>0</v>
      </c>
      <c r="J12" s="74">
        <f>VLOOKUP($A12,'Last Week Data'!$E:$BF,J$1,0)</f>
        <v>0</v>
      </c>
      <c r="K12" s="74">
        <f>VLOOKUP($A12,'Last Week Data'!$E:$BF,K$1,0)</f>
        <v>0</v>
      </c>
      <c r="L12" s="74">
        <f>VLOOKUP($A12,'Last Week Data'!$E:$BF,L$1,0)</f>
        <v>0</v>
      </c>
      <c r="M12" s="74">
        <f>VLOOKUP($A12,'Last Week Data'!$E:$BF,M$1,0)</f>
        <v>0</v>
      </c>
      <c r="N12" s="74">
        <f>VLOOKUP($A12,'Last Week Data'!$E:$BF,N$1,0)</f>
        <v>0</v>
      </c>
      <c r="O12" s="74">
        <f>VLOOKUP($A12,'Last Week Data'!$E:$BF,O$1,0)</f>
        <v>0</v>
      </c>
      <c r="P12" s="74">
        <f>VLOOKUP($A12,'Last Week Data'!$E:$BF,P$1,0)</f>
        <v>0</v>
      </c>
      <c r="Q12" s="74">
        <f>VLOOKUP($A12,'Last Week Data'!$E:$BF,Q$1,0)</f>
        <v>0</v>
      </c>
      <c r="R12" s="74">
        <f>VLOOKUP($A12,'Last Week Data'!$E:$BF,R$1,0)</f>
        <v>0</v>
      </c>
      <c r="S12" s="74">
        <f>VLOOKUP($A12,'Last Week Data'!$E:$BF,S$1,0)</f>
        <v>0</v>
      </c>
      <c r="T12" s="74">
        <f>VLOOKUP($A12,'Last Week Data'!$E:$BF,T$1,0)</f>
        <v>0</v>
      </c>
      <c r="U12" s="74">
        <f>VLOOKUP($A12,'Last Week Data'!$E:$BF,U$1,0)</f>
        <v>0</v>
      </c>
      <c r="V12" s="74">
        <f>VLOOKUP($A12,'Last Week Data'!$E:$BF,V$1,0)</f>
        <v>0</v>
      </c>
      <c r="W12" s="74">
        <f>VLOOKUP($A12,'Last Week Data'!$E:$BF,W$1,0)</f>
        <v>0</v>
      </c>
      <c r="X12" s="74">
        <f>VLOOKUP($A12,'Last Week Data'!$E:$BF,X$1,0)</f>
        <v>0</v>
      </c>
      <c r="Y12" s="74">
        <f>VLOOKUP($A12,'Last Week Data'!$E:$BF,Y$1,0)</f>
        <v>0</v>
      </c>
      <c r="Z12" s="74">
        <f>VLOOKUP($A12,'Last Week Data'!$E:$BF,Z$1,0)</f>
        <v>0</v>
      </c>
      <c r="AA12" s="74">
        <f>VLOOKUP($A12,'Last Week Data'!$E:$BF,AA$1,0)</f>
        <v>0</v>
      </c>
      <c r="AB12" s="74">
        <f>VLOOKUP($A12,'Last Week Data'!$E:$BF,AB$1,0)</f>
        <v>0</v>
      </c>
      <c r="AC12" s="74">
        <f>VLOOKUP($A12,'Last Week Data'!$E:$BF,AC$1,0)</f>
        <v>0</v>
      </c>
      <c r="AD12" s="74">
        <f>VLOOKUP($A12,'Last Week Data'!$E:$BF,AD$1,0)</f>
        <v>0</v>
      </c>
      <c r="AE12" s="74">
        <f>VLOOKUP($A12,'Last Week Data'!$E:$BF,AE$1,0)</f>
        <v>0</v>
      </c>
      <c r="AF12" s="74">
        <f>VLOOKUP($A12,'Last Week Data'!$E:$BF,AF$1,0)</f>
        <v>0</v>
      </c>
      <c r="AG12" s="74">
        <f>VLOOKUP($A12,'Last Week Data'!$E:$BF,AG$1,0)</f>
        <v>0</v>
      </c>
      <c r="AH12" s="74">
        <f>VLOOKUP($A12,'Last Week Data'!$E:$BF,AH$1,0)</f>
        <v>0</v>
      </c>
      <c r="AI12" s="74">
        <f>VLOOKUP($A12,'Last Week Data'!$E:$BF,AI$1,0)</f>
        <v>0</v>
      </c>
      <c r="AJ12" s="74">
        <f>VLOOKUP($A12,'Last Week Data'!$E:$BF,AJ$1,0)</f>
        <v>0</v>
      </c>
      <c r="AK12" s="74">
        <f>VLOOKUP($A12,'Last Week Data'!$E:$BF,AK$1,0)</f>
        <v>38.96</v>
      </c>
      <c r="AL12" s="74">
        <f>VLOOKUP($A12,'Last Week Data'!$E:$BF,AL$1,0)</f>
        <v>515.52</v>
      </c>
      <c r="AM12" s="74">
        <f>VLOOKUP($A12,'Last Week Data'!$E:$BF,AM$1,0)</f>
        <v>4181.8</v>
      </c>
      <c r="AN12" s="74">
        <f>VLOOKUP($A12,'Last Week Data'!$E:$BF,AN$1,0)</f>
        <v>8581.23</v>
      </c>
      <c r="AO12" s="74">
        <f>VLOOKUP($A12,'Last Week Data'!$E:$BF,AO$1,0)</f>
        <v>9183.64</v>
      </c>
      <c r="AP12" s="74">
        <f>VLOOKUP($A12,'Last Week Data'!$E:$BF,AP$1,0)</f>
        <v>10902.46</v>
      </c>
      <c r="AQ12" s="74">
        <f>VLOOKUP($A12,'Last Week Data'!$E:$BF,AQ$1,0)</f>
        <v>10968.39</v>
      </c>
      <c r="AR12" s="74">
        <f>VLOOKUP($A12,'Last Week Data'!$E:$BF,AR$1,0)</f>
        <v>10175.64</v>
      </c>
      <c r="AS12" s="74">
        <f>VLOOKUP($A12,'Last Week Data'!$E:$BF,AS$1,0)</f>
        <v>10822.96</v>
      </c>
      <c r="AT12" s="74">
        <f>VLOOKUP($A12,'Last Week Data'!$E:$BF,AT$1,0)</f>
        <v>9362.26</v>
      </c>
      <c r="AU12" s="74">
        <f>VLOOKUP($A12,'Last Week Data'!$E:$BF,AU$1,0)</f>
        <v>10406.82</v>
      </c>
      <c r="AV12" s="74" t="str">
        <f>VLOOKUP($A12,'Last Week Data'!$E:$BF,AV$1,0)</f>
        <v/>
      </c>
      <c r="AW12" s="74" t="str">
        <f>VLOOKUP($A12,'Last Week Data'!$E:$BF,AW$1,0)</f>
        <v/>
      </c>
      <c r="AX12" s="74" t="str">
        <f>VLOOKUP($A12,'Last Week Data'!$E:$BF,AX$1,0)</f>
        <v/>
      </c>
      <c r="AY12" s="74" t="str">
        <f>VLOOKUP($A12,'Last Week Data'!$E:$BF,AY$1,0)</f>
        <v/>
      </c>
      <c r="AZ12" s="74" t="str">
        <f>VLOOKUP($A12,'Last Week Data'!$E:$BF,AZ$1,0)</f>
        <v/>
      </c>
      <c r="BA12" s="74" t="str">
        <f>VLOOKUP($A12,'Last Week Data'!$E:$BF,BA$1,0)</f>
        <v/>
      </c>
      <c r="BB12" s="74" t="str">
        <f>VLOOKUP($A12,'Last Week Data'!$E:$BF,BB$1,0)</f>
        <v/>
      </c>
      <c r="BC12" s="74" t="str">
        <f>VLOOKUP($A12,'Last Week Data'!$E:$BF,BC$1,0)</f>
        <v/>
      </c>
      <c r="BD12" s="74" t="str">
        <f>VLOOKUP($A12,'Last Week Data'!$E:$BF,BD$1,0)</f>
        <v/>
      </c>
      <c r="BE12" s="74" t="str">
        <f>VLOOKUP($A12,'Last Week Data'!$E:$BF,BE$1,0)</f>
        <v/>
      </c>
      <c r="BF12" s="74" t="str">
        <f>VLOOKUP($A12,'Last Week Data'!$E:$BF,BF$1,0)</f>
        <v/>
      </c>
      <c r="BG12" s="74" t="str">
        <f>VLOOKUP($A12,'Last Week Data'!$E:$BF,BG$1,0)</f>
        <v/>
      </c>
    </row>
    <row r="13">
      <c r="A13" s="70" t="str">
        <f t="shared" si="1"/>
        <v>677536463pos_quantity_this_year</v>
      </c>
      <c r="B13" s="75">
        <v>2.0</v>
      </c>
      <c r="C13" s="75" t="s">
        <v>80</v>
      </c>
      <c r="D13" s="75">
        <v>6.77536463E8</v>
      </c>
      <c r="E13" s="75" t="s">
        <v>51</v>
      </c>
      <c r="F13" s="76" t="s">
        <v>64</v>
      </c>
      <c r="G13" s="77" t="s">
        <v>133</v>
      </c>
      <c r="H13" s="78">
        <f>VLOOKUP($A13,'Last Week Data'!$E$3:$BF$17924,H$1,0)</f>
        <v>0</v>
      </c>
      <c r="I13" s="78">
        <f>VLOOKUP($A13,'Last Week Data'!$E$3:$BF$17924,I$1,0)</f>
        <v>0</v>
      </c>
      <c r="J13" s="78">
        <f>VLOOKUP($A13,'Last Week Data'!$E$3:$BF$17924,J$1,0)</f>
        <v>0</v>
      </c>
      <c r="K13" s="78">
        <f>VLOOKUP($A13,'Last Week Data'!$E$3:$BF$17924,K$1,0)</f>
        <v>0</v>
      </c>
      <c r="L13" s="78">
        <f>VLOOKUP($A13,'Last Week Data'!$E$3:$BF$17924,L$1,0)</f>
        <v>0</v>
      </c>
      <c r="M13" s="78">
        <f>VLOOKUP($A13,'Last Week Data'!$E$3:$BF$17924,M$1,0)</f>
        <v>0</v>
      </c>
      <c r="N13" s="78">
        <f>VLOOKUP($A13,'Last Week Data'!$E$3:$BF$17924,N$1,0)</f>
        <v>0</v>
      </c>
      <c r="O13" s="78">
        <f>VLOOKUP($A13,'Last Week Data'!$E$3:$BF$17924,O$1,0)</f>
        <v>0</v>
      </c>
      <c r="P13" s="78">
        <f>VLOOKUP($A13,'Last Week Data'!$E$3:$BF$17924,P$1,0)</f>
        <v>0</v>
      </c>
      <c r="Q13" s="78">
        <f>VLOOKUP($A13,'Last Week Data'!$E$3:$BF$17924,Q$1,0)</f>
        <v>0</v>
      </c>
      <c r="R13" s="78">
        <f>VLOOKUP($A13,'Last Week Data'!$E$3:$BF$17924,R$1,0)</f>
        <v>0</v>
      </c>
      <c r="S13" s="78">
        <f>VLOOKUP($A13,'Last Week Data'!$E$3:$BF$17924,S$1,0)</f>
        <v>0</v>
      </c>
      <c r="T13" s="78">
        <f>VLOOKUP($A13,'Last Week Data'!$E$3:$BF$17924,T$1,0)</f>
        <v>0</v>
      </c>
      <c r="U13" s="78">
        <f>VLOOKUP($A13,'Last Week Data'!$E$3:$BF$17924,U$1,0)</f>
        <v>0</v>
      </c>
      <c r="V13" s="78">
        <f>VLOOKUP($A13,'Last Week Data'!$E$3:$BF$17924,V$1,0)</f>
        <v>0</v>
      </c>
      <c r="W13" s="78">
        <f>VLOOKUP($A13,'Last Week Data'!$E$3:$BF$17924,W$1,0)</f>
        <v>0</v>
      </c>
      <c r="X13" s="78">
        <f>VLOOKUP($A13,'Last Week Data'!$E$3:$BF$17924,X$1,0)</f>
        <v>0</v>
      </c>
      <c r="Y13" s="78">
        <f>VLOOKUP($A13,'Last Week Data'!$E$3:$BF$17924,Y$1,0)</f>
        <v>0</v>
      </c>
      <c r="Z13" s="78">
        <f>VLOOKUP($A13,'Last Week Data'!$E$3:$BF$17924,Z$1,0)</f>
        <v>0</v>
      </c>
      <c r="AA13" s="78">
        <f>VLOOKUP($A13,'Last Week Data'!$E$3:$BF$17924,AA$1,0)</f>
        <v>0</v>
      </c>
      <c r="AB13" s="78">
        <f>VLOOKUP($A13,'Last Week Data'!$E$3:$BF$17924,AB$1,0)</f>
        <v>0</v>
      </c>
      <c r="AC13" s="78">
        <f>VLOOKUP($A13,'Last Week Data'!$E$3:$BF$17924,AC$1,0)</f>
        <v>0</v>
      </c>
      <c r="AD13" s="78">
        <f>VLOOKUP($A13,'Last Week Data'!$E$3:$BF$17924,AD$1,0)</f>
        <v>0</v>
      </c>
      <c r="AE13" s="78">
        <f>VLOOKUP($A13,'Last Week Data'!$E$3:$BF$17924,AE$1,0)</f>
        <v>0</v>
      </c>
      <c r="AF13" s="78">
        <f>VLOOKUP($A13,'Last Week Data'!$E$3:$BF$17924,AF$1,0)</f>
        <v>0</v>
      </c>
      <c r="AG13" s="78">
        <f>VLOOKUP($A13,'Last Week Data'!$E$3:$BF$17924,AG$1,0)</f>
        <v>0</v>
      </c>
      <c r="AH13" s="78">
        <f>VLOOKUP($A13,'Last Week Data'!$E$3:$BF$17924,AH$1,0)</f>
        <v>0</v>
      </c>
      <c r="AI13" s="78">
        <f>VLOOKUP($A13,'Last Week Data'!$E$3:$BF$17924,AI$1,0)</f>
        <v>0</v>
      </c>
      <c r="AJ13" s="78">
        <f>VLOOKUP($A13,'Last Week Data'!$E$3:$BF$17924,AJ$1,0)</f>
        <v>0</v>
      </c>
      <c r="AK13" s="78">
        <f>VLOOKUP($A13,'Last Week Data'!$E$3:$BF$17924,AK$1,0)</f>
        <v>1</v>
      </c>
      <c r="AL13" s="78">
        <f>VLOOKUP($A13,'Last Week Data'!$E$3:$BF$17924,AL$1,0)</f>
        <v>14</v>
      </c>
      <c r="AM13" s="78">
        <f>VLOOKUP($A13,'Last Week Data'!$E$3:$BF$17924,AM$1,0)</f>
        <v>108</v>
      </c>
      <c r="AN13" s="78">
        <f>VLOOKUP($A13,'Last Week Data'!$E$3:$BF$17924,AN$1,0)</f>
        <v>223</v>
      </c>
      <c r="AO13" s="78">
        <f>VLOOKUP($A13,'Last Week Data'!$E$3:$BF$17924,AO$1,0)</f>
        <v>236</v>
      </c>
      <c r="AP13" s="78">
        <f>VLOOKUP($A13,'Last Week Data'!$E$3:$BF$17924,AP$1,0)</f>
        <v>281</v>
      </c>
      <c r="AQ13" s="78">
        <f>VLOOKUP($A13,'Last Week Data'!$E$3:$BF$17924,AQ$1,0)</f>
        <v>283</v>
      </c>
      <c r="AR13" s="78">
        <f>VLOOKUP($A13,'Last Week Data'!$E$3:$BF$17924,AR$1,0)</f>
        <v>263</v>
      </c>
      <c r="AS13" s="78">
        <f>VLOOKUP($A13,'Last Week Data'!$E$3:$BF$17924,AS$1,0)</f>
        <v>281</v>
      </c>
      <c r="AT13" s="78">
        <f>VLOOKUP($A13,'Last Week Data'!$E$3:$BF$17924,AT$1,0)</f>
        <v>242</v>
      </c>
      <c r="AU13" s="78">
        <f>VLOOKUP($A13,'Last Week Data'!$E$3:$BF$17924,AU$1,0)</f>
        <v>268</v>
      </c>
      <c r="AV13" s="78" t="str">
        <f>VLOOKUP($A13,'Last Week Data'!$E$3:$BF$17924,AV$1,0)</f>
        <v/>
      </c>
      <c r="AW13" s="78" t="str">
        <f>VLOOKUP($A13,'Last Week Data'!$E$3:$BF$17924,AW$1,0)</f>
        <v/>
      </c>
      <c r="AX13" s="78" t="str">
        <f>VLOOKUP($A13,'Last Week Data'!$E$3:$BF$17924,AX$1,0)</f>
        <v/>
      </c>
      <c r="AY13" s="78" t="str">
        <f>VLOOKUP($A13,'Last Week Data'!$E$3:$BF$17924,AY$1,0)</f>
        <v/>
      </c>
      <c r="AZ13" s="78" t="str">
        <f>VLOOKUP($A13,'Last Week Data'!$E$3:$BF$17924,AZ$1,0)</f>
        <v/>
      </c>
      <c r="BA13" s="78" t="str">
        <f>VLOOKUP($A13,'Last Week Data'!$E$3:$BF$17924,BA$1,0)</f>
        <v/>
      </c>
      <c r="BB13" s="78" t="str">
        <f>VLOOKUP($A13,'Last Week Data'!$E$3:$BF$17924,BB$1,0)</f>
        <v/>
      </c>
      <c r="BC13" s="78" t="str">
        <f>VLOOKUP($A13,'Last Week Data'!$E$3:$BF$17924,BC$1,0)</f>
        <v/>
      </c>
      <c r="BD13" s="78" t="str">
        <f>VLOOKUP($A13,'Last Week Data'!$E$3:$BF$17924,BD$1,0)</f>
        <v/>
      </c>
      <c r="BE13" s="78" t="str">
        <f>VLOOKUP($A13,'Last Week Data'!$E$3:$BF$17924,BE$1,0)</f>
        <v/>
      </c>
      <c r="BF13" s="78" t="str">
        <f>VLOOKUP($A13,'Last Week Data'!$E$3:$BF$17924,BF$1,0)</f>
        <v/>
      </c>
      <c r="BG13" s="78" t="str">
        <f>VLOOKUP($A13,'Last Week Data'!$E$3:$BF$17924,BG$1,0)</f>
        <v/>
      </c>
    </row>
    <row r="14">
      <c r="A14" s="70" t="str">
        <f t="shared" si="1"/>
        <v>677536463POS Qty if Instock</v>
      </c>
      <c r="B14" s="75">
        <v>2.0</v>
      </c>
      <c r="C14" s="75" t="s">
        <v>80</v>
      </c>
      <c r="D14" s="75">
        <v>6.77536463E8</v>
      </c>
      <c r="E14" s="75" t="s">
        <v>51</v>
      </c>
      <c r="F14" s="76" t="s">
        <v>66</v>
      </c>
      <c r="G14" s="79" t="s">
        <v>67</v>
      </c>
      <c r="H14" s="80">
        <f t="shared" ref="H14:BG14" si="6">((1-H18)*H13)+H13</f>
        <v>0</v>
      </c>
      <c r="I14" s="80">
        <f t="shared" si="6"/>
        <v>0</v>
      </c>
      <c r="J14" s="80">
        <f t="shared" si="6"/>
        <v>0</v>
      </c>
      <c r="K14" s="80">
        <f t="shared" si="6"/>
        <v>0</v>
      </c>
      <c r="L14" s="80">
        <f t="shared" si="6"/>
        <v>0</v>
      </c>
      <c r="M14" s="80">
        <f t="shared" si="6"/>
        <v>0</v>
      </c>
      <c r="N14" s="80">
        <f t="shared" si="6"/>
        <v>0</v>
      </c>
      <c r="O14" s="80">
        <f t="shared" si="6"/>
        <v>0</v>
      </c>
      <c r="P14" s="80">
        <f t="shared" si="6"/>
        <v>0</v>
      </c>
      <c r="Q14" s="80">
        <f t="shared" si="6"/>
        <v>0</v>
      </c>
      <c r="R14" s="80">
        <f t="shared" si="6"/>
        <v>0</v>
      </c>
      <c r="S14" s="80">
        <f t="shared" si="6"/>
        <v>0</v>
      </c>
      <c r="T14" s="80">
        <f t="shared" si="6"/>
        <v>0</v>
      </c>
      <c r="U14" s="80">
        <f t="shared" si="6"/>
        <v>0</v>
      </c>
      <c r="V14" s="80">
        <f t="shared" si="6"/>
        <v>0</v>
      </c>
      <c r="W14" s="80">
        <f t="shared" si="6"/>
        <v>0</v>
      </c>
      <c r="X14" s="80">
        <f t="shared" si="6"/>
        <v>0</v>
      </c>
      <c r="Y14" s="80">
        <f t="shared" si="6"/>
        <v>0</v>
      </c>
      <c r="Z14" s="80">
        <f t="shared" si="6"/>
        <v>0</v>
      </c>
      <c r="AA14" s="80">
        <f t="shared" si="6"/>
        <v>0</v>
      </c>
      <c r="AB14" s="80">
        <f t="shared" si="6"/>
        <v>0</v>
      </c>
      <c r="AC14" s="80">
        <f t="shared" si="6"/>
        <v>0</v>
      </c>
      <c r="AD14" s="80">
        <f t="shared" si="6"/>
        <v>0</v>
      </c>
      <c r="AE14" s="80">
        <f t="shared" si="6"/>
        <v>0</v>
      </c>
      <c r="AF14" s="80">
        <f t="shared" si="6"/>
        <v>0</v>
      </c>
      <c r="AG14" s="80">
        <f t="shared" si="6"/>
        <v>0</v>
      </c>
      <c r="AH14" s="80">
        <f t="shared" si="6"/>
        <v>0</v>
      </c>
      <c r="AI14" s="80">
        <f t="shared" si="6"/>
        <v>0</v>
      </c>
      <c r="AJ14" s="80">
        <f t="shared" si="6"/>
        <v>0</v>
      </c>
      <c r="AK14" s="80">
        <f t="shared" si="6"/>
        <v>2</v>
      </c>
      <c r="AL14" s="80">
        <f t="shared" si="6"/>
        <v>28</v>
      </c>
      <c r="AM14" s="80">
        <f t="shared" si="6"/>
        <v>216</v>
      </c>
      <c r="AN14" s="80">
        <f t="shared" si="6"/>
        <v>231.5186</v>
      </c>
      <c r="AO14" s="80">
        <f t="shared" si="6"/>
        <v>242.2304</v>
      </c>
      <c r="AP14" s="80">
        <f t="shared" si="6"/>
        <v>284.5125</v>
      </c>
      <c r="AQ14" s="80">
        <f t="shared" si="6"/>
        <v>285.9432</v>
      </c>
      <c r="AR14" s="80">
        <f t="shared" si="6"/>
        <v>269.6276</v>
      </c>
      <c r="AS14" s="80">
        <f t="shared" si="6"/>
        <v>285.215</v>
      </c>
      <c r="AT14" s="80">
        <f t="shared" si="6"/>
        <v>244.4684</v>
      </c>
      <c r="AU14" s="80">
        <f t="shared" si="6"/>
        <v>270.3852</v>
      </c>
      <c r="AV14" s="80">
        <f t="shared" si="6"/>
        <v>0</v>
      </c>
      <c r="AW14" s="80">
        <f t="shared" si="6"/>
        <v>0</v>
      </c>
      <c r="AX14" s="80">
        <f t="shared" si="6"/>
        <v>0</v>
      </c>
      <c r="AY14" s="80">
        <f t="shared" si="6"/>
        <v>0</v>
      </c>
      <c r="AZ14" s="80">
        <f t="shared" si="6"/>
        <v>0</v>
      </c>
      <c r="BA14" s="80">
        <f t="shared" si="6"/>
        <v>0</v>
      </c>
      <c r="BB14" s="80">
        <f t="shared" si="6"/>
        <v>0</v>
      </c>
      <c r="BC14" s="80">
        <f t="shared" si="6"/>
        <v>0</v>
      </c>
      <c r="BD14" s="80">
        <f t="shared" si="6"/>
        <v>0</v>
      </c>
      <c r="BE14" s="80">
        <f t="shared" si="6"/>
        <v>0</v>
      </c>
      <c r="BF14" s="80">
        <f t="shared" si="6"/>
        <v>0</v>
      </c>
      <c r="BG14" s="80">
        <f t="shared" si="6"/>
        <v>0</v>
      </c>
    </row>
    <row r="15">
      <c r="A15" s="70" t="str">
        <f t="shared" si="1"/>
        <v>677536463Units per Store per Week (w/zeros)</v>
      </c>
      <c r="B15" s="75">
        <v>2.0</v>
      </c>
      <c r="C15" s="75" t="s">
        <v>80</v>
      </c>
      <c r="D15" s="75">
        <v>6.77536463E8</v>
      </c>
      <c r="E15" s="75" t="s">
        <v>51</v>
      </c>
      <c r="F15" s="76" t="s">
        <v>68</v>
      </c>
      <c r="G15" s="81" t="s">
        <v>69</v>
      </c>
      <c r="H15" s="82">
        <f t="shared" ref="H15:BG15" si="7">IFERROR(H13/H17,0)</f>
        <v>0</v>
      </c>
      <c r="I15" s="82">
        <f t="shared" si="7"/>
        <v>0</v>
      </c>
      <c r="J15" s="82">
        <f t="shared" si="7"/>
        <v>0</v>
      </c>
      <c r="K15" s="82">
        <f t="shared" si="7"/>
        <v>0</v>
      </c>
      <c r="L15" s="82">
        <f t="shared" si="7"/>
        <v>0</v>
      </c>
      <c r="M15" s="82">
        <f t="shared" si="7"/>
        <v>0</v>
      </c>
      <c r="N15" s="82">
        <f t="shared" si="7"/>
        <v>0</v>
      </c>
      <c r="O15" s="82">
        <f t="shared" si="7"/>
        <v>0</v>
      </c>
      <c r="P15" s="82">
        <f t="shared" si="7"/>
        <v>0</v>
      </c>
      <c r="Q15" s="82">
        <f t="shared" si="7"/>
        <v>0</v>
      </c>
      <c r="R15" s="82">
        <f t="shared" si="7"/>
        <v>0</v>
      </c>
      <c r="S15" s="82">
        <f t="shared" si="7"/>
        <v>0</v>
      </c>
      <c r="T15" s="82">
        <f t="shared" si="7"/>
        <v>0</v>
      </c>
      <c r="U15" s="82">
        <f t="shared" si="7"/>
        <v>0</v>
      </c>
      <c r="V15" s="82">
        <f t="shared" si="7"/>
        <v>0</v>
      </c>
      <c r="W15" s="82">
        <f t="shared" si="7"/>
        <v>0</v>
      </c>
      <c r="X15" s="82">
        <f t="shared" si="7"/>
        <v>0</v>
      </c>
      <c r="Y15" s="82">
        <f t="shared" si="7"/>
        <v>0</v>
      </c>
      <c r="Z15" s="82">
        <f t="shared" si="7"/>
        <v>0</v>
      </c>
      <c r="AA15" s="82">
        <f t="shared" si="7"/>
        <v>0</v>
      </c>
      <c r="AB15" s="82">
        <f t="shared" si="7"/>
        <v>0</v>
      </c>
      <c r="AC15" s="82">
        <f t="shared" si="7"/>
        <v>0</v>
      </c>
      <c r="AD15" s="82">
        <f t="shared" si="7"/>
        <v>0</v>
      </c>
      <c r="AE15" s="82">
        <f t="shared" si="7"/>
        <v>0</v>
      </c>
      <c r="AF15" s="82">
        <f t="shared" si="7"/>
        <v>0</v>
      </c>
      <c r="AG15" s="82">
        <f t="shared" si="7"/>
        <v>0</v>
      </c>
      <c r="AH15" s="82">
        <f t="shared" si="7"/>
        <v>0</v>
      </c>
      <c r="AI15" s="82">
        <f t="shared" si="7"/>
        <v>0</v>
      </c>
      <c r="AJ15" s="82">
        <f t="shared" si="7"/>
        <v>0</v>
      </c>
      <c r="AK15" s="82">
        <f t="shared" si="7"/>
        <v>0</v>
      </c>
      <c r="AL15" s="82">
        <f t="shared" si="7"/>
        <v>0.009722222222</v>
      </c>
      <c r="AM15" s="82">
        <f t="shared" si="7"/>
        <v>0.07494795281</v>
      </c>
      <c r="AN15" s="82">
        <f t="shared" si="7"/>
        <v>0.1547536433</v>
      </c>
      <c r="AO15" s="82">
        <f t="shared" si="7"/>
        <v>0.1636615811</v>
      </c>
      <c r="AP15" s="82">
        <f t="shared" si="7"/>
        <v>0.1947331947</v>
      </c>
      <c r="AQ15" s="82">
        <f t="shared" si="7"/>
        <v>0.1919945726</v>
      </c>
      <c r="AR15" s="82">
        <f t="shared" si="7"/>
        <v>0.1783050847</v>
      </c>
      <c r="AS15" s="82">
        <f t="shared" si="7"/>
        <v>0.1905084746</v>
      </c>
      <c r="AT15" s="82">
        <f t="shared" si="7"/>
        <v>0.1641791045</v>
      </c>
      <c r="AU15" s="82">
        <f t="shared" si="7"/>
        <v>0.1819416158</v>
      </c>
      <c r="AV15" s="82">
        <f t="shared" si="7"/>
        <v>0</v>
      </c>
      <c r="AW15" s="82">
        <f t="shared" si="7"/>
        <v>0</v>
      </c>
      <c r="AX15" s="82">
        <f t="shared" si="7"/>
        <v>0</v>
      </c>
      <c r="AY15" s="82">
        <f t="shared" si="7"/>
        <v>0</v>
      </c>
      <c r="AZ15" s="82">
        <f t="shared" si="7"/>
        <v>0</v>
      </c>
      <c r="BA15" s="82">
        <f t="shared" si="7"/>
        <v>0</v>
      </c>
      <c r="BB15" s="82">
        <f t="shared" si="7"/>
        <v>0</v>
      </c>
      <c r="BC15" s="82">
        <f t="shared" si="7"/>
        <v>0</v>
      </c>
      <c r="BD15" s="82">
        <f t="shared" si="7"/>
        <v>0</v>
      </c>
      <c r="BE15" s="82">
        <f t="shared" si="7"/>
        <v>0</v>
      </c>
      <c r="BF15" s="82">
        <f t="shared" si="7"/>
        <v>0</v>
      </c>
      <c r="BG15" s="82">
        <f t="shared" si="7"/>
        <v>0</v>
      </c>
    </row>
    <row r="16">
      <c r="A16" s="70" t="str">
        <f t="shared" si="1"/>
        <v>677536463Avg Price</v>
      </c>
      <c r="B16" s="75">
        <v>2.0</v>
      </c>
      <c r="C16" s="75" t="s">
        <v>80</v>
      </c>
      <c r="D16" s="75">
        <v>6.77536463E8</v>
      </c>
      <c r="E16" s="75" t="s">
        <v>51</v>
      </c>
      <c r="F16" s="76" t="s">
        <v>70</v>
      </c>
      <c r="G16" s="81" t="s">
        <v>71</v>
      </c>
      <c r="H16" s="83">
        <f t="shared" ref="H16:BG16" si="8">IFERROR(H12/H13,0)</f>
        <v>0</v>
      </c>
      <c r="I16" s="83">
        <f t="shared" si="8"/>
        <v>0</v>
      </c>
      <c r="J16" s="83">
        <f t="shared" si="8"/>
        <v>0</v>
      </c>
      <c r="K16" s="83">
        <f t="shared" si="8"/>
        <v>0</v>
      </c>
      <c r="L16" s="83">
        <f t="shared" si="8"/>
        <v>0</v>
      </c>
      <c r="M16" s="83">
        <f t="shared" si="8"/>
        <v>0</v>
      </c>
      <c r="N16" s="83">
        <f t="shared" si="8"/>
        <v>0</v>
      </c>
      <c r="O16" s="83">
        <f t="shared" si="8"/>
        <v>0</v>
      </c>
      <c r="P16" s="83">
        <f t="shared" si="8"/>
        <v>0</v>
      </c>
      <c r="Q16" s="83">
        <f t="shared" si="8"/>
        <v>0</v>
      </c>
      <c r="R16" s="83">
        <f t="shared" si="8"/>
        <v>0</v>
      </c>
      <c r="S16" s="83">
        <f t="shared" si="8"/>
        <v>0</v>
      </c>
      <c r="T16" s="83">
        <f t="shared" si="8"/>
        <v>0</v>
      </c>
      <c r="U16" s="83">
        <f t="shared" si="8"/>
        <v>0</v>
      </c>
      <c r="V16" s="83">
        <f t="shared" si="8"/>
        <v>0</v>
      </c>
      <c r="W16" s="83">
        <f t="shared" si="8"/>
        <v>0</v>
      </c>
      <c r="X16" s="83">
        <f t="shared" si="8"/>
        <v>0</v>
      </c>
      <c r="Y16" s="83">
        <f t="shared" si="8"/>
        <v>0</v>
      </c>
      <c r="Z16" s="83">
        <f t="shared" si="8"/>
        <v>0</v>
      </c>
      <c r="AA16" s="83">
        <f t="shared" si="8"/>
        <v>0</v>
      </c>
      <c r="AB16" s="83">
        <f t="shared" si="8"/>
        <v>0</v>
      </c>
      <c r="AC16" s="83">
        <f t="shared" si="8"/>
        <v>0</v>
      </c>
      <c r="AD16" s="83">
        <f t="shared" si="8"/>
        <v>0</v>
      </c>
      <c r="AE16" s="83">
        <f t="shared" si="8"/>
        <v>0</v>
      </c>
      <c r="AF16" s="83">
        <f t="shared" si="8"/>
        <v>0</v>
      </c>
      <c r="AG16" s="83">
        <f t="shared" si="8"/>
        <v>0</v>
      </c>
      <c r="AH16" s="83">
        <f t="shared" si="8"/>
        <v>0</v>
      </c>
      <c r="AI16" s="83">
        <f t="shared" si="8"/>
        <v>0</v>
      </c>
      <c r="AJ16" s="83">
        <f t="shared" si="8"/>
        <v>0</v>
      </c>
      <c r="AK16" s="83">
        <f t="shared" si="8"/>
        <v>38.96</v>
      </c>
      <c r="AL16" s="83">
        <f t="shared" si="8"/>
        <v>36.82285714</v>
      </c>
      <c r="AM16" s="83">
        <f t="shared" si="8"/>
        <v>38.72037037</v>
      </c>
      <c r="AN16" s="83">
        <f t="shared" si="8"/>
        <v>38.48085202</v>
      </c>
      <c r="AO16" s="83">
        <f t="shared" si="8"/>
        <v>38.91372881</v>
      </c>
      <c r="AP16" s="83">
        <f t="shared" si="8"/>
        <v>38.79879004</v>
      </c>
      <c r="AQ16" s="83">
        <f t="shared" si="8"/>
        <v>38.75756184</v>
      </c>
      <c r="AR16" s="83">
        <f t="shared" si="8"/>
        <v>38.69064639</v>
      </c>
      <c r="AS16" s="83">
        <f t="shared" si="8"/>
        <v>38.51587189</v>
      </c>
      <c r="AT16" s="83">
        <f t="shared" si="8"/>
        <v>38.68702479</v>
      </c>
      <c r="AU16" s="83">
        <f t="shared" si="8"/>
        <v>38.83141791</v>
      </c>
      <c r="AV16" s="83">
        <f t="shared" si="8"/>
        <v>0</v>
      </c>
      <c r="AW16" s="83">
        <f t="shared" si="8"/>
        <v>0</v>
      </c>
      <c r="AX16" s="83">
        <f t="shared" si="8"/>
        <v>0</v>
      </c>
      <c r="AY16" s="83">
        <f t="shared" si="8"/>
        <v>0</v>
      </c>
      <c r="AZ16" s="83">
        <f t="shared" si="8"/>
        <v>0</v>
      </c>
      <c r="BA16" s="83">
        <f t="shared" si="8"/>
        <v>0</v>
      </c>
      <c r="BB16" s="83">
        <f t="shared" si="8"/>
        <v>0</v>
      </c>
      <c r="BC16" s="83">
        <f t="shared" si="8"/>
        <v>0</v>
      </c>
      <c r="BD16" s="83">
        <f t="shared" si="8"/>
        <v>0</v>
      </c>
      <c r="BE16" s="83">
        <f t="shared" si="8"/>
        <v>0</v>
      </c>
      <c r="BF16" s="83">
        <f t="shared" si="8"/>
        <v>0</v>
      </c>
      <c r="BG16" s="83">
        <f t="shared" si="8"/>
        <v>0</v>
      </c>
    </row>
    <row r="17">
      <c r="A17" s="70" t="str">
        <f t="shared" si="1"/>
        <v>677536463traited_store_count_this_year</v>
      </c>
      <c r="B17" s="75">
        <v>2.0</v>
      </c>
      <c r="C17" s="75" t="s">
        <v>80</v>
      </c>
      <c r="D17" s="75">
        <v>6.77536463E8</v>
      </c>
      <c r="E17" s="75" t="s">
        <v>51</v>
      </c>
      <c r="F17" s="76" t="s">
        <v>72</v>
      </c>
      <c r="G17" s="81" t="s">
        <v>134</v>
      </c>
      <c r="H17" s="84">
        <f>VLOOKUP($A17,'Last Week Data'!$E$3:$BF$17924,H$1,0)</f>
        <v>0</v>
      </c>
      <c r="I17" s="84">
        <f>VLOOKUP($A17,'Last Week Data'!$E$3:$BF$17924,I$1,0)</f>
        <v>0</v>
      </c>
      <c r="J17" s="84">
        <f>VLOOKUP($A17,'Last Week Data'!$E$3:$BF$17924,J$1,0)</f>
        <v>0</v>
      </c>
      <c r="K17" s="84">
        <f>VLOOKUP($A17,'Last Week Data'!$E$3:$BF$17924,K$1,0)</f>
        <v>0</v>
      </c>
      <c r="L17" s="84">
        <f>VLOOKUP($A17,'Last Week Data'!$E$3:$BF$17924,L$1,0)</f>
        <v>0</v>
      </c>
      <c r="M17" s="84">
        <f>VLOOKUP($A17,'Last Week Data'!$E$3:$BF$17924,M$1,0)</f>
        <v>0</v>
      </c>
      <c r="N17" s="84">
        <f>VLOOKUP($A17,'Last Week Data'!$E$3:$BF$17924,N$1,0)</f>
        <v>0</v>
      </c>
      <c r="O17" s="84">
        <f>VLOOKUP($A17,'Last Week Data'!$E$3:$BF$17924,O$1,0)</f>
        <v>0</v>
      </c>
      <c r="P17" s="84">
        <f>VLOOKUP($A17,'Last Week Data'!$E$3:$BF$17924,P$1,0)</f>
        <v>0</v>
      </c>
      <c r="Q17" s="84">
        <f>VLOOKUP($A17,'Last Week Data'!$E$3:$BF$17924,Q$1,0)</f>
        <v>0</v>
      </c>
      <c r="R17" s="84">
        <f>VLOOKUP($A17,'Last Week Data'!$E$3:$BF$17924,R$1,0)</f>
        <v>0</v>
      </c>
      <c r="S17" s="84">
        <f>VLOOKUP($A17,'Last Week Data'!$E$3:$BF$17924,S$1,0)</f>
        <v>0</v>
      </c>
      <c r="T17" s="84">
        <f>VLOOKUP($A17,'Last Week Data'!$E$3:$BF$17924,T$1,0)</f>
        <v>0</v>
      </c>
      <c r="U17" s="84">
        <f>VLOOKUP($A17,'Last Week Data'!$E$3:$BF$17924,U$1,0)</f>
        <v>0</v>
      </c>
      <c r="V17" s="84">
        <f>VLOOKUP($A17,'Last Week Data'!$E$3:$BF$17924,V$1,0)</f>
        <v>0</v>
      </c>
      <c r="W17" s="84">
        <f>VLOOKUP($A17,'Last Week Data'!$E$3:$BF$17924,W$1,0)</f>
        <v>0</v>
      </c>
      <c r="X17" s="84">
        <f>VLOOKUP($A17,'Last Week Data'!$E$3:$BF$17924,X$1,0)</f>
        <v>0</v>
      </c>
      <c r="Y17" s="84">
        <f>VLOOKUP($A17,'Last Week Data'!$E$3:$BF$17924,Y$1,0)</f>
        <v>0</v>
      </c>
      <c r="Z17" s="84">
        <f>VLOOKUP($A17,'Last Week Data'!$E$3:$BF$17924,Z$1,0)</f>
        <v>0</v>
      </c>
      <c r="AA17" s="84">
        <f>VLOOKUP($A17,'Last Week Data'!$E$3:$BF$17924,AA$1,0)</f>
        <v>0</v>
      </c>
      <c r="AB17" s="84">
        <f>VLOOKUP($A17,'Last Week Data'!$E$3:$BF$17924,AB$1,0)</f>
        <v>0</v>
      </c>
      <c r="AC17" s="84">
        <f>VLOOKUP($A17,'Last Week Data'!$E$3:$BF$17924,AC$1,0)</f>
        <v>0</v>
      </c>
      <c r="AD17" s="84">
        <f>VLOOKUP($A17,'Last Week Data'!$E$3:$BF$17924,AD$1,0)</f>
        <v>0</v>
      </c>
      <c r="AE17" s="84">
        <f>VLOOKUP($A17,'Last Week Data'!$E$3:$BF$17924,AE$1,0)</f>
        <v>0</v>
      </c>
      <c r="AF17" s="84">
        <f>VLOOKUP($A17,'Last Week Data'!$E$3:$BF$17924,AF$1,0)</f>
        <v>0</v>
      </c>
      <c r="AG17" s="84">
        <f>VLOOKUP($A17,'Last Week Data'!$E$3:$BF$17924,AG$1,0)</f>
        <v>0</v>
      </c>
      <c r="AH17" s="84">
        <f>VLOOKUP($A17,'Last Week Data'!$E$3:$BF$17924,AH$1,0)</f>
        <v>0</v>
      </c>
      <c r="AI17" s="84">
        <f>VLOOKUP($A17,'Last Week Data'!$E$3:$BF$17924,AI$1,0)</f>
        <v>0</v>
      </c>
      <c r="AJ17" s="84">
        <f>VLOOKUP($A17,'Last Week Data'!$E$3:$BF$17924,AJ$1,0)</f>
        <v>0</v>
      </c>
      <c r="AK17" s="84">
        <f>VLOOKUP($A17,'Last Week Data'!$E$3:$BF$17924,AK$1,0)</f>
        <v>0</v>
      </c>
      <c r="AL17" s="84">
        <f>VLOOKUP($A17,'Last Week Data'!$E$3:$BF$17924,AL$1,0)</f>
        <v>1440</v>
      </c>
      <c r="AM17" s="84">
        <f>VLOOKUP($A17,'Last Week Data'!$E$3:$BF$17924,AM$1,0)</f>
        <v>1441</v>
      </c>
      <c r="AN17" s="84">
        <f>VLOOKUP($A17,'Last Week Data'!$E$3:$BF$17924,AN$1,0)</f>
        <v>1441</v>
      </c>
      <c r="AO17" s="84">
        <f>VLOOKUP($A17,'Last Week Data'!$E$3:$BF$17924,AO$1,0)</f>
        <v>1442</v>
      </c>
      <c r="AP17" s="84">
        <f>VLOOKUP($A17,'Last Week Data'!$E$3:$BF$17924,AP$1,0)</f>
        <v>1443</v>
      </c>
      <c r="AQ17" s="84">
        <f>VLOOKUP($A17,'Last Week Data'!$E$3:$BF$17924,AQ$1,0)</f>
        <v>1474</v>
      </c>
      <c r="AR17" s="84">
        <f>VLOOKUP($A17,'Last Week Data'!$E$3:$BF$17924,AR$1,0)</f>
        <v>1475</v>
      </c>
      <c r="AS17" s="84">
        <f>VLOOKUP($A17,'Last Week Data'!$E$3:$BF$17924,AS$1,0)</f>
        <v>1475</v>
      </c>
      <c r="AT17" s="84">
        <f>VLOOKUP($A17,'Last Week Data'!$E$3:$BF$17924,AT$1,0)</f>
        <v>1474</v>
      </c>
      <c r="AU17" s="84">
        <f>VLOOKUP($A17,'Last Week Data'!$E$3:$BF$17924,AU$1,0)</f>
        <v>1473</v>
      </c>
      <c r="AV17" s="84" t="str">
        <f>VLOOKUP($A17,'Last Week Data'!$E$3:$BF$17924,AV$1,0)</f>
        <v/>
      </c>
      <c r="AW17" s="84" t="str">
        <f>VLOOKUP($A17,'Last Week Data'!$E$3:$BF$17924,AW$1,0)</f>
        <v/>
      </c>
      <c r="AX17" s="84" t="str">
        <f>VLOOKUP($A17,'Last Week Data'!$E$3:$BF$17924,AX$1,0)</f>
        <v/>
      </c>
      <c r="AY17" s="84" t="str">
        <f>VLOOKUP($A17,'Last Week Data'!$E$3:$BF$17924,AY$1,0)</f>
        <v/>
      </c>
      <c r="AZ17" s="84" t="str">
        <f>VLOOKUP($A17,'Last Week Data'!$E$3:$BF$17924,AZ$1,0)</f>
        <v/>
      </c>
      <c r="BA17" s="84" t="str">
        <f>VLOOKUP($A17,'Last Week Data'!$E$3:$BF$17924,BA$1,0)</f>
        <v/>
      </c>
      <c r="BB17" s="84" t="str">
        <f>VLOOKUP($A17,'Last Week Data'!$E$3:$BF$17924,BB$1,0)</f>
        <v/>
      </c>
      <c r="BC17" s="84" t="str">
        <f>VLOOKUP($A17,'Last Week Data'!$E$3:$BF$17924,BC$1,0)</f>
        <v/>
      </c>
      <c r="BD17" s="84" t="str">
        <f>VLOOKUP($A17,'Last Week Data'!$E$3:$BF$17924,BD$1,0)</f>
        <v/>
      </c>
      <c r="BE17" s="84" t="str">
        <f>VLOOKUP($A17,'Last Week Data'!$E$3:$BF$17924,BE$1,0)</f>
        <v/>
      </c>
      <c r="BF17" s="84" t="str">
        <f>VLOOKUP($A17,'Last Week Data'!$E$3:$BF$17924,BF$1,0)</f>
        <v/>
      </c>
      <c r="BG17" s="84" t="str">
        <f>VLOOKUP($A17,'Last Week Data'!$E$3:$BF$17924,BG$1,0)</f>
        <v/>
      </c>
    </row>
    <row r="18">
      <c r="A18" s="70" t="str">
        <f t="shared" si="1"/>
        <v>677536463repl_instock_percentage_this_year_eop</v>
      </c>
      <c r="B18" s="75">
        <v>2.0</v>
      </c>
      <c r="C18" s="75" t="s">
        <v>80</v>
      </c>
      <c r="D18" s="75">
        <v>6.77536463E8</v>
      </c>
      <c r="E18" s="75" t="s">
        <v>51</v>
      </c>
      <c r="F18" s="76" t="s">
        <v>74</v>
      </c>
      <c r="G18" s="81" t="s">
        <v>135</v>
      </c>
      <c r="H18" s="85">
        <f>VLOOKUP($A18,'Last Week Data'!$E$3:$BF$17924,H$1,0)</f>
        <v>0</v>
      </c>
      <c r="I18" s="85">
        <f>VLOOKUP($A18,'Last Week Data'!$E$3:$BF$17924,I$1,0)</f>
        <v>0</v>
      </c>
      <c r="J18" s="85">
        <f>VLOOKUP($A18,'Last Week Data'!$E$3:$BF$17924,J$1,0)</f>
        <v>0</v>
      </c>
      <c r="K18" s="85">
        <f>VLOOKUP($A18,'Last Week Data'!$E$3:$BF$17924,K$1,0)</f>
        <v>0</v>
      </c>
      <c r="L18" s="85">
        <f>VLOOKUP($A18,'Last Week Data'!$E$3:$BF$17924,L$1,0)</f>
        <v>0</v>
      </c>
      <c r="M18" s="85">
        <f>VLOOKUP($A18,'Last Week Data'!$E$3:$BF$17924,M$1,0)</f>
        <v>0</v>
      </c>
      <c r="N18" s="85">
        <f>VLOOKUP($A18,'Last Week Data'!$E$3:$BF$17924,N$1,0)</f>
        <v>0</v>
      </c>
      <c r="O18" s="85">
        <f>VLOOKUP($A18,'Last Week Data'!$E$3:$BF$17924,O$1,0)</f>
        <v>0</v>
      </c>
      <c r="P18" s="85">
        <f>VLOOKUP($A18,'Last Week Data'!$E$3:$BF$17924,P$1,0)</f>
        <v>0</v>
      </c>
      <c r="Q18" s="85">
        <f>VLOOKUP($A18,'Last Week Data'!$E$3:$BF$17924,Q$1,0)</f>
        <v>0</v>
      </c>
      <c r="R18" s="85">
        <f>VLOOKUP($A18,'Last Week Data'!$E$3:$BF$17924,R$1,0)</f>
        <v>0</v>
      </c>
      <c r="S18" s="85">
        <f>VLOOKUP($A18,'Last Week Data'!$E$3:$BF$17924,S$1,0)</f>
        <v>0</v>
      </c>
      <c r="T18" s="85">
        <f>VLOOKUP($A18,'Last Week Data'!$E$3:$BF$17924,T$1,0)</f>
        <v>0</v>
      </c>
      <c r="U18" s="85">
        <f>VLOOKUP($A18,'Last Week Data'!$E$3:$BF$17924,U$1,0)</f>
        <v>0</v>
      </c>
      <c r="V18" s="85">
        <f>VLOOKUP($A18,'Last Week Data'!$E$3:$BF$17924,V$1,0)</f>
        <v>0</v>
      </c>
      <c r="W18" s="85">
        <f>VLOOKUP($A18,'Last Week Data'!$E$3:$BF$17924,W$1,0)</f>
        <v>0</v>
      </c>
      <c r="X18" s="85">
        <f>VLOOKUP($A18,'Last Week Data'!$E$3:$BF$17924,X$1,0)</f>
        <v>0</v>
      </c>
      <c r="Y18" s="85">
        <f>VLOOKUP($A18,'Last Week Data'!$E$3:$BF$17924,Y$1,0)</f>
        <v>0</v>
      </c>
      <c r="Z18" s="85">
        <f>VLOOKUP($A18,'Last Week Data'!$E$3:$BF$17924,Z$1,0)</f>
        <v>0</v>
      </c>
      <c r="AA18" s="85">
        <f>VLOOKUP($A18,'Last Week Data'!$E$3:$BF$17924,AA$1,0)</f>
        <v>0</v>
      </c>
      <c r="AB18" s="85">
        <f>VLOOKUP($A18,'Last Week Data'!$E$3:$BF$17924,AB$1,0)</f>
        <v>0</v>
      </c>
      <c r="AC18" s="85">
        <f>VLOOKUP($A18,'Last Week Data'!$E$3:$BF$17924,AC$1,0)</f>
        <v>0</v>
      </c>
      <c r="AD18" s="85">
        <f>VLOOKUP($A18,'Last Week Data'!$E$3:$BF$17924,AD$1,0)</f>
        <v>0</v>
      </c>
      <c r="AE18" s="85">
        <f>VLOOKUP($A18,'Last Week Data'!$E$3:$BF$17924,AE$1,0)</f>
        <v>0</v>
      </c>
      <c r="AF18" s="85">
        <f>VLOOKUP($A18,'Last Week Data'!$E$3:$BF$17924,AF$1,0)</f>
        <v>0</v>
      </c>
      <c r="AG18" s="85">
        <f>VLOOKUP($A18,'Last Week Data'!$E$3:$BF$17924,AG$1,0)</f>
        <v>0</v>
      </c>
      <c r="AH18" s="85">
        <f>VLOOKUP($A18,'Last Week Data'!$E$3:$BF$17924,AH$1,0)</f>
        <v>0</v>
      </c>
      <c r="AI18" s="85">
        <f>VLOOKUP($A18,'Last Week Data'!$E$3:$BF$17924,AI$1,0)</f>
        <v>0</v>
      </c>
      <c r="AJ18" s="85">
        <f>VLOOKUP($A18,'Last Week Data'!$E$3:$BF$17924,AJ$1,0)</f>
        <v>0</v>
      </c>
      <c r="AK18" s="85">
        <f>VLOOKUP($A18,'Last Week Data'!$E$3:$BF$17924,AK$1,0)</f>
        <v>0</v>
      </c>
      <c r="AL18" s="85">
        <f>VLOOKUP($A18,'Last Week Data'!$E$3:$BF$17924,AL$1,0)</f>
        <v>0</v>
      </c>
      <c r="AM18" s="85">
        <f>VLOOKUP($A18,'Last Week Data'!$E$3:$BF$17924,AM$1,0)</f>
        <v>0</v>
      </c>
      <c r="AN18" s="85">
        <f>VLOOKUP($A18,'Last Week Data'!$E$3:$BF$17924,AN$1,0)</f>
        <v>0.9618</v>
      </c>
      <c r="AO18" s="85">
        <f>VLOOKUP($A18,'Last Week Data'!$E$3:$BF$17924,AO$1,0)</f>
        <v>0.9736</v>
      </c>
      <c r="AP18" s="85">
        <f>VLOOKUP($A18,'Last Week Data'!$E$3:$BF$17924,AP$1,0)</f>
        <v>0.9875</v>
      </c>
      <c r="AQ18" s="85">
        <f>VLOOKUP($A18,'Last Week Data'!$E$3:$BF$17924,AQ$1,0)</f>
        <v>0.9896</v>
      </c>
      <c r="AR18" s="85">
        <f>VLOOKUP($A18,'Last Week Data'!$E$3:$BF$17924,AR$1,0)</f>
        <v>0.9748</v>
      </c>
      <c r="AS18" s="85">
        <f>VLOOKUP($A18,'Last Week Data'!$E$3:$BF$17924,AS$1,0)</f>
        <v>0.985</v>
      </c>
      <c r="AT18" s="85">
        <f>VLOOKUP($A18,'Last Week Data'!$E$3:$BF$17924,AT$1,0)</f>
        <v>0.9898</v>
      </c>
      <c r="AU18" s="85">
        <f>VLOOKUP($A18,'Last Week Data'!$E$3:$BF$17924,AU$1,0)</f>
        <v>0.9911</v>
      </c>
      <c r="AV18" s="85" t="str">
        <f>VLOOKUP($A18,'Last Week Data'!$E$3:$BF$17924,AV$1,0)</f>
        <v/>
      </c>
      <c r="AW18" s="85" t="str">
        <f>VLOOKUP($A18,'Last Week Data'!$E$3:$BF$17924,AW$1,0)</f>
        <v/>
      </c>
      <c r="AX18" s="85" t="str">
        <f>VLOOKUP($A18,'Last Week Data'!$E$3:$BF$17924,AX$1,0)</f>
        <v/>
      </c>
      <c r="AY18" s="85" t="str">
        <f>VLOOKUP($A18,'Last Week Data'!$E$3:$BF$17924,AY$1,0)</f>
        <v/>
      </c>
      <c r="AZ18" s="85" t="str">
        <f>VLOOKUP($A18,'Last Week Data'!$E$3:$BF$17924,AZ$1,0)</f>
        <v/>
      </c>
      <c r="BA18" s="85" t="str">
        <f>VLOOKUP($A18,'Last Week Data'!$E$3:$BF$17924,BA$1,0)</f>
        <v/>
      </c>
      <c r="BB18" s="85" t="str">
        <f>VLOOKUP($A18,'Last Week Data'!$E$3:$BF$17924,BB$1,0)</f>
        <v/>
      </c>
      <c r="BC18" s="85" t="str">
        <f>VLOOKUP($A18,'Last Week Data'!$E$3:$BF$17924,BC$1,0)</f>
        <v/>
      </c>
      <c r="BD18" s="85" t="str">
        <f>VLOOKUP($A18,'Last Week Data'!$E$3:$BF$17924,BD$1,0)</f>
        <v/>
      </c>
      <c r="BE18" s="85" t="str">
        <f>VLOOKUP($A18,'Last Week Data'!$E$3:$BF$17924,BE$1,0)</f>
        <v/>
      </c>
      <c r="BF18" s="85" t="str">
        <f>VLOOKUP($A18,'Last Week Data'!$E$3:$BF$17924,BF$1,0)</f>
        <v/>
      </c>
      <c r="BG18" s="85" t="str">
        <f>VLOOKUP($A18,'Last Week Data'!$E$3:$BF$17924,BG$1,0)</f>
        <v/>
      </c>
    </row>
    <row r="19">
      <c r="A19" s="70" t="str">
        <f t="shared" si="1"/>
        <v>677536463Forecast</v>
      </c>
      <c r="B19" s="75">
        <v>2.0</v>
      </c>
      <c r="C19" s="75" t="s">
        <v>80</v>
      </c>
      <c r="D19" s="75">
        <v>6.77536463E8</v>
      </c>
      <c r="E19" s="75" t="s">
        <v>51</v>
      </c>
      <c r="F19" s="76" t="s">
        <v>76</v>
      </c>
      <c r="G19" s="86" t="s">
        <v>77</v>
      </c>
      <c r="H19" s="87" t="str">
        <f>IFNA(VLOOKUP($D19,'Luminate Forecast'!$U:$BV,'Luminate Forecast'!V$19,0),0)</f>
        <v/>
      </c>
      <c r="I19" s="87">
        <f>IFNA(VLOOKUP($D19,'Luminate Forecast'!$U:$BV,'Luminate Forecast'!W$19,0),0)</f>
        <v>1071.84</v>
      </c>
      <c r="J19" s="87">
        <f>IFNA(VLOOKUP($D19,'Luminate Forecast'!$U:$BV,'Luminate Forecast'!X$19,0),0)</f>
        <v>1158.21</v>
      </c>
      <c r="K19" s="87">
        <f>IFNA(VLOOKUP($D19,'Luminate Forecast'!$U:$BV,'Luminate Forecast'!Y$19,0),0)</f>
        <v>1462.58</v>
      </c>
      <c r="L19" s="87">
        <f>IFNA(VLOOKUP($D19,'Luminate Forecast'!$U:$BV,'Luminate Forecast'!Z$19,0),0)</f>
        <v>1863.85</v>
      </c>
      <c r="M19" s="87">
        <f>IFNA(VLOOKUP($D19,'Luminate Forecast'!$U:$BV,'Luminate Forecast'!AA$19,0),0)</f>
        <v>1753.79</v>
      </c>
      <c r="N19" s="87">
        <f>IFNA(VLOOKUP($D19,'Luminate Forecast'!$U:$BV,'Luminate Forecast'!AB$19,0),0)</f>
        <v>1625.82</v>
      </c>
      <c r="O19" s="87">
        <f>IFNA(VLOOKUP($D19,'Luminate Forecast'!$U:$BV,'Luminate Forecast'!AC$19,0),0)</f>
        <v>1635.45</v>
      </c>
      <c r="P19" s="87">
        <f>IFNA(VLOOKUP($D19,'Luminate Forecast'!$U:$BV,'Luminate Forecast'!AD$19,0),0)</f>
        <v>1644.69</v>
      </c>
      <c r="Q19" s="87">
        <f>IFNA(VLOOKUP($D19,'Luminate Forecast'!$U:$BV,'Luminate Forecast'!AE$19,0),0)</f>
        <v>1585.76</v>
      </c>
      <c r="R19" s="87">
        <f>IFNA(VLOOKUP($D19,'Luminate Forecast'!$U:$BV,'Luminate Forecast'!AF$19,0),0)</f>
        <v>1509.54</v>
      </c>
      <c r="S19" s="87">
        <f>IFNA(VLOOKUP($D19,'Luminate Forecast'!$U:$BV,'Luminate Forecast'!AG$19,0),0)</f>
        <v>1499.35</v>
      </c>
      <c r="T19" s="87">
        <f>IFNA(VLOOKUP($D19,'Luminate Forecast'!$U:$BV,'Luminate Forecast'!AH$19,0),0)</f>
        <v>1398.41</v>
      </c>
      <c r="U19" s="87">
        <f>IFNA(VLOOKUP($D19,'Luminate Forecast'!$U:$BV,'Luminate Forecast'!AI$19,0),0)</f>
        <v>1411.07</v>
      </c>
      <c r="V19" s="87">
        <f>IFNA(VLOOKUP($D19,'Luminate Forecast'!$U:$BV,'Luminate Forecast'!AJ$19,0),0)</f>
        <v>1267.76</v>
      </c>
      <c r="W19" s="87">
        <f>IFNA(VLOOKUP($D19,'Luminate Forecast'!$U:$BV,'Luminate Forecast'!AK$19,0),0)</f>
        <v>1234.27</v>
      </c>
      <c r="X19" s="87">
        <f>IFNA(VLOOKUP($D19,'Luminate Forecast'!$U:$BV,'Luminate Forecast'!AL$19,0),0)</f>
        <v>1166.51</v>
      </c>
      <c r="Y19" s="87">
        <f>IFNA(VLOOKUP($D19,'Luminate Forecast'!$U:$BV,'Luminate Forecast'!AM$19,0),0)</f>
        <v>1084.74</v>
      </c>
      <c r="Z19" s="87">
        <f>IFNA(VLOOKUP($D19,'Luminate Forecast'!$U:$BV,'Luminate Forecast'!AN$19,0),0)</f>
        <v>1178.13</v>
      </c>
      <c r="AA19" s="87">
        <f>IFNA(VLOOKUP($D19,'Luminate Forecast'!$U:$BV,'Luminate Forecast'!AO$19,0),0)</f>
        <v>1205.87</v>
      </c>
      <c r="AB19" s="87">
        <f>IFNA(VLOOKUP($D19,'Luminate Forecast'!$U:$BV,'Luminate Forecast'!AP$19,0),0)</f>
        <v>1247.79</v>
      </c>
      <c r="AC19" s="87">
        <f>IFNA(VLOOKUP($D19,'Luminate Forecast'!$U:$BV,'Luminate Forecast'!AQ$19,0),0)</f>
        <v>1247.79</v>
      </c>
      <c r="AD19" s="87">
        <f>IFNA(VLOOKUP($D19,'Luminate Forecast'!$U:$BV,'Luminate Forecast'!AR$19,0),0)</f>
        <v>1212.74</v>
      </c>
      <c r="AE19" s="87">
        <f>IFNA(VLOOKUP($D19,'Luminate Forecast'!$U:$BV,'Luminate Forecast'!AS$19,0),0)</f>
        <v>1213.9</v>
      </c>
      <c r="AF19" s="87">
        <f>IFNA(VLOOKUP($D19,'Luminate Forecast'!$U:$BV,'Luminate Forecast'!AT$19,0),0)</f>
        <v>1201.97</v>
      </c>
      <c r="AG19" s="87">
        <f>IFNA(VLOOKUP($D19,'Luminate Forecast'!$U:$BV,'Luminate Forecast'!AU$19,0),0)</f>
        <v>1236.64</v>
      </c>
      <c r="AH19" s="87">
        <f>IFNA(VLOOKUP($D19,'Luminate Forecast'!$U:$BV,'Luminate Forecast'!AV$19,0),0)</f>
        <v>1338.51</v>
      </c>
      <c r="AI19" s="87">
        <f>IFNA(VLOOKUP($D19,'Luminate Forecast'!$U:$BV,'Luminate Forecast'!AW$19,0),0)</f>
        <v>1351.23</v>
      </c>
      <c r="AJ19" s="87">
        <f>IFNA(VLOOKUP($D19,'Luminate Forecast'!$U:$BV,'Luminate Forecast'!AX$19,0),0)</f>
        <v>1481.69</v>
      </c>
      <c r="AK19" s="87">
        <f>IFNA(VLOOKUP($D19,'Luminate Forecast'!$U:$BV,'Luminate Forecast'!AY$19,0),0)</f>
        <v>1338.06</v>
      </c>
      <c r="AL19" s="87">
        <f>IFNA(VLOOKUP($D19,'Luminate Forecast'!$U:$BV,'Luminate Forecast'!AZ$19,0),0)</f>
        <v>1304.04</v>
      </c>
      <c r="AM19" s="87">
        <f>IFNA(VLOOKUP($D19,'Luminate Forecast'!$U:$BV,'Luminate Forecast'!BA$19,0),0)</f>
        <v>1215.17</v>
      </c>
      <c r="AN19" s="87">
        <f>IFNA(VLOOKUP($D19,'Luminate Forecast'!$U:$BV,'Luminate Forecast'!BB$19,0),0)</f>
        <v>1325.24</v>
      </c>
      <c r="AO19" s="87">
        <f>IFNA(VLOOKUP($D19,'Luminate Forecast'!$U:$BV,'Luminate Forecast'!BC$19,0),0)</f>
        <v>1459.09</v>
      </c>
      <c r="AP19" s="87">
        <f>IFNA(VLOOKUP($D19,'Luminate Forecast'!$U:$BV,'Luminate Forecast'!BD$19,0),0)</f>
        <v>1541.03</v>
      </c>
      <c r="AQ19" s="87">
        <f>IFNA(VLOOKUP($D19,'Luminate Forecast'!$U:$BV,'Luminate Forecast'!BE$19,0),0)</f>
        <v>1679.14</v>
      </c>
      <c r="AR19" s="87">
        <f>IFNA(VLOOKUP($D19,'Luminate Forecast'!$U:$BV,'Luminate Forecast'!BF$19,0),0)</f>
        <v>1516.94</v>
      </c>
      <c r="AS19" s="87">
        <f>IFNA(VLOOKUP($D19,'Luminate Forecast'!$U:$BV,'Luminate Forecast'!BG$19,0),0)</f>
        <v>1494</v>
      </c>
      <c r="AT19" s="87">
        <f>IFNA(VLOOKUP($D19,'Luminate Forecast'!$U:$BV,'Luminate Forecast'!BH$19,0),0)</f>
        <v>1457.78</v>
      </c>
      <c r="AU19" s="87">
        <f>IFNA(VLOOKUP($D19,'Luminate Forecast'!$U:$BV,'Luminate Forecast'!BI$19,0),0)</f>
        <v>1573.19</v>
      </c>
      <c r="AV19" s="87">
        <f>IFNA(VLOOKUP($D19,'Luminate Forecast'!$U:$BV,'Luminate Forecast'!BJ$19,0),0)</f>
        <v>1546.06</v>
      </c>
      <c r="AW19" s="87">
        <f>IFNA(VLOOKUP($D19,'Luminate Forecast'!$U:$BV,'Luminate Forecast'!BK$19,0),0)</f>
        <v>1516.1</v>
      </c>
      <c r="AX19" s="87">
        <f>IFNA(VLOOKUP($D19,'Luminate Forecast'!$U:$BV,'Luminate Forecast'!BL$19,0),0)</f>
        <v>1459.3</v>
      </c>
      <c r="AY19" s="87">
        <f>IFNA(VLOOKUP($D19,'Luminate Forecast'!$U:$BV,'Luminate Forecast'!BM$19,0),0)</f>
        <v>1259.89</v>
      </c>
      <c r="AZ19" s="87">
        <f>IFNA(VLOOKUP($D19,'Luminate Forecast'!$U:$BV,'Luminate Forecast'!BN$19,0),0)</f>
        <v>1640.42</v>
      </c>
      <c r="BA19" s="87">
        <f>IFNA(VLOOKUP($D19,'Luminate Forecast'!$U:$BV,'Luminate Forecast'!BO$19,0),0)</f>
        <v>1860.19</v>
      </c>
      <c r="BB19" s="87">
        <f>IFNA(VLOOKUP($D19,'Luminate Forecast'!$U:$BV,'Luminate Forecast'!BP$19,0),0)</f>
        <v>2460.33</v>
      </c>
      <c r="BC19" s="87">
        <f>IFNA(VLOOKUP($D19,'Luminate Forecast'!$U:$BV,'Luminate Forecast'!BQ$19,0),0)</f>
        <v>2534.45</v>
      </c>
      <c r="BD19" s="87">
        <f>IFNA(VLOOKUP($D19,'Luminate Forecast'!$U:$BV,'Luminate Forecast'!BR$19,0),0)</f>
        <v>1546.37</v>
      </c>
      <c r="BE19" s="87">
        <f>IFNA(VLOOKUP($D19,'Luminate Forecast'!$U:$BV,'Luminate Forecast'!BS$19,0),0)</f>
        <v>1373.72</v>
      </c>
      <c r="BF19" s="87">
        <f>IFNA(VLOOKUP($D19,'Luminate Forecast'!$U:$BV,'Luminate Forecast'!BT$19,0),0)</f>
        <v>1274.33</v>
      </c>
      <c r="BG19" s="87">
        <f>IFNA(VLOOKUP($D19,'Luminate Forecast'!$U:$BV,'Luminate Forecast'!BU$19,0),0)</f>
        <v>1062.06</v>
      </c>
    </row>
    <row r="20">
      <c r="A20" s="70" t="str">
        <f t="shared" si="1"/>
        <v>677536463Variance</v>
      </c>
      <c r="B20" s="88">
        <v>2.0</v>
      </c>
      <c r="C20" s="88" t="s">
        <v>80</v>
      </c>
      <c r="D20" s="88">
        <v>6.77536463E8</v>
      </c>
      <c r="E20" s="88" t="s">
        <v>51</v>
      </c>
      <c r="F20" s="89" t="s">
        <v>78</v>
      </c>
      <c r="G20" s="90" t="s">
        <v>79</v>
      </c>
      <c r="H20" s="91">
        <f t="shared" ref="H20:BG20" si="9">IF(H19&gt;0,H13/H19,0)</f>
        <v>0</v>
      </c>
      <c r="I20" s="91">
        <f t="shared" si="9"/>
        <v>0</v>
      </c>
      <c r="J20" s="91">
        <f t="shared" si="9"/>
        <v>0</v>
      </c>
      <c r="K20" s="91">
        <f t="shared" si="9"/>
        <v>0</v>
      </c>
      <c r="L20" s="91">
        <f t="shared" si="9"/>
        <v>0</v>
      </c>
      <c r="M20" s="91">
        <f t="shared" si="9"/>
        <v>0</v>
      </c>
      <c r="N20" s="91">
        <f t="shared" si="9"/>
        <v>0</v>
      </c>
      <c r="O20" s="91">
        <f t="shared" si="9"/>
        <v>0</v>
      </c>
      <c r="P20" s="91">
        <f t="shared" si="9"/>
        <v>0</v>
      </c>
      <c r="Q20" s="91">
        <f t="shared" si="9"/>
        <v>0</v>
      </c>
      <c r="R20" s="91">
        <f t="shared" si="9"/>
        <v>0</v>
      </c>
      <c r="S20" s="91">
        <f t="shared" si="9"/>
        <v>0</v>
      </c>
      <c r="T20" s="91">
        <f t="shared" si="9"/>
        <v>0</v>
      </c>
      <c r="U20" s="91">
        <f t="shared" si="9"/>
        <v>0</v>
      </c>
      <c r="V20" s="91">
        <f t="shared" si="9"/>
        <v>0</v>
      </c>
      <c r="W20" s="91">
        <f t="shared" si="9"/>
        <v>0</v>
      </c>
      <c r="X20" s="91">
        <f t="shared" si="9"/>
        <v>0</v>
      </c>
      <c r="Y20" s="91">
        <f t="shared" si="9"/>
        <v>0</v>
      </c>
      <c r="Z20" s="91">
        <f t="shared" si="9"/>
        <v>0</v>
      </c>
      <c r="AA20" s="91">
        <f t="shared" si="9"/>
        <v>0</v>
      </c>
      <c r="AB20" s="91">
        <f t="shared" si="9"/>
        <v>0</v>
      </c>
      <c r="AC20" s="91">
        <f t="shared" si="9"/>
        <v>0</v>
      </c>
      <c r="AD20" s="91">
        <f t="shared" si="9"/>
        <v>0</v>
      </c>
      <c r="AE20" s="91">
        <f t="shared" si="9"/>
        <v>0</v>
      </c>
      <c r="AF20" s="91">
        <f t="shared" si="9"/>
        <v>0</v>
      </c>
      <c r="AG20" s="91">
        <f t="shared" si="9"/>
        <v>0</v>
      </c>
      <c r="AH20" s="91">
        <f t="shared" si="9"/>
        <v>0</v>
      </c>
      <c r="AI20" s="91">
        <f t="shared" si="9"/>
        <v>0</v>
      </c>
      <c r="AJ20" s="91">
        <f t="shared" si="9"/>
        <v>0</v>
      </c>
      <c r="AK20" s="91">
        <f t="shared" si="9"/>
        <v>0.000747350642</v>
      </c>
      <c r="AL20" s="91">
        <f t="shared" si="9"/>
        <v>0.010735867</v>
      </c>
      <c r="AM20" s="91">
        <f t="shared" si="9"/>
        <v>0.0888764535</v>
      </c>
      <c r="AN20" s="91">
        <f t="shared" si="9"/>
        <v>0.1682714074</v>
      </c>
      <c r="AO20" s="91">
        <f t="shared" si="9"/>
        <v>0.1617446491</v>
      </c>
      <c r="AP20" s="91">
        <f t="shared" si="9"/>
        <v>0.1823455741</v>
      </c>
      <c r="AQ20" s="91">
        <f t="shared" si="9"/>
        <v>0.1685386567</v>
      </c>
      <c r="AR20" s="91">
        <f t="shared" si="9"/>
        <v>0.1733753477</v>
      </c>
      <c r="AS20" s="91">
        <f t="shared" si="9"/>
        <v>0.188085676</v>
      </c>
      <c r="AT20" s="91">
        <f t="shared" si="9"/>
        <v>0.1660058445</v>
      </c>
      <c r="AU20" s="91">
        <f t="shared" si="9"/>
        <v>0.1703545026</v>
      </c>
      <c r="AV20" s="91">
        <f t="shared" si="9"/>
        <v>0</v>
      </c>
      <c r="AW20" s="91">
        <f t="shared" si="9"/>
        <v>0</v>
      </c>
      <c r="AX20" s="91">
        <f t="shared" si="9"/>
        <v>0</v>
      </c>
      <c r="AY20" s="91">
        <f t="shared" si="9"/>
        <v>0</v>
      </c>
      <c r="AZ20" s="91">
        <f t="shared" si="9"/>
        <v>0</v>
      </c>
      <c r="BA20" s="91">
        <f t="shared" si="9"/>
        <v>0</v>
      </c>
      <c r="BB20" s="91">
        <f t="shared" si="9"/>
        <v>0</v>
      </c>
      <c r="BC20" s="91">
        <f t="shared" si="9"/>
        <v>0</v>
      </c>
      <c r="BD20" s="91">
        <f t="shared" si="9"/>
        <v>0</v>
      </c>
      <c r="BE20" s="91">
        <f t="shared" si="9"/>
        <v>0</v>
      </c>
      <c r="BF20" s="91">
        <f t="shared" si="9"/>
        <v>0</v>
      </c>
      <c r="BG20" s="91">
        <f t="shared" si="9"/>
        <v>0</v>
      </c>
    </row>
    <row r="21" ht="15.75" customHeight="1">
      <c r="A21" s="55"/>
    </row>
    <row r="22" ht="15.75" customHeight="1">
      <c r="A22" s="55"/>
    </row>
    <row r="23" ht="15.75" customHeight="1">
      <c r="A23" s="55"/>
    </row>
    <row r="24" ht="15.75" customHeight="1">
      <c r="A24" s="55"/>
    </row>
    <row r="25" ht="15.75" customHeight="1">
      <c r="A25" s="55"/>
    </row>
    <row r="26" ht="15.75" customHeight="1">
      <c r="A26" s="55"/>
    </row>
    <row r="27" ht="15.75" customHeight="1">
      <c r="A27" s="55"/>
    </row>
    <row r="28" ht="15.75" customHeight="1">
      <c r="A28" s="55"/>
    </row>
    <row r="29" ht="15.75" customHeight="1">
      <c r="A29" s="55"/>
    </row>
    <row r="30" ht="15.75" customHeight="1">
      <c r="A30" s="55"/>
    </row>
    <row r="31" ht="15.75" customHeight="1">
      <c r="A31" s="55"/>
    </row>
    <row r="32" ht="15.75" customHeight="1">
      <c r="A32" s="55"/>
    </row>
    <row r="33" ht="15.75" customHeight="1">
      <c r="A33" s="55"/>
    </row>
    <row r="34" ht="15.75" customHeight="1">
      <c r="A34" s="55"/>
    </row>
    <row r="35" ht="15.75" customHeight="1">
      <c r="A35" s="55"/>
    </row>
    <row r="36" ht="15.75" customHeight="1">
      <c r="A36" s="55"/>
    </row>
    <row r="37" ht="15.75" customHeight="1">
      <c r="A37" s="55"/>
    </row>
    <row r="38" ht="15.75" customHeight="1">
      <c r="A38" s="55"/>
    </row>
    <row r="39" ht="15.75" customHeight="1">
      <c r="A39" s="55"/>
    </row>
    <row r="40" ht="15.75" customHeight="1">
      <c r="A40" s="55"/>
    </row>
    <row r="41" ht="15.75" customHeight="1">
      <c r="A41" s="55"/>
    </row>
    <row r="42" ht="15.75" customHeight="1">
      <c r="A42" s="55"/>
    </row>
    <row r="43" ht="15.75" customHeight="1">
      <c r="A43" s="55"/>
    </row>
    <row r="44" ht="15.75" customHeight="1">
      <c r="A44" s="55"/>
    </row>
    <row r="45" ht="15.75" customHeight="1">
      <c r="A45" s="55"/>
    </row>
    <row r="46" ht="15.75" customHeight="1">
      <c r="A46" s="55"/>
    </row>
    <row r="47" ht="15.75" customHeight="1">
      <c r="A47" s="55"/>
    </row>
    <row r="48" ht="15.75" customHeight="1">
      <c r="A48" s="55"/>
    </row>
    <row r="49" ht="15.75" customHeight="1">
      <c r="A49" s="55"/>
    </row>
    <row r="50" ht="15.75" customHeight="1">
      <c r="A50" s="55"/>
    </row>
    <row r="51" ht="15.75" customHeight="1">
      <c r="A51" s="55"/>
    </row>
    <row r="52" ht="15.75" customHeight="1">
      <c r="A52" s="55"/>
    </row>
    <row r="53" ht="15.75" customHeight="1">
      <c r="A53" s="55"/>
    </row>
    <row r="54" ht="15.75" customHeight="1">
      <c r="A54" s="55"/>
    </row>
    <row r="55" ht="15.75" customHeight="1">
      <c r="A55" s="55"/>
    </row>
    <row r="56" ht="15.75" customHeight="1">
      <c r="A56" s="55"/>
    </row>
    <row r="57" ht="15.75" customHeight="1">
      <c r="A57" s="55"/>
    </row>
    <row r="58" ht="15.75" customHeight="1">
      <c r="A58" s="55"/>
    </row>
    <row r="59" ht="15.75" customHeight="1">
      <c r="A59" s="55"/>
    </row>
    <row r="60" ht="15.75" customHeight="1">
      <c r="A60" s="55"/>
    </row>
    <row r="61" ht="15.75" customHeight="1">
      <c r="A61" s="55"/>
    </row>
    <row r="62" ht="15.75" customHeight="1">
      <c r="A62" s="55"/>
    </row>
    <row r="63" ht="15.75" customHeight="1">
      <c r="A63" s="55"/>
    </row>
    <row r="64" ht="15.75" customHeight="1">
      <c r="A64" s="55"/>
    </row>
    <row r="65" ht="15.75" customHeight="1">
      <c r="A65" s="55"/>
    </row>
    <row r="66" ht="15.75" customHeight="1">
      <c r="A66" s="55"/>
    </row>
    <row r="67" ht="15.75" customHeight="1">
      <c r="A67" s="55"/>
    </row>
    <row r="68" ht="15.75" customHeight="1">
      <c r="A68" s="55"/>
    </row>
    <row r="69" ht="15.75" customHeight="1">
      <c r="A69" s="55"/>
    </row>
    <row r="70" ht="15.75" customHeight="1">
      <c r="A70" s="55"/>
    </row>
    <row r="71" ht="15.75" customHeight="1">
      <c r="A71" s="55"/>
    </row>
    <row r="72" ht="15.75" customHeight="1">
      <c r="A72" s="55"/>
    </row>
    <row r="73" ht="15.75" customHeight="1">
      <c r="A73" s="55"/>
    </row>
    <row r="74" ht="15.75" customHeight="1">
      <c r="A74" s="55"/>
    </row>
    <row r="75" ht="15.75" customHeight="1">
      <c r="A75" s="55"/>
    </row>
    <row r="76" ht="15.75" customHeight="1">
      <c r="A76" s="55"/>
    </row>
    <row r="77" ht="15.75" customHeight="1">
      <c r="A77" s="55"/>
    </row>
    <row r="78" ht="15.75" customHeight="1">
      <c r="A78" s="55"/>
    </row>
    <row r="79" ht="15.75" customHeight="1">
      <c r="A79" s="55"/>
    </row>
    <row r="80" ht="15.75" customHeight="1">
      <c r="A80" s="55"/>
    </row>
    <row r="81" ht="15.75" customHeight="1">
      <c r="A81" s="55"/>
    </row>
    <row r="82" ht="15.75" customHeight="1">
      <c r="A82" s="55"/>
    </row>
    <row r="83" ht="15.75" customHeight="1">
      <c r="A83" s="55"/>
    </row>
    <row r="84" ht="15.75" customHeight="1">
      <c r="A84" s="55"/>
    </row>
    <row r="85" ht="15.75" customHeight="1">
      <c r="A85" s="55"/>
    </row>
    <row r="86" ht="15.75" customHeight="1">
      <c r="A86" s="55"/>
    </row>
    <row r="87" ht="15.75" customHeight="1">
      <c r="A87" s="55"/>
    </row>
    <row r="88" ht="15.75" customHeight="1">
      <c r="A88" s="55"/>
    </row>
    <row r="89" ht="15.75" customHeight="1">
      <c r="A89" s="55"/>
    </row>
    <row r="90" ht="15.75" customHeight="1">
      <c r="A90" s="55"/>
    </row>
    <row r="91" ht="15.75" customHeight="1">
      <c r="A91" s="55"/>
    </row>
    <row r="92" ht="15.75" customHeight="1">
      <c r="A92" s="55"/>
    </row>
    <row r="93" ht="15.75" customHeight="1">
      <c r="A93" s="55"/>
    </row>
    <row r="94" ht="15.75" customHeight="1">
      <c r="A94" s="55"/>
    </row>
    <row r="95" ht="15.75" customHeight="1">
      <c r="A95" s="55"/>
    </row>
    <row r="96" ht="15.75" customHeight="1">
      <c r="A96" s="55"/>
    </row>
    <row r="97" ht="15.75" customHeight="1">
      <c r="A97" s="55"/>
    </row>
    <row r="98" ht="15.75" customHeight="1">
      <c r="A98" s="55"/>
    </row>
    <row r="99" ht="15.75" customHeight="1">
      <c r="A99" s="55"/>
    </row>
    <row r="100" ht="15.75" customHeight="1">
      <c r="A100" s="55"/>
    </row>
    <row r="101" ht="15.75" customHeight="1">
      <c r="A101" s="55"/>
    </row>
    <row r="102" ht="15.75" customHeight="1">
      <c r="A102" s="55"/>
    </row>
    <row r="103" ht="15.75" customHeight="1">
      <c r="A103" s="55"/>
    </row>
    <row r="104" ht="15.75" customHeight="1">
      <c r="A104" s="55"/>
    </row>
    <row r="105" ht="15.75" customHeight="1">
      <c r="A105" s="55"/>
    </row>
    <row r="106" ht="15.75" customHeight="1">
      <c r="A106" s="55"/>
    </row>
    <row r="107" ht="15.75" customHeight="1">
      <c r="A107" s="55"/>
    </row>
    <row r="108" ht="15.75" customHeight="1">
      <c r="A108" s="55"/>
    </row>
    <row r="109" ht="15.75" customHeight="1">
      <c r="A109" s="55"/>
    </row>
    <row r="110" ht="15.75" customHeight="1">
      <c r="A110" s="55"/>
    </row>
    <row r="111" ht="15.75" customHeight="1">
      <c r="A111" s="55"/>
    </row>
    <row r="112" ht="15.75" customHeight="1">
      <c r="A112" s="55"/>
    </row>
    <row r="113" ht="15.75" customHeight="1">
      <c r="A113" s="55"/>
    </row>
    <row r="114" ht="15.75" customHeight="1">
      <c r="A114" s="55"/>
    </row>
    <row r="115" ht="15.75" customHeight="1">
      <c r="A115" s="55"/>
    </row>
    <row r="116" ht="15.75" customHeight="1">
      <c r="A116" s="55"/>
    </row>
    <row r="117" ht="15.75" customHeight="1">
      <c r="A117" s="55"/>
    </row>
    <row r="118" ht="15.75" customHeight="1">
      <c r="A118" s="55"/>
    </row>
    <row r="119" ht="15.75" customHeight="1">
      <c r="A119" s="55"/>
    </row>
    <row r="120" ht="15.75" customHeight="1">
      <c r="A120" s="55"/>
    </row>
    <row r="121" ht="15.75" customHeight="1">
      <c r="A121" s="55"/>
    </row>
    <row r="122" ht="15.75" customHeight="1">
      <c r="A122" s="55"/>
    </row>
    <row r="123" ht="15.75" customHeight="1">
      <c r="A123" s="55"/>
    </row>
    <row r="124" ht="15.75" customHeight="1">
      <c r="A124" s="55"/>
    </row>
    <row r="125" ht="15.75" customHeight="1">
      <c r="A125" s="55"/>
    </row>
    <row r="126" ht="15.75" customHeight="1">
      <c r="A126" s="55"/>
    </row>
    <row r="127" ht="15.75" customHeight="1">
      <c r="A127" s="55"/>
    </row>
    <row r="128" ht="15.75" customHeight="1">
      <c r="A128" s="55"/>
    </row>
    <row r="129" ht="15.75" customHeight="1">
      <c r="A129" s="55"/>
    </row>
    <row r="130" ht="15.75" customHeight="1">
      <c r="A130" s="55"/>
    </row>
    <row r="131" ht="15.75" customHeight="1">
      <c r="A131" s="55"/>
    </row>
    <row r="132" ht="15.75" customHeight="1">
      <c r="A132" s="55"/>
    </row>
    <row r="133" ht="15.75" customHeight="1">
      <c r="A133" s="55"/>
    </row>
    <row r="134" ht="15.75" customHeight="1">
      <c r="A134" s="55"/>
    </row>
    <row r="135" ht="15.75" customHeight="1">
      <c r="A135" s="55"/>
    </row>
    <row r="136" ht="15.75" customHeight="1">
      <c r="A136" s="55"/>
    </row>
    <row r="137" ht="15.75" customHeight="1">
      <c r="A137" s="55"/>
    </row>
    <row r="138" ht="15.75" customHeight="1">
      <c r="A138" s="55"/>
    </row>
    <row r="139" ht="15.75" customHeight="1">
      <c r="A139" s="55"/>
    </row>
    <row r="140" ht="15.75" customHeight="1">
      <c r="A140" s="55"/>
    </row>
    <row r="141" ht="15.75" customHeight="1">
      <c r="A141" s="55"/>
    </row>
    <row r="142" ht="15.75" customHeight="1">
      <c r="A142" s="55"/>
    </row>
    <row r="143" ht="15.75" customHeight="1">
      <c r="A143" s="55"/>
    </row>
    <row r="144" ht="15.75" customHeight="1">
      <c r="A144" s="55"/>
    </row>
    <row r="145" ht="15.75" customHeight="1">
      <c r="A145" s="55"/>
    </row>
    <row r="146" ht="15.75" customHeight="1">
      <c r="A146" s="55"/>
    </row>
    <row r="147" ht="15.75" customHeight="1">
      <c r="A147" s="55"/>
    </row>
    <row r="148" ht="15.75" customHeight="1">
      <c r="A148" s="55"/>
    </row>
    <row r="149" ht="15.75" customHeight="1">
      <c r="A149" s="55"/>
    </row>
    <row r="150" ht="15.75" customHeight="1">
      <c r="A150" s="55"/>
    </row>
    <row r="151" ht="15.75" customHeight="1">
      <c r="A151" s="55"/>
    </row>
    <row r="152" ht="15.75" customHeight="1">
      <c r="A152" s="55"/>
    </row>
    <row r="153" ht="15.75" customHeight="1">
      <c r="A153" s="55"/>
    </row>
    <row r="154" ht="15.75" customHeight="1">
      <c r="A154" s="55"/>
    </row>
    <row r="155" ht="15.75" customHeight="1">
      <c r="A155" s="55"/>
    </row>
    <row r="156" ht="15.75" customHeight="1">
      <c r="A156" s="55"/>
    </row>
    <row r="157" ht="15.75" customHeight="1">
      <c r="A157" s="55"/>
    </row>
    <row r="158" ht="15.75" customHeight="1">
      <c r="A158" s="55"/>
    </row>
    <row r="159" ht="15.75" customHeight="1">
      <c r="A159" s="55"/>
    </row>
    <row r="160" ht="15.75" customHeight="1">
      <c r="A160" s="55"/>
    </row>
    <row r="161" ht="15.75" customHeight="1">
      <c r="A161" s="55"/>
    </row>
    <row r="162" ht="15.75" customHeight="1">
      <c r="A162" s="55"/>
    </row>
    <row r="163" ht="15.75" customHeight="1">
      <c r="A163" s="55"/>
    </row>
    <row r="164" ht="15.75" customHeight="1">
      <c r="A164" s="55"/>
    </row>
    <row r="165" ht="15.75" customHeight="1">
      <c r="A165" s="55"/>
    </row>
    <row r="166" ht="15.75" customHeight="1">
      <c r="A166" s="55"/>
    </row>
    <row r="167" ht="15.75" customHeight="1">
      <c r="A167" s="55"/>
    </row>
    <row r="168" ht="15.75" customHeight="1">
      <c r="A168" s="55"/>
    </row>
    <row r="169" ht="15.75" customHeight="1">
      <c r="A169" s="55"/>
    </row>
    <row r="170" ht="15.75" customHeight="1">
      <c r="A170" s="55"/>
    </row>
    <row r="171" ht="15.75" customHeight="1">
      <c r="A171" s="55"/>
    </row>
    <row r="172" ht="15.75" customHeight="1">
      <c r="A172" s="55"/>
    </row>
    <row r="173" ht="15.75" customHeight="1">
      <c r="A173" s="55"/>
    </row>
    <row r="174" ht="15.75" customHeight="1">
      <c r="A174" s="55"/>
    </row>
    <row r="175" ht="15.75" customHeight="1">
      <c r="A175" s="55"/>
    </row>
    <row r="176" ht="15.75" customHeight="1">
      <c r="A176" s="55"/>
    </row>
    <row r="177" ht="15.75" customHeight="1">
      <c r="A177" s="55"/>
    </row>
    <row r="178" ht="15.75" customHeight="1">
      <c r="A178" s="55"/>
    </row>
    <row r="179" ht="15.75" customHeight="1">
      <c r="A179" s="55"/>
    </row>
    <row r="180" ht="15.75" customHeight="1">
      <c r="A180" s="55"/>
    </row>
    <row r="181" ht="15.75" customHeight="1">
      <c r="A181" s="55"/>
    </row>
    <row r="182" ht="15.75" customHeight="1">
      <c r="A182" s="55"/>
    </row>
    <row r="183" ht="15.75" customHeight="1">
      <c r="A183" s="55"/>
    </row>
    <row r="184" ht="15.75" customHeight="1">
      <c r="A184" s="55"/>
    </row>
    <row r="185" ht="15.75" customHeight="1">
      <c r="A185" s="55"/>
    </row>
    <row r="186" ht="15.75" customHeight="1">
      <c r="A186" s="55"/>
    </row>
    <row r="187" ht="15.75" customHeight="1">
      <c r="A187" s="55"/>
    </row>
    <row r="188" ht="15.75" customHeight="1">
      <c r="A188" s="55"/>
    </row>
    <row r="189" ht="15.75" customHeight="1">
      <c r="A189" s="55"/>
    </row>
    <row r="190" ht="15.75" customHeight="1">
      <c r="A190" s="55"/>
    </row>
    <row r="191" ht="15.75" customHeight="1">
      <c r="A191" s="55"/>
    </row>
    <row r="192" ht="15.75" customHeight="1">
      <c r="A192" s="55"/>
    </row>
    <row r="193" ht="15.75" customHeight="1">
      <c r="A193" s="55"/>
    </row>
    <row r="194" ht="15.75" customHeight="1">
      <c r="A194" s="55"/>
    </row>
    <row r="195" ht="15.75" customHeight="1">
      <c r="A195" s="55"/>
    </row>
    <row r="196" ht="15.75" customHeight="1">
      <c r="A196" s="55"/>
    </row>
    <row r="197" ht="15.75" customHeight="1">
      <c r="A197" s="55"/>
    </row>
    <row r="198" ht="15.75" customHeight="1">
      <c r="A198" s="55"/>
    </row>
    <row r="199" ht="15.75" customHeight="1">
      <c r="A199" s="55"/>
    </row>
    <row r="200" ht="15.75" customHeight="1">
      <c r="A200" s="55"/>
    </row>
    <row r="201" ht="15.75" customHeight="1">
      <c r="A201" s="55"/>
    </row>
    <row r="202" ht="15.75" customHeight="1">
      <c r="A202" s="55"/>
    </row>
    <row r="203" ht="15.75" customHeight="1">
      <c r="A203" s="55"/>
    </row>
    <row r="204" ht="15.75" customHeight="1">
      <c r="A204" s="55"/>
    </row>
    <row r="205" ht="15.75" customHeight="1">
      <c r="A205" s="55"/>
    </row>
    <row r="206" ht="15.75" customHeight="1">
      <c r="A206" s="55"/>
    </row>
    <row r="207" ht="15.75" customHeight="1">
      <c r="A207" s="55"/>
    </row>
    <row r="208" ht="15.75" customHeight="1">
      <c r="A208" s="55"/>
    </row>
    <row r="209" ht="15.75" customHeight="1">
      <c r="A209" s="55"/>
    </row>
    <row r="210" ht="15.75" customHeight="1">
      <c r="A210" s="55"/>
    </row>
    <row r="211" ht="15.75" customHeight="1">
      <c r="A211" s="55"/>
    </row>
    <row r="212" ht="15.75" customHeight="1">
      <c r="A212" s="55"/>
    </row>
    <row r="213" ht="15.75" customHeight="1">
      <c r="A213" s="55"/>
    </row>
    <row r="214" ht="15.75" customHeight="1">
      <c r="A214" s="55"/>
    </row>
    <row r="215" ht="15.75" customHeight="1">
      <c r="A215" s="55"/>
    </row>
    <row r="216" ht="15.75" customHeight="1">
      <c r="A216" s="55"/>
    </row>
    <row r="217" ht="15.75" customHeight="1">
      <c r="A217" s="55"/>
    </row>
    <row r="218" ht="15.75" customHeight="1">
      <c r="A218" s="55"/>
    </row>
    <row r="219" ht="15.75" customHeight="1">
      <c r="A219" s="55"/>
    </row>
    <row r="220" ht="15.75" customHeight="1">
      <c r="A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55"/>
      <c r="BE223" s="55"/>
      <c r="BF223" s="55"/>
      <c r="BG223" s="55"/>
      <c r="BH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  <c r="BH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  <c r="BH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55"/>
      <c r="BH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55"/>
      <c r="BE243" s="55"/>
      <c r="BF243" s="55"/>
      <c r="BG243" s="55"/>
      <c r="BH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  <c r="BH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55"/>
      <c r="BH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  <c r="BG251" s="55"/>
      <c r="BH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  <c r="BH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  <c r="BD256" s="55"/>
      <c r="BE256" s="55"/>
      <c r="BF256" s="55"/>
      <c r="BG256" s="55"/>
      <c r="BH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55"/>
      <c r="BH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55"/>
      <c r="BE258" s="55"/>
      <c r="BF258" s="55"/>
      <c r="BG258" s="55"/>
      <c r="BH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  <c r="BD260" s="55"/>
      <c r="BE260" s="55"/>
      <c r="BF260" s="55"/>
      <c r="BG260" s="55"/>
      <c r="BH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  <c r="BD263" s="55"/>
      <c r="BE263" s="55"/>
      <c r="BF263" s="55"/>
      <c r="BG263" s="55"/>
      <c r="BH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  <c r="BD264" s="55"/>
      <c r="BE264" s="55"/>
      <c r="BF264" s="55"/>
      <c r="BG264" s="55"/>
      <c r="BH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  <c r="BD266" s="55"/>
      <c r="BE266" s="55"/>
      <c r="BF266" s="55"/>
      <c r="BG266" s="55"/>
      <c r="BH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  <c r="BH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  <c r="BH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  <c r="BH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  <c r="BH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  <c r="BD271" s="55"/>
      <c r="BE271" s="55"/>
      <c r="BF271" s="55"/>
      <c r="BG271" s="55"/>
      <c r="BH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  <c r="BD272" s="55"/>
      <c r="BE272" s="55"/>
      <c r="BF272" s="55"/>
      <c r="BG272" s="55"/>
      <c r="BH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  <c r="BD273" s="55"/>
      <c r="BE273" s="55"/>
      <c r="BF273" s="55"/>
      <c r="BG273" s="55"/>
      <c r="BH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  <c r="BG274" s="55"/>
      <c r="BH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  <c r="BD275" s="55"/>
      <c r="BE275" s="55"/>
      <c r="BF275" s="55"/>
      <c r="BG275" s="55"/>
      <c r="BH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  <c r="BD276" s="55"/>
      <c r="BE276" s="55"/>
      <c r="BF276" s="55"/>
      <c r="BG276" s="55"/>
      <c r="BH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55"/>
      <c r="BE277" s="55"/>
      <c r="BF277" s="55"/>
      <c r="BG277" s="55"/>
      <c r="BH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  <c r="BD278" s="55"/>
      <c r="BE278" s="55"/>
      <c r="BF278" s="55"/>
      <c r="BG278" s="55"/>
      <c r="BH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  <c r="BD279" s="55"/>
      <c r="BE279" s="55"/>
      <c r="BF279" s="55"/>
      <c r="BG279" s="55"/>
      <c r="BH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  <c r="BD280" s="55"/>
      <c r="BE280" s="55"/>
      <c r="BF280" s="55"/>
      <c r="BG280" s="55"/>
      <c r="BH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55"/>
      <c r="BE281" s="55"/>
      <c r="BF281" s="55"/>
      <c r="BG281" s="55"/>
      <c r="BH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55"/>
      <c r="BE282" s="55"/>
      <c r="BF282" s="55"/>
      <c r="BG282" s="55"/>
      <c r="BH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  <c r="BD283" s="55"/>
      <c r="BE283" s="55"/>
      <c r="BF283" s="55"/>
      <c r="BG283" s="55"/>
      <c r="BH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  <c r="BD284" s="55"/>
      <c r="BE284" s="55"/>
      <c r="BF284" s="55"/>
      <c r="BG284" s="55"/>
      <c r="BH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  <c r="BD285" s="55"/>
      <c r="BE285" s="55"/>
      <c r="BF285" s="55"/>
      <c r="BG285" s="55"/>
      <c r="BH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  <c r="BD286" s="55"/>
      <c r="BE286" s="55"/>
      <c r="BF286" s="55"/>
      <c r="BG286" s="55"/>
      <c r="BH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  <c r="BD287" s="55"/>
      <c r="BE287" s="55"/>
      <c r="BF287" s="55"/>
      <c r="BG287" s="55"/>
      <c r="BH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  <c r="BD288" s="55"/>
      <c r="BE288" s="55"/>
      <c r="BF288" s="55"/>
      <c r="BG288" s="55"/>
      <c r="BH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  <c r="BD289" s="55"/>
      <c r="BE289" s="55"/>
      <c r="BF289" s="55"/>
      <c r="BG289" s="55"/>
      <c r="BH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  <c r="BD290" s="55"/>
      <c r="BE290" s="55"/>
      <c r="BF290" s="55"/>
      <c r="BG290" s="55"/>
      <c r="BH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55"/>
      <c r="BE291" s="55"/>
      <c r="BF291" s="55"/>
      <c r="BG291" s="55"/>
      <c r="BH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  <c r="BD293" s="55"/>
      <c r="BE293" s="55"/>
      <c r="BF293" s="55"/>
      <c r="BG293" s="55"/>
      <c r="BH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  <c r="BD294" s="55"/>
      <c r="BE294" s="55"/>
      <c r="BF294" s="55"/>
      <c r="BG294" s="55"/>
      <c r="BH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  <c r="BD295" s="55"/>
      <c r="BE295" s="55"/>
      <c r="BF295" s="55"/>
      <c r="BG295" s="55"/>
      <c r="BH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  <c r="BD296" s="55"/>
      <c r="BE296" s="55"/>
      <c r="BF296" s="55"/>
      <c r="BG296" s="55"/>
      <c r="BH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  <c r="BD297" s="55"/>
      <c r="BE297" s="55"/>
      <c r="BF297" s="55"/>
      <c r="BG297" s="55"/>
      <c r="BH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55"/>
      <c r="BE298" s="55"/>
      <c r="BF298" s="55"/>
      <c r="BG298" s="55"/>
      <c r="BH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  <c r="BD299" s="55"/>
      <c r="BE299" s="55"/>
      <c r="BF299" s="55"/>
      <c r="BG299" s="55"/>
      <c r="BH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  <c r="BD300" s="55"/>
      <c r="BE300" s="55"/>
      <c r="BF300" s="55"/>
      <c r="BG300" s="55"/>
      <c r="BH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  <c r="BD301" s="55"/>
      <c r="BE301" s="55"/>
      <c r="BF301" s="55"/>
      <c r="BG301" s="55"/>
      <c r="BH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  <c r="BD302" s="55"/>
      <c r="BE302" s="55"/>
      <c r="BF302" s="55"/>
      <c r="BG302" s="55"/>
      <c r="BH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  <c r="BD303" s="55"/>
      <c r="BE303" s="55"/>
      <c r="BF303" s="55"/>
      <c r="BG303" s="55"/>
      <c r="BH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  <c r="BD304" s="55"/>
      <c r="BE304" s="55"/>
      <c r="BF304" s="55"/>
      <c r="BG304" s="55"/>
      <c r="BH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  <c r="BD305" s="55"/>
      <c r="BE305" s="55"/>
      <c r="BF305" s="55"/>
      <c r="BG305" s="55"/>
      <c r="BH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  <c r="BH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55"/>
      <c r="BE307" s="55"/>
      <c r="BF307" s="55"/>
      <c r="BG307" s="55"/>
      <c r="BH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  <c r="BG308" s="55"/>
      <c r="BH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  <c r="BD309" s="55"/>
      <c r="BE309" s="55"/>
      <c r="BF309" s="55"/>
      <c r="BG309" s="55"/>
      <c r="BH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55"/>
      <c r="BE310" s="55"/>
      <c r="BF310" s="55"/>
      <c r="BG310" s="55"/>
      <c r="BH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  <c r="BD311" s="55"/>
      <c r="BE311" s="55"/>
      <c r="BF311" s="55"/>
      <c r="BG311" s="55"/>
      <c r="BH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  <c r="BD312" s="55"/>
      <c r="BE312" s="55"/>
      <c r="BF312" s="55"/>
      <c r="BG312" s="55"/>
      <c r="BH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  <c r="BD313" s="55"/>
      <c r="BE313" s="55"/>
      <c r="BF313" s="55"/>
      <c r="BG313" s="55"/>
      <c r="BH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  <c r="BG314" s="55"/>
      <c r="BH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  <c r="BD315" s="55"/>
      <c r="BE315" s="55"/>
      <c r="BF315" s="55"/>
      <c r="BG315" s="55"/>
      <c r="BH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  <c r="BD316" s="55"/>
      <c r="BE316" s="55"/>
      <c r="BF316" s="55"/>
      <c r="BG316" s="55"/>
      <c r="BH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55"/>
      <c r="BE317" s="55"/>
      <c r="BF317" s="55"/>
      <c r="BG317" s="55"/>
      <c r="BH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  <c r="BD318" s="55"/>
      <c r="BE318" s="55"/>
      <c r="BF318" s="55"/>
      <c r="BG318" s="55"/>
      <c r="BH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  <c r="BD319" s="55"/>
      <c r="BE319" s="55"/>
      <c r="BF319" s="55"/>
      <c r="BG319" s="55"/>
      <c r="BH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  <c r="BD320" s="55"/>
      <c r="BE320" s="55"/>
      <c r="BF320" s="55"/>
      <c r="BG320" s="55"/>
      <c r="BH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  <c r="BD321" s="55"/>
      <c r="BE321" s="55"/>
      <c r="BF321" s="55"/>
      <c r="BG321" s="55"/>
      <c r="BH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  <c r="BD322" s="55"/>
      <c r="BE322" s="55"/>
      <c r="BF322" s="55"/>
      <c r="BG322" s="55"/>
      <c r="BH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  <c r="BD323" s="55"/>
      <c r="BE323" s="55"/>
      <c r="BF323" s="55"/>
      <c r="BG323" s="55"/>
      <c r="BH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  <c r="BD324" s="55"/>
      <c r="BE324" s="55"/>
      <c r="BF324" s="55"/>
      <c r="BG324" s="55"/>
      <c r="BH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/>
      <c r="BH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  <c r="BD326" s="55"/>
      <c r="BE326" s="55"/>
      <c r="BF326" s="55"/>
      <c r="BG326" s="55"/>
      <c r="BH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  <c r="BD327" s="55"/>
      <c r="BE327" s="55"/>
      <c r="BF327" s="55"/>
      <c r="BG327" s="55"/>
      <c r="BH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55"/>
      <c r="BE328" s="55"/>
      <c r="BF328" s="55"/>
      <c r="BG328" s="55"/>
      <c r="BH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  <c r="BD329" s="55"/>
      <c r="BE329" s="55"/>
      <c r="BF329" s="55"/>
      <c r="BG329" s="55"/>
      <c r="BH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55"/>
      <c r="BE330" s="55"/>
      <c r="BF330" s="55"/>
      <c r="BG330" s="55"/>
      <c r="BH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  <c r="BD331" s="55"/>
      <c r="BE331" s="55"/>
      <c r="BF331" s="55"/>
      <c r="BG331" s="55"/>
      <c r="BH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  <c r="BD332" s="55"/>
      <c r="BE332" s="55"/>
      <c r="BF332" s="55"/>
      <c r="BG332" s="55"/>
      <c r="BH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  <c r="BD333" s="55"/>
      <c r="BE333" s="55"/>
      <c r="BF333" s="55"/>
      <c r="BG333" s="55"/>
      <c r="BH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  <c r="BG334" s="55"/>
      <c r="BH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  <c r="BD335" s="55"/>
      <c r="BE335" s="55"/>
      <c r="BF335" s="55"/>
      <c r="BG335" s="55"/>
      <c r="BH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  <c r="BD336" s="55"/>
      <c r="BE336" s="55"/>
      <c r="BF336" s="55"/>
      <c r="BG336" s="55"/>
      <c r="BH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  <c r="BD337" s="55"/>
      <c r="BE337" s="55"/>
      <c r="BF337" s="55"/>
      <c r="BG337" s="55"/>
      <c r="BH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  <c r="BD338" s="55"/>
      <c r="BE338" s="55"/>
      <c r="BF338" s="55"/>
      <c r="BG338" s="55"/>
      <c r="BH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  <c r="BD339" s="55"/>
      <c r="BE339" s="55"/>
      <c r="BF339" s="55"/>
      <c r="BG339" s="55"/>
      <c r="BH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  <c r="BD340" s="55"/>
      <c r="BE340" s="55"/>
      <c r="BF340" s="55"/>
      <c r="BG340" s="55"/>
      <c r="BH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  <c r="BD341" s="55"/>
      <c r="BE341" s="55"/>
      <c r="BF341" s="55"/>
      <c r="BG341" s="55"/>
      <c r="BH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  <c r="BD342" s="55"/>
      <c r="BE342" s="55"/>
      <c r="BF342" s="55"/>
      <c r="BG342" s="55"/>
      <c r="BH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  <c r="BD343" s="55"/>
      <c r="BE343" s="55"/>
      <c r="BF343" s="55"/>
      <c r="BG343" s="55"/>
      <c r="BH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  <c r="BD344" s="55"/>
      <c r="BE344" s="55"/>
      <c r="BF344" s="55"/>
      <c r="BG344" s="55"/>
      <c r="BH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  <c r="BD345" s="55"/>
      <c r="BE345" s="55"/>
      <c r="BF345" s="55"/>
      <c r="BG345" s="55"/>
      <c r="BH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  <c r="BD346" s="55"/>
      <c r="BE346" s="55"/>
      <c r="BF346" s="55"/>
      <c r="BG346" s="55"/>
      <c r="BH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  <c r="BD347" s="55"/>
      <c r="BE347" s="55"/>
      <c r="BF347" s="55"/>
      <c r="BG347" s="55"/>
      <c r="BH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  <c r="BD348" s="55"/>
      <c r="BE348" s="55"/>
      <c r="BF348" s="55"/>
      <c r="BG348" s="55"/>
      <c r="BH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  <c r="BG349" s="55"/>
      <c r="BH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  <c r="BD350" s="55"/>
      <c r="BE350" s="55"/>
      <c r="BF350" s="55"/>
      <c r="BG350" s="55"/>
      <c r="BH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  <c r="BD351" s="55"/>
      <c r="BE351" s="55"/>
      <c r="BF351" s="55"/>
      <c r="BG351" s="55"/>
      <c r="BH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  <c r="BD352" s="55"/>
      <c r="BE352" s="55"/>
      <c r="BF352" s="55"/>
      <c r="BG352" s="55"/>
      <c r="BH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  <c r="BD353" s="55"/>
      <c r="BE353" s="55"/>
      <c r="BF353" s="55"/>
      <c r="BG353" s="55"/>
      <c r="BH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  <c r="BD354" s="55"/>
      <c r="BE354" s="55"/>
      <c r="BF354" s="55"/>
      <c r="BG354" s="55"/>
      <c r="BH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/>
      <c r="BF355" s="55"/>
      <c r="BG355" s="55"/>
      <c r="BH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  <c r="BG356" s="55"/>
      <c r="BH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  <c r="BD357" s="55"/>
      <c r="BE357" s="55"/>
      <c r="BF357" s="55"/>
      <c r="BG357" s="55"/>
      <c r="BH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  <c r="BD359" s="55"/>
      <c r="BE359" s="55"/>
      <c r="BF359" s="55"/>
      <c r="BG359" s="55"/>
      <c r="BH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  <c r="BD360" s="55"/>
      <c r="BE360" s="55"/>
      <c r="BF360" s="55"/>
      <c r="BG360" s="55"/>
      <c r="BH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  <c r="BH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  <c r="BG364" s="55"/>
      <c r="BH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  <c r="BH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  <c r="BD367" s="55"/>
      <c r="BE367" s="55"/>
      <c r="BF367" s="55"/>
      <c r="BG367" s="55"/>
      <c r="BH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  <c r="BG368" s="55"/>
      <c r="BH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  <c r="BG369" s="55"/>
      <c r="BH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  <c r="BD370" s="55"/>
      <c r="BE370" s="55"/>
      <c r="BF370" s="55"/>
      <c r="BG370" s="55"/>
      <c r="BH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  <c r="BD371" s="55"/>
      <c r="BE371" s="55"/>
      <c r="BF371" s="55"/>
      <c r="BG371" s="55"/>
      <c r="BH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  <c r="BH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  <c r="BD373" s="55"/>
      <c r="BE373" s="55"/>
      <c r="BF373" s="55"/>
      <c r="BG373" s="55"/>
      <c r="BH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  <c r="BD375" s="55"/>
      <c r="BE375" s="55"/>
      <c r="BF375" s="55"/>
      <c r="BG375" s="55"/>
      <c r="BH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  <c r="BD376" s="55"/>
      <c r="BE376" s="55"/>
      <c r="BF376" s="55"/>
      <c r="BG376" s="55"/>
      <c r="BH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  <c r="BD377" s="55"/>
      <c r="BE377" s="55"/>
      <c r="BF377" s="55"/>
      <c r="BG377" s="55"/>
      <c r="BH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  <c r="BD379" s="55"/>
      <c r="BE379" s="55"/>
      <c r="BF379" s="55"/>
      <c r="BG379" s="55"/>
      <c r="BH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  <c r="BD381" s="55"/>
      <c r="BE381" s="55"/>
      <c r="BF381" s="55"/>
      <c r="BG381" s="55"/>
      <c r="BH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/>
      <c r="BE382" s="55"/>
      <c r="BF382" s="55"/>
      <c r="BG382" s="55"/>
      <c r="BH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/>
      <c r="BE383" s="55"/>
      <c r="BF383" s="55"/>
      <c r="BG383" s="55"/>
      <c r="BH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  <c r="BD384" s="55"/>
      <c r="BE384" s="55"/>
      <c r="BF384" s="55"/>
      <c r="BG384" s="55"/>
      <c r="BH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  <c r="BD385" s="55"/>
      <c r="BE385" s="55"/>
      <c r="BF385" s="55"/>
      <c r="BG385" s="55"/>
      <c r="BH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  <c r="BD386" s="55"/>
      <c r="BE386" s="55"/>
      <c r="BF386" s="55"/>
      <c r="BG386" s="55"/>
      <c r="BH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  <c r="BD387" s="55"/>
      <c r="BE387" s="55"/>
      <c r="BF387" s="55"/>
      <c r="BG387" s="55"/>
      <c r="BH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  <c r="BD388" s="55"/>
      <c r="BE388" s="55"/>
      <c r="BF388" s="55"/>
      <c r="BG388" s="55"/>
      <c r="BH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  <c r="BG389" s="55"/>
      <c r="BH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  <c r="BD390" s="55"/>
      <c r="BE390" s="55"/>
      <c r="BF390" s="55"/>
      <c r="BG390" s="55"/>
      <c r="BH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  <c r="BD391" s="55"/>
      <c r="BE391" s="55"/>
      <c r="BF391" s="55"/>
      <c r="BG391" s="55"/>
      <c r="BH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  <c r="BD392" s="55"/>
      <c r="BE392" s="55"/>
      <c r="BF392" s="55"/>
      <c r="BG392" s="55"/>
      <c r="BH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  <c r="BD393" s="55"/>
      <c r="BE393" s="55"/>
      <c r="BF393" s="55"/>
      <c r="BG393" s="55"/>
      <c r="BH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  <c r="BD394" s="55"/>
      <c r="BE394" s="55"/>
      <c r="BF394" s="55"/>
      <c r="BG394" s="55"/>
      <c r="BH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  <c r="BD395" s="55"/>
      <c r="BE395" s="55"/>
      <c r="BF395" s="55"/>
      <c r="BG395" s="55"/>
      <c r="BH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  <c r="BD396" s="55"/>
      <c r="BE396" s="55"/>
      <c r="BF396" s="55"/>
      <c r="BG396" s="55"/>
      <c r="BH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  <c r="BD397" s="55"/>
      <c r="BE397" s="55"/>
      <c r="BF397" s="55"/>
      <c r="BG397" s="55"/>
      <c r="BH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  <c r="BD398" s="55"/>
      <c r="BE398" s="55"/>
      <c r="BF398" s="55"/>
      <c r="BG398" s="55"/>
      <c r="BH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  <c r="BD399" s="55"/>
      <c r="BE399" s="55"/>
      <c r="BF399" s="55"/>
      <c r="BG399" s="55"/>
      <c r="BH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  <c r="BD400" s="55"/>
      <c r="BE400" s="55"/>
      <c r="BF400" s="55"/>
      <c r="BG400" s="55"/>
      <c r="BH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  <c r="BD401" s="55"/>
      <c r="BE401" s="55"/>
      <c r="BF401" s="55"/>
      <c r="BG401" s="55"/>
      <c r="BH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  <c r="BD402" s="55"/>
      <c r="BE402" s="55"/>
      <c r="BF402" s="55"/>
      <c r="BG402" s="55"/>
      <c r="BH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  <c r="BD403" s="55"/>
      <c r="BE403" s="55"/>
      <c r="BF403" s="55"/>
      <c r="BG403" s="55"/>
      <c r="BH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  <c r="BD404" s="55"/>
      <c r="BE404" s="55"/>
      <c r="BF404" s="55"/>
      <c r="BG404" s="55"/>
      <c r="BH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  <c r="BD405" s="55"/>
      <c r="BE405" s="55"/>
      <c r="BF405" s="55"/>
      <c r="BG405" s="55"/>
      <c r="BH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  <c r="BD406" s="55"/>
      <c r="BE406" s="55"/>
      <c r="BF406" s="55"/>
      <c r="BG406" s="55"/>
      <c r="BH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  <c r="BD407" s="55"/>
      <c r="BE407" s="55"/>
      <c r="BF407" s="55"/>
      <c r="BG407" s="55"/>
      <c r="BH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  <c r="BD408" s="55"/>
      <c r="BE408" s="55"/>
      <c r="BF408" s="55"/>
      <c r="BG408" s="55"/>
      <c r="BH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  <c r="BD409" s="55"/>
      <c r="BE409" s="55"/>
      <c r="BF409" s="55"/>
      <c r="BG409" s="55"/>
      <c r="BH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  <c r="BD410" s="55"/>
      <c r="BE410" s="55"/>
      <c r="BF410" s="55"/>
      <c r="BG410" s="55"/>
      <c r="BH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  <c r="BD411" s="55"/>
      <c r="BE411" s="55"/>
      <c r="BF411" s="55"/>
      <c r="BG411" s="55"/>
      <c r="BH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  <c r="BD412" s="55"/>
      <c r="BE412" s="55"/>
      <c r="BF412" s="55"/>
      <c r="BG412" s="55"/>
      <c r="BH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  <c r="BG413" s="55"/>
      <c r="BH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  <c r="BH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/>
      <c r="BH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  <c r="BD416" s="55"/>
      <c r="BE416" s="55"/>
      <c r="BF416" s="55"/>
      <c r="BG416" s="55"/>
      <c r="BH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  <c r="BD417" s="55"/>
      <c r="BE417" s="55"/>
      <c r="BF417" s="55"/>
      <c r="BG417" s="55"/>
      <c r="BH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  <c r="BD418" s="55"/>
      <c r="BE418" s="55"/>
      <c r="BF418" s="55"/>
      <c r="BG418" s="55"/>
      <c r="BH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  <c r="BD419" s="55"/>
      <c r="BE419" s="55"/>
      <c r="BF419" s="55"/>
      <c r="BG419" s="55"/>
      <c r="BH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  <c r="BD420" s="55"/>
      <c r="BE420" s="55"/>
      <c r="BF420" s="55"/>
      <c r="BG420" s="55"/>
      <c r="BH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  <c r="BD421" s="55"/>
      <c r="BE421" s="55"/>
      <c r="BF421" s="55"/>
      <c r="BG421" s="55"/>
      <c r="BH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  <c r="BD422" s="55"/>
      <c r="BE422" s="55"/>
      <c r="BF422" s="55"/>
      <c r="BG422" s="55"/>
      <c r="BH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  <c r="BD423" s="55"/>
      <c r="BE423" s="55"/>
      <c r="BF423" s="55"/>
      <c r="BG423" s="55"/>
      <c r="BH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  <c r="BD424" s="55"/>
      <c r="BE424" s="55"/>
      <c r="BF424" s="55"/>
      <c r="BG424" s="55"/>
      <c r="BH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  <c r="BD425" s="55"/>
      <c r="BE425" s="55"/>
      <c r="BF425" s="55"/>
      <c r="BG425" s="55"/>
      <c r="BH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  <c r="BD426" s="55"/>
      <c r="BE426" s="55"/>
      <c r="BF426" s="55"/>
      <c r="BG426" s="55"/>
      <c r="BH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  <c r="BD427" s="55"/>
      <c r="BE427" s="55"/>
      <c r="BF427" s="55"/>
      <c r="BG427" s="55"/>
      <c r="BH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  <c r="BH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  <c r="BG430" s="55"/>
      <c r="BH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  <c r="BD431" s="55"/>
      <c r="BE431" s="55"/>
      <c r="BF431" s="55"/>
      <c r="BG431" s="55"/>
      <c r="BH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  <c r="BD432" s="55"/>
      <c r="BE432" s="55"/>
      <c r="BF432" s="55"/>
      <c r="BG432" s="55"/>
      <c r="BH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  <c r="BH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  <c r="BD434" s="55"/>
      <c r="BE434" s="55"/>
      <c r="BF434" s="55"/>
      <c r="BG434" s="55"/>
      <c r="BH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  <c r="BG436" s="55"/>
      <c r="BH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  <c r="BD437" s="55"/>
      <c r="BE437" s="55"/>
      <c r="BF437" s="55"/>
      <c r="BG437" s="55"/>
      <c r="BH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  <c r="BH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  <c r="BG439" s="55"/>
      <c r="BH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  <c r="BD440" s="55"/>
      <c r="BE440" s="55"/>
      <c r="BF440" s="55"/>
      <c r="BG440" s="55"/>
      <c r="BH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  <c r="BD441" s="55"/>
      <c r="BE441" s="55"/>
      <c r="BF441" s="55"/>
      <c r="BG441" s="55"/>
      <c r="BH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  <c r="BD442" s="55"/>
      <c r="BE442" s="55"/>
      <c r="BF442" s="55"/>
      <c r="BG442" s="55"/>
      <c r="BH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  <c r="BD443" s="55"/>
      <c r="BE443" s="55"/>
      <c r="BF443" s="55"/>
      <c r="BG443" s="55"/>
      <c r="BH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  <c r="BD444" s="55"/>
      <c r="BE444" s="55"/>
      <c r="BF444" s="55"/>
      <c r="BG444" s="55"/>
      <c r="BH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  <c r="BH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  <c r="BD446" s="55"/>
      <c r="BE446" s="55"/>
      <c r="BF446" s="55"/>
      <c r="BG446" s="55"/>
      <c r="BH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  <c r="BD447" s="55"/>
      <c r="BE447" s="55"/>
      <c r="BF447" s="55"/>
      <c r="BG447" s="55"/>
      <c r="BH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  <c r="BD448" s="55"/>
      <c r="BE448" s="55"/>
      <c r="BF448" s="55"/>
      <c r="BG448" s="55"/>
      <c r="BH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  <c r="BD449" s="55"/>
      <c r="BE449" s="55"/>
      <c r="BF449" s="55"/>
      <c r="BG449" s="55"/>
      <c r="BH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  <c r="BD450" s="55"/>
      <c r="BE450" s="55"/>
      <c r="BF450" s="55"/>
      <c r="BG450" s="55"/>
      <c r="BH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  <c r="BD451" s="55"/>
      <c r="BE451" s="55"/>
      <c r="BF451" s="55"/>
      <c r="BG451" s="55"/>
      <c r="BH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  <c r="BD452" s="55"/>
      <c r="BE452" s="55"/>
      <c r="BF452" s="55"/>
      <c r="BG452" s="55"/>
      <c r="BH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  <c r="BG453" s="55"/>
      <c r="BH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  <c r="BD454" s="55"/>
      <c r="BE454" s="55"/>
      <c r="BF454" s="55"/>
      <c r="BG454" s="55"/>
      <c r="BH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  <c r="BD455" s="55"/>
      <c r="BE455" s="55"/>
      <c r="BF455" s="55"/>
      <c r="BG455" s="55"/>
      <c r="BH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  <c r="BD456" s="55"/>
      <c r="BE456" s="55"/>
      <c r="BF456" s="55"/>
      <c r="BG456" s="55"/>
      <c r="BH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  <c r="BD457" s="55"/>
      <c r="BE457" s="55"/>
      <c r="BF457" s="55"/>
      <c r="BG457" s="55"/>
      <c r="BH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  <c r="BD458" s="55"/>
      <c r="BE458" s="55"/>
      <c r="BF458" s="55"/>
      <c r="BG458" s="55"/>
      <c r="BH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  <c r="BD459" s="55"/>
      <c r="BE459" s="55"/>
      <c r="BF459" s="55"/>
      <c r="BG459" s="55"/>
      <c r="BH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  <c r="BD460" s="55"/>
      <c r="BE460" s="55"/>
      <c r="BF460" s="55"/>
      <c r="BG460" s="55"/>
      <c r="BH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  <c r="BD461" s="55"/>
      <c r="BE461" s="55"/>
      <c r="BF461" s="55"/>
      <c r="BG461" s="55"/>
      <c r="BH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  <c r="BD462" s="55"/>
      <c r="BE462" s="55"/>
      <c r="BF462" s="55"/>
      <c r="BG462" s="55"/>
      <c r="BH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  <c r="BD463" s="55"/>
      <c r="BE463" s="55"/>
      <c r="BF463" s="55"/>
      <c r="BG463" s="55"/>
      <c r="BH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  <c r="BD464" s="55"/>
      <c r="BE464" s="55"/>
      <c r="BF464" s="55"/>
      <c r="BG464" s="55"/>
      <c r="BH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  <c r="BD465" s="55"/>
      <c r="BE465" s="55"/>
      <c r="BF465" s="55"/>
      <c r="BG465" s="55"/>
      <c r="BH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  <c r="BD466" s="55"/>
      <c r="BE466" s="55"/>
      <c r="BF466" s="55"/>
      <c r="BG466" s="55"/>
      <c r="BH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  <c r="BD467" s="55"/>
      <c r="BE467" s="55"/>
      <c r="BF467" s="55"/>
      <c r="BG467" s="55"/>
      <c r="BH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  <c r="BD468" s="55"/>
      <c r="BE468" s="55"/>
      <c r="BF468" s="55"/>
      <c r="BG468" s="55"/>
      <c r="BH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  <c r="BD469" s="55"/>
      <c r="BE469" s="55"/>
      <c r="BF469" s="55"/>
      <c r="BG469" s="55"/>
      <c r="BH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  <c r="BD470" s="55"/>
      <c r="BE470" s="55"/>
      <c r="BF470" s="55"/>
      <c r="BG470" s="55"/>
      <c r="BH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  <c r="BD471" s="55"/>
      <c r="BE471" s="55"/>
      <c r="BF471" s="55"/>
      <c r="BG471" s="55"/>
      <c r="BH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  <c r="BD472" s="55"/>
      <c r="BE472" s="55"/>
      <c r="BF472" s="55"/>
      <c r="BG472" s="55"/>
      <c r="BH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  <c r="BD473" s="55"/>
      <c r="BE473" s="55"/>
      <c r="BF473" s="55"/>
      <c r="BG473" s="55"/>
      <c r="BH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  <c r="BD474" s="55"/>
      <c r="BE474" s="55"/>
      <c r="BF474" s="55"/>
      <c r="BG474" s="55"/>
      <c r="BH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  <c r="BD475" s="55"/>
      <c r="BE475" s="55"/>
      <c r="BF475" s="55"/>
      <c r="BG475" s="55"/>
      <c r="BH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  <c r="BD476" s="55"/>
      <c r="BE476" s="55"/>
      <c r="BF476" s="55"/>
      <c r="BG476" s="55"/>
      <c r="BH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  <c r="BD477" s="55"/>
      <c r="BE477" s="55"/>
      <c r="BF477" s="55"/>
      <c r="BG477" s="55"/>
      <c r="BH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  <c r="BD478" s="55"/>
      <c r="BE478" s="55"/>
      <c r="BF478" s="55"/>
      <c r="BG478" s="55"/>
      <c r="BH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  <c r="BD479" s="55"/>
      <c r="BE479" s="55"/>
      <c r="BF479" s="55"/>
      <c r="BG479" s="55"/>
      <c r="BH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  <c r="BG480" s="55"/>
      <c r="BH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  <c r="BH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  <c r="BD482" s="55"/>
      <c r="BE482" s="55"/>
      <c r="BF482" s="55"/>
      <c r="BG482" s="55"/>
      <c r="BH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  <c r="BD483" s="55"/>
      <c r="BE483" s="55"/>
      <c r="BF483" s="55"/>
      <c r="BG483" s="55"/>
      <c r="BH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  <c r="BD484" s="55"/>
      <c r="BE484" s="55"/>
      <c r="BF484" s="55"/>
      <c r="BG484" s="55"/>
      <c r="BH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  <c r="BD485" s="55"/>
      <c r="BE485" s="55"/>
      <c r="BF485" s="55"/>
      <c r="BG485" s="55"/>
      <c r="BH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  <c r="BD486" s="55"/>
      <c r="BE486" s="55"/>
      <c r="BF486" s="55"/>
      <c r="BG486" s="55"/>
      <c r="BH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  <c r="BD487" s="55"/>
      <c r="BE487" s="55"/>
      <c r="BF487" s="55"/>
      <c r="BG487" s="55"/>
      <c r="BH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  <c r="BD488" s="55"/>
      <c r="BE488" s="55"/>
      <c r="BF488" s="55"/>
      <c r="BG488" s="55"/>
      <c r="BH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  <c r="BD489" s="55"/>
      <c r="BE489" s="55"/>
      <c r="BF489" s="55"/>
      <c r="BG489" s="55"/>
      <c r="BH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  <c r="BD490" s="55"/>
      <c r="BE490" s="55"/>
      <c r="BF490" s="55"/>
      <c r="BG490" s="55"/>
      <c r="BH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  <c r="BD491" s="55"/>
      <c r="BE491" s="55"/>
      <c r="BF491" s="55"/>
      <c r="BG491" s="55"/>
      <c r="BH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  <c r="BD492" s="55"/>
      <c r="BE492" s="55"/>
      <c r="BF492" s="55"/>
      <c r="BG492" s="55"/>
      <c r="BH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  <c r="BD493" s="55"/>
      <c r="BE493" s="55"/>
      <c r="BF493" s="55"/>
      <c r="BG493" s="55"/>
      <c r="BH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  <c r="BD494" s="55"/>
      <c r="BE494" s="55"/>
      <c r="BF494" s="55"/>
      <c r="BG494" s="55"/>
      <c r="BH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  <c r="BD495" s="55"/>
      <c r="BE495" s="55"/>
      <c r="BF495" s="55"/>
      <c r="BG495" s="55"/>
      <c r="BH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  <c r="BD496" s="55"/>
      <c r="BE496" s="55"/>
      <c r="BF496" s="55"/>
      <c r="BG496" s="55"/>
      <c r="BH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  <c r="BD497" s="55"/>
      <c r="BE497" s="55"/>
      <c r="BF497" s="55"/>
      <c r="BG497" s="55"/>
      <c r="BH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  <c r="BD498" s="55"/>
      <c r="BE498" s="55"/>
      <c r="BF498" s="55"/>
      <c r="BG498" s="55"/>
      <c r="BH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  <c r="BD499" s="55"/>
      <c r="BE499" s="55"/>
      <c r="BF499" s="55"/>
      <c r="BG499" s="55"/>
      <c r="BH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  <c r="BD500" s="55"/>
      <c r="BE500" s="55"/>
      <c r="BF500" s="55"/>
      <c r="BG500" s="55"/>
      <c r="BH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  <c r="BD501" s="55"/>
      <c r="BE501" s="55"/>
      <c r="BF501" s="55"/>
      <c r="BG501" s="55"/>
      <c r="BH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  <c r="BD502" s="55"/>
      <c r="BE502" s="55"/>
      <c r="BF502" s="55"/>
      <c r="BG502" s="55"/>
      <c r="BH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  <c r="BD503" s="55"/>
      <c r="BE503" s="55"/>
      <c r="BF503" s="55"/>
      <c r="BG503" s="55"/>
      <c r="BH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  <c r="BD504" s="55"/>
      <c r="BE504" s="55"/>
      <c r="BF504" s="55"/>
      <c r="BG504" s="55"/>
      <c r="BH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  <c r="BD505" s="55"/>
      <c r="BE505" s="55"/>
      <c r="BF505" s="55"/>
      <c r="BG505" s="55"/>
      <c r="BH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  <c r="BD506" s="55"/>
      <c r="BE506" s="55"/>
      <c r="BF506" s="55"/>
      <c r="BG506" s="55"/>
      <c r="BH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  <c r="BD507" s="55"/>
      <c r="BE507" s="55"/>
      <c r="BF507" s="55"/>
      <c r="BG507" s="55"/>
      <c r="BH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  <c r="BD508" s="55"/>
      <c r="BE508" s="55"/>
      <c r="BF508" s="55"/>
      <c r="BG508" s="55"/>
      <c r="BH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  <c r="BD509" s="55"/>
      <c r="BE509" s="55"/>
      <c r="BF509" s="55"/>
      <c r="BG509" s="55"/>
      <c r="BH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  <c r="BD510" s="55"/>
      <c r="BE510" s="55"/>
      <c r="BF510" s="55"/>
      <c r="BG510" s="55"/>
      <c r="BH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  <c r="BD511" s="55"/>
      <c r="BE511" s="55"/>
      <c r="BF511" s="55"/>
      <c r="BG511" s="55"/>
      <c r="BH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  <c r="BD512" s="55"/>
      <c r="BE512" s="55"/>
      <c r="BF512" s="55"/>
      <c r="BG512" s="55"/>
      <c r="BH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  <c r="BD513" s="55"/>
      <c r="BE513" s="55"/>
      <c r="BF513" s="55"/>
      <c r="BG513" s="55"/>
      <c r="BH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  <c r="BD514" s="55"/>
      <c r="BE514" s="55"/>
      <c r="BF514" s="55"/>
      <c r="BG514" s="55"/>
      <c r="BH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  <c r="BD515" s="55"/>
      <c r="BE515" s="55"/>
      <c r="BF515" s="55"/>
      <c r="BG515" s="55"/>
      <c r="BH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  <c r="BD516" s="55"/>
      <c r="BE516" s="55"/>
      <c r="BF516" s="55"/>
      <c r="BG516" s="55"/>
      <c r="BH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  <c r="BD517" s="55"/>
      <c r="BE517" s="55"/>
      <c r="BF517" s="55"/>
      <c r="BG517" s="55"/>
      <c r="BH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  <c r="BD518" s="55"/>
      <c r="BE518" s="55"/>
      <c r="BF518" s="55"/>
      <c r="BG518" s="55"/>
      <c r="BH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  <c r="BD519" s="55"/>
      <c r="BE519" s="55"/>
      <c r="BF519" s="55"/>
      <c r="BG519" s="55"/>
      <c r="BH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  <c r="BD520" s="55"/>
      <c r="BE520" s="55"/>
      <c r="BF520" s="55"/>
      <c r="BG520" s="55"/>
      <c r="BH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  <c r="BD521" s="55"/>
      <c r="BE521" s="55"/>
      <c r="BF521" s="55"/>
      <c r="BG521" s="55"/>
      <c r="BH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  <c r="BD522" s="55"/>
      <c r="BE522" s="55"/>
      <c r="BF522" s="55"/>
      <c r="BG522" s="55"/>
      <c r="BH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  <c r="BD523" s="55"/>
      <c r="BE523" s="55"/>
      <c r="BF523" s="55"/>
      <c r="BG523" s="55"/>
      <c r="BH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  <c r="BD524" s="55"/>
      <c r="BE524" s="55"/>
      <c r="BF524" s="55"/>
      <c r="BG524" s="55"/>
      <c r="BH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  <c r="BD525" s="55"/>
      <c r="BE525" s="55"/>
      <c r="BF525" s="55"/>
      <c r="BG525" s="55"/>
      <c r="BH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  <c r="BD526" s="55"/>
      <c r="BE526" s="55"/>
      <c r="BF526" s="55"/>
      <c r="BG526" s="55"/>
      <c r="BH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  <c r="BD527" s="55"/>
      <c r="BE527" s="55"/>
      <c r="BF527" s="55"/>
      <c r="BG527" s="55"/>
      <c r="BH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  <c r="BD528" s="55"/>
      <c r="BE528" s="55"/>
      <c r="BF528" s="55"/>
      <c r="BG528" s="55"/>
      <c r="BH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  <c r="BD529" s="55"/>
      <c r="BE529" s="55"/>
      <c r="BF529" s="55"/>
      <c r="BG529" s="55"/>
      <c r="BH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  <c r="BD530" s="55"/>
      <c r="BE530" s="55"/>
      <c r="BF530" s="55"/>
      <c r="BG530" s="55"/>
      <c r="BH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  <c r="BD531" s="55"/>
      <c r="BE531" s="55"/>
      <c r="BF531" s="55"/>
      <c r="BG531" s="55"/>
      <c r="BH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  <c r="BD532" s="55"/>
      <c r="BE532" s="55"/>
      <c r="BF532" s="55"/>
      <c r="BG532" s="55"/>
      <c r="BH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  <c r="BD533" s="55"/>
      <c r="BE533" s="55"/>
      <c r="BF533" s="55"/>
      <c r="BG533" s="55"/>
      <c r="BH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  <c r="BD534" s="55"/>
      <c r="BE534" s="55"/>
      <c r="BF534" s="55"/>
      <c r="BG534" s="55"/>
      <c r="BH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  <c r="BD535" s="55"/>
      <c r="BE535" s="55"/>
      <c r="BF535" s="55"/>
      <c r="BG535" s="55"/>
      <c r="BH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  <c r="BD536" s="55"/>
      <c r="BE536" s="55"/>
      <c r="BF536" s="55"/>
      <c r="BG536" s="55"/>
      <c r="BH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  <c r="BD537" s="55"/>
      <c r="BE537" s="55"/>
      <c r="BF537" s="55"/>
      <c r="BG537" s="55"/>
      <c r="BH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  <c r="BD538" s="55"/>
      <c r="BE538" s="55"/>
      <c r="BF538" s="55"/>
      <c r="BG538" s="55"/>
      <c r="BH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  <c r="BD539" s="55"/>
      <c r="BE539" s="55"/>
      <c r="BF539" s="55"/>
      <c r="BG539" s="55"/>
      <c r="BH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  <c r="BD540" s="55"/>
      <c r="BE540" s="55"/>
      <c r="BF540" s="55"/>
      <c r="BG540" s="55"/>
      <c r="BH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  <c r="BD541" s="55"/>
      <c r="BE541" s="55"/>
      <c r="BF541" s="55"/>
      <c r="BG541" s="55"/>
      <c r="BH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  <c r="BD542" s="55"/>
      <c r="BE542" s="55"/>
      <c r="BF542" s="55"/>
      <c r="BG542" s="55"/>
      <c r="BH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  <c r="BD543" s="55"/>
      <c r="BE543" s="55"/>
      <c r="BF543" s="55"/>
      <c r="BG543" s="55"/>
      <c r="BH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  <c r="BD544" s="55"/>
      <c r="BE544" s="55"/>
      <c r="BF544" s="55"/>
      <c r="BG544" s="55"/>
      <c r="BH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  <c r="BD545" s="55"/>
      <c r="BE545" s="55"/>
      <c r="BF545" s="55"/>
      <c r="BG545" s="55"/>
      <c r="BH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  <c r="BD546" s="55"/>
      <c r="BE546" s="55"/>
      <c r="BF546" s="55"/>
      <c r="BG546" s="55"/>
      <c r="BH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  <c r="BD547" s="55"/>
      <c r="BE547" s="55"/>
      <c r="BF547" s="55"/>
      <c r="BG547" s="55"/>
      <c r="BH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  <c r="BD548" s="55"/>
      <c r="BE548" s="55"/>
      <c r="BF548" s="55"/>
      <c r="BG548" s="55"/>
      <c r="BH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  <c r="BD549" s="55"/>
      <c r="BE549" s="55"/>
      <c r="BF549" s="55"/>
      <c r="BG549" s="55"/>
      <c r="BH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  <c r="BD550" s="55"/>
      <c r="BE550" s="55"/>
      <c r="BF550" s="55"/>
      <c r="BG550" s="55"/>
      <c r="BH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  <c r="BD551" s="55"/>
      <c r="BE551" s="55"/>
      <c r="BF551" s="55"/>
      <c r="BG551" s="55"/>
      <c r="BH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  <c r="BD552" s="55"/>
      <c r="BE552" s="55"/>
      <c r="BF552" s="55"/>
      <c r="BG552" s="55"/>
      <c r="BH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  <c r="BD553" s="55"/>
      <c r="BE553" s="55"/>
      <c r="BF553" s="55"/>
      <c r="BG553" s="55"/>
      <c r="BH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  <c r="BD554" s="55"/>
      <c r="BE554" s="55"/>
      <c r="BF554" s="55"/>
      <c r="BG554" s="55"/>
      <c r="BH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  <c r="BD555" s="55"/>
      <c r="BE555" s="55"/>
      <c r="BF555" s="55"/>
      <c r="BG555" s="55"/>
      <c r="BH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  <c r="BD556" s="55"/>
      <c r="BE556" s="55"/>
      <c r="BF556" s="55"/>
      <c r="BG556" s="55"/>
      <c r="BH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  <c r="BD557" s="55"/>
      <c r="BE557" s="55"/>
      <c r="BF557" s="55"/>
      <c r="BG557" s="55"/>
      <c r="BH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  <c r="BD558" s="55"/>
      <c r="BE558" s="55"/>
      <c r="BF558" s="55"/>
      <c r="BG558" s="55"/>
      <c r="BH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  <c r="BD559" s="55"/>
      <c r="BE559" s="55"/>
      <c r="BF559" s="55"/>
      <c r="BG559" s="55"/>
      <c r="BH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  <c r="BD560" s="55"/>
      <c r="BE560" s="55"/>
      <c r="BF560" s="55"/>
      <c r="BG560" s="55"/>
      <c r="BH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  <c r="BD561" s="55"/>
      <c r="BE561" s="55"/>
      <c r="BF561" s="55"/>
      <c r="BG561" s="55"/>
      <c r="BH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  <c r="BD562" s="55"/>
      <c r="BE562" s="55"/>
      <c r="BF562" s="55"/>
      <c r="BG562" s="55"/>
      <c r="BH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  <c r="BD563" s="55"/>
      <c r="BE563" s="55"/>
      <c r="BF563" s="55"/>
      <c r="BG563" s="55"/>
      <c r="BH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  <c r="BD564" s="55"/>
      <c r="BE564" s="55"/>
      <c r="BF564" s="55"/>
      <c r="BG564" s="55"/>
      <c r="BH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  <c r="BD565" s="55"/>
      <c r="BE565" s="55"/>
      <c r="BF565" s="55"/>
      <c r="BG565" s="55"/>
      <c r="BH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  <c r="BD566" s="55"/>
      <c r="BE566" s="55"/>
      <c r="BF566" s="55"/>
      <c r="BG566" s="55"/>
      <c r="BH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  <c r="BD567" s="55"/>
      <c r="BE567" s="55"/>
      <c r="BF567" s="55"/>
      <c r="BG567" s="55"/>
      <c r="BH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  <c r="BD568" s="55"/>
      <c r="BE568" s="55"/>
      <c r="BF568" s="55"/>
      <c r="BG568" s="55"/>
      <c r="BH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  <c r="BD569" s="55"/>
      <c r="BE569" s="55"/>
      <c r="BF569" s="55"/>
      <c r="BG569" s="55"/>
      <c r="BH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  <c r="BD570" s="55"/>
      <c r="BE570" s="55"/>
      <c r="BF570" s="55"/>
      <c r="BG570" s="55"/>
      <c r="BH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  <c r="BD573" s="55"/>
      <c r="BE573" s="55"/>
      <c r="BF573" s="55"/>
      <c r="BG573" s="55"/>
      <c r="BH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  <c r="BD574" s="55"/>
      <c r="BE574" s="55"/>
      <c r="BF574" s="55"/>
      <c r="BG574" s="55"/>
      <c r="BH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  <c r="BD575" s="55"/>
      <c r="BE575" s="55"/>
      <c r="BF575" s="55"/>
      <c r="BG575" s="55"/>
      <c r="BH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  <c r="BD576" s="55"/>
      <c r="BE576" s="55"/>
      <c r="BF576" s="55"/>
      <c r="BG576" s="55"/>
      <c r="BH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  <c r="BD577" s="55"/>
      <c r="BE577" s="55"/>
      <c r="BF577" s="55"/>
      <c r="BG577" s="55"/>
      <c r="BH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  <c r="BD578" s="55"/>
      <c r="BE578" s="55"/>
      <c r="BF578" s="55"/>
      <c r="BG578" s="55"/>
      <c r="BH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  <c r="BD579" s="55"/>
      <c r="BE579" s="55"/>
      <c r="BF579" s="55"/>
      <c r="BG579" s="55"/>
      <c r="BH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  <c r="BD580" s="55"/>
      <c r="BE580" s="55"/>
      <c r="BF580" s="55"/>
      <c r="BG580" s="55"/>
      <c r="BH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  <c r="BD581" s="55"/>
      <c r="BE581" s="55"/>
      <c r="BF581" s="55"/>
      <c r="BG581" s="55"/>
      <c r="BH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  <c r="BD582" s="55"/>
      <c r="BE582" s="55"/>
      <c r="BF582" s="55"/>
      <c r="BG582" s="55"/>
      <c r="BH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  <c r="BD583" s="55"/>
      <c r="BE583" s="55"/>
      <c r="BF583" s="55"/>
      <c r="BG583" s="55"/>
      <c r="BH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  <c r="BD584" s="55"/>
      <c r="BE584" s="55"/>
      <c r="BF584" s="55"/>
      <c r="BG584" s="55"/>
      <c r="BH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  <c r="BD585" s="55"/>
      <c r="BE585" s="55"/>
      <c r="BF585" s="55"/>
      <c r="BG585" s="55"/>
      <c r="BH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  <c r="BD586" s="55"/>
      <c r="BE586" s="55"/>
      <c r="BF586" s="55"/>
      <c r="BG586" s="55"/>
      <c r="BH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  <c r="BD587" s="55"/>
      <c r="BE587" s="55"/>
      <c r="BF587" s="55"/>
      <c r="BG587" s="55"/>
      <c r="BH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  <c r="BD588" s="55"/>
      <c r="BE588" s="55"/>
      <c r="BF588" s="55"/>
      <c r="BG588" s="55"/>
      <c r="BH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  <c r="BD589" s="55"/>
      <c r="BE589" s="55"/>
      <c r="BF589" s="55"/>
      <c r="BG589" s="55"/>
      <c r="BH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  <c r="BD590" s="55"/>
      <c r="BE590" s="55"/>
      <c r="BF590" s="55"/>
      <c r="BG590" s="55"/>
      <c r="BH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  <c r="BD591" s="55"/>
      <c r="BE591" s="55"/>
      <c r="BF591" s="55"/>
      <c r="BG591" s="55"/>
      <c r="BH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  <c r="BD592" s="55"/>
      <c r="BE592" s="55"/>
      <c r="BF592" s="55"/>
      <c r="BG592" s="55"/>
      <c r="BH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  <c r="BD593" s="55"/>
      <c r="BE593" s="55"/>
      <c r="BF593" s="55"/>
      <c r="BG593" s="55"/>
      <c r="BH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  <c r="BD594" s="55"/>
      <c r="BE594" s="55"/>
      <c r="BF594" s="55"/>
      <c r="BG594" s="55"/>
      <c r="BH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  <c r="BD595" s="55"/>
      <c r="BE595" s="55"/>
      <c r="BF595" s="55"/>
      <c r="BG595" s="55"/>
      <c r="BH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  <c r="BD596" s="55"/>
      <c r="BE596" s="55"/>
      <c r="BF596" s="55"/>
      <c r="BG596" s="55"/>
      <c r="BH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  <c r="BD597" s="55"/>
      <c r="BE597" s="55"/>
      <c r="BF597" s="55"/>
      <c r="BG597" s="55"/>
      <c r="BH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  <c r="BD598" s="55"/>
      <c r="BE598" s="55"/>
      <c r="BF598" s="55"/>
      <c r="BG598" s="55"/>
      <c r="BH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  <c r="BD599" s="55"/>
      <c r="BE599" s="55"/>
      <c r="BF599" s="55"/>
      <c r="BG599" s="55"/>
      <c r="BH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  <c r="BD600" s="55"/>
      <c r="BE600" s="55"/>
      <c r="BF600" s="55"/>
      <c r="BG600" s="55"/>
      <c r="BH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  <c r="BD601" s="55"/>
      <c r="BE601" s="55"/>
      <c r="BF601" s="55"/>
      <c r="BG601" s="55"/>
      <c r="BH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  <c r="BD602" s="55"/>
      <c r="BE602" s="55"/>
      <c r="BF602" s="55"/>
      <c r="BG602" s="55"/>
      <c r="BH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  <c r="BH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  <c r="BD604" s="55"/>
      <c r="BE604" s="55"/>
      <c r="BF604" s="55"/>
      <c r="BG604" s="55"/>
      <c r="BH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  <c r="BD605" s="55"/>
      <c r="BE605" s="55"/>
      <c r="BF605" s="55"/>
      <c r="BG605" s="55"/>
      <c r="BH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/>
      <c r="BE606" s="55"/>
      <c r="BF606" s="55"/>
      <c r="BG606" s="55"/>
      <c r="BH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  <c r="BD607" s="55"/>
      <c r="BE607" s="55"/>
      <c r="BF607" s="55"/>
      <c r="BG607" s="55"/>
      <c r="BH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  <c r="BD608" s="55"/>
      <c r="BE608" s="55"/>
      <c r="BF608" s="55"/>
      <c r="BG608" s="55"/>
      <c r="BH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  <c r="BD609" s="55"/>
      <c r="BE609" s="55"/>
      <c r="BF609" s="55"/>
      <c r="BG609" s="55"/>
      <c r="BH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  <c r="BD610" s="55"/>
      <c r="BE610" s="55"/>
      <c r="BF610" s="55"/>
      <c r="BG610" s="55"/>
      <c r="BH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  <c r="BD611" s="55"/>
      <c r="BE611" s="55"/>
      <c r="BF611" s="55"/>
      <c r="BG611" s="55"/>
      <c r="BH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  <c r="BD612" s="55"/>
      <c r="BE612" s="55"/>
      <c r="BF612" s="55"/>
      <c r="BG612" s="55"/>
      <c r="BH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  <c r="BD613" s="55"/>
      <c r="BE613" s="55"/>
      <c r="BF613" s="55"/>
      <c r="BG613" s="55"/>
      <c r="BH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  <c r="BD614" s="55"/>
      <c r="BE614" s="55"/>
      <c r="BF614" s="55"/>
      <c r="BG614" s="55"/>
      <c r="BH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  <c r="BD615" s="55"/>
      <c r="BE615" s="55"/>
      <c r="BF615" s="55"/>
      <c r="BG615" s="55"/>
      <c r="BH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  <c r="BD616" s="55"/>
      <c r="BE616" s="55"/>
      <c r="BF616" s="55"/>
      <c r="BG616" s="55"/>
      <c r="BH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  <c r="BD617" s="55"/>
      <c r="BE617" s="55"/>
      <c r="BF617" s="55"/>
      <c r="BG617" s="55"/>
      <c r="BH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  <c r="BD618" s="55"/>
      <c r="BE618" s="55"/>
      <c r="BF618" s="55"/>
      <c r="BG618" s="55"/>
      <c r="BH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  <c r="BD619" s="55"/>
      <c r="BE619" s="55"/>
      <c r="BF619" s="55"/>
      <c r="BG619" s="55"/>
      <c r="BH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  <c r="BD620" s="55"/>
      <c r="BE620" s="55"/>
      <c r="BF620" s="55"/>
      <c r="BG620" s="55"/>
      <c r="BH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  <c r="BD621" s="55"/>
      <c r="BE621" s="55"/>
      <c r="BF621" s="55"/>
      <c r="BG621" s="55"/>
      <c r="BH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  <c r="BD622" s="55"/>
      <c r="BE622" s="55"/>
      <c r="BF622" s="55"/>
      <c r="BG622" s="55"/>
      <c r="BH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  <c r="BD623" s="55"/>
      <c r="BE623" s="55"/>
      <c r="BF623" s="55"/>
      <c r="BG623" s="55"/>
      <c r="BH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  <c r="BD624" s="55"/>
      <c r="BE624" s="55"/>
      <c r="BF624" s="55"/>
      <c r="BG624" s="55"/>
      <c r="BH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  <c r="BD625" s="55"/>
      <c r="BE625" s="55"/>
      <c r="BF625" s="55"/>
      <c r="BG625" s="55"/>
      <c r="BH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  <c r="BD626" s="55"/>
      <c r="BE626" s="55"/>
      <c r="BF626" s="55"/>
      <c r="BG626" s="55"/>
      <c r="BH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  <c r="BD627" s="55"/>
      <c r="BE627" s="55"/>
      <c r="BF627" s="55"/>
      <c r="BG627" s="55"/>
      <c r="BH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  <c r="BD628" s="55"/>
      <c r="BE628" s="55"/>
      <c r="BF628" s="55"/>
      <c r="BG628" s="55"/>
      <c r="BH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  <c r="BD629" s="55"/>
      <c r="BE629" s="55"/>
      <c r="BF629" s="55"/>
      <c r="BG629" s="55"/>
      <c r="BH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  <c r="BD630" s="55"/>
      <c r="BE630" s="55"/>
      <c r="BF630" s="55"/>
      <c r="BG630" s="55"/>
      <c r="BH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  <c r="BD631" s="55"/>
      <c r="BE631" s="55"/>
      <c r="BF631" s="55"/>
      <c r="BG631" s="55"/>
      <c r="BH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  <c r="BD632" s="55"/>
      <c r="BE632" s="55"/>
      <c r="BF632" s="55"/>
      <c r="BG632" s="55"/>
      <c r="BH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  <c r="BD633" s="55"/>
      <c r="BE633" s="55"/>
      <c r="BF633" s="55"/>
      <c r="BG633" s="55"/>
      <c r="BH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  <c r="BD634" s="55"/>
      <c r="BE634" s="55"/>
      <c r="BF634" s="55"/>
      <c r="BG634" s="55"/>
      <c r="BH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  <c r="BD635" s="55"/>
      <c r="BE635" s="55"/>
      <c r="BF635" s="55"/>
      <c r="BG635" s="55"/>
      <c r="BH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  <c r="BD636" s="55"/>
      <c r="BE636" s="55"/>
      <c r="BF636" s="55"/>
      <c r="BG636" s="55"/>
      <c r="BH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  <c r="BD637" s="55"/>
      <c r="BE637" s="55"/>
      <c r="BF637" s="55"/>
      <c r="BG637" s="55"/>
      <c r="BH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  <c r="BD638" s="55"/>
      <c r="BE638" s="55"/>
      <c r="BF638" s="55"/>
      <c r="BG638" s="55"/>
      <c r="BH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  <c r="BD639" s="55"/>
      <c r="BE639" s="55"/>
      <c r="BF639" s="55"/>
      <c r="BG639" s="55"/>
      <c r="BH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  <c r="BD640" s="55"/>
      <c r="BE640" s="55"/>
      <c r="BF640" s="55"/>
      <c r="BG640" s="55"/>
      <c r="BH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  <c r="BD641" s="55"/>
      <c r="BE641" s="55"/>
      <c r="BF641" s="55"/>
      <c r="BG641" s="55"/>
      <c r="BH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  <c r="BD642" s="55"/>
      <c r="BE642" s="55"/>
      <c r="BF642" s="55"/>
      <c r="BG642" s="55"/>
      <c r="BH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  <c r="BD643" s="55"/>
      <c r="BE643" s="55"/>
      <c r="BF643" s="55"/>
      <c r="BG643" s="55"/>
      <c r="BH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  <c r="BD644" s="55"/>
      <c r="BE644" s="55"/>
      <c r="BF644" s="55"/>
      <c r="BG644" s="55"/>
      <c r="BH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  <c r="BD645" s="55"/>
      <c r="BE645" s="55"/>
      <c r="BF645" s="55"/>
      <c r="BG645" s="55"/>
      <c r="BH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  <c r="BD646" s="55"/>
      <c r="BE646" s="55"/>
      <c r="BF646" s="55"/>
      <c r="BG646" s="55"/>
      <c r="BH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  <c r="BD647" s="55"/>
      <c r="BE647" s="55"/>
      <c r="BF647" s="55"/>
      <c r="BG647" s="55"/>
      <c r="BH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  <c r="BD648" s="55"/>
      <c r="BE648" s="55"/>
      <c r="BF648" s="55"/>
      <c r="BG648" s="55"/>
      <c r="BH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  <c r="BD649" s="55"/>
      <c r="BE649" s="55"/>
      <c r="BF649" s="55"/>
      <c r="BG649" s="55"/>
      <c r="BH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  <c r="BD650" s="55"/>
      <c r="BE650" s="55"/>
      <c r="BF650" s="55"/>
      <c r="BG650" s="55"/>
      <c r="BH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  <c r="BD651" s="55"/>
      <c r="BE651" s="55"/>
      <c r="BF651" s="55"/>
      <c r="BG651" s="55"/>
      <c r="BH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  <c r="BD652" s="55"/>
      <c r="BE652" s="55"/>
      <c r="BF652" s="55"/>
      <c r="BG652" s="55"/>
      <c r="BH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  <c r="BD653" s="55"/>
      <c r="BE653" s="55"/>
      <c r="BF653" s="55"/>
      <c r="BG653" s="55"/>
      <c r="BH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  <c r="BD654" s="55"/>
      <c r="BE654" s="55"/>
      <c r="BF654" s="55"/>
      <c r="BG654" s="55"/>
      <c r="BH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  <c r="BD655" s="55"/>
      <c r="BE655" s="55"/>
      <c r="BF655" s="55"/>
      <c r="BG655" s="55"/>
      <c r="BH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  <c r="BD656" s="55"/>
      <c r="BE656" s="55"/>
      <c r="BF656" s="55"/>
      <c r="BG656" s="55"/>
      <c r="BH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  <c r="BD657" s="55"/>
      <c r="BE657" s="55"/>
      <c r="BF657" s="55"/>
      <c r="BG657" s="55"/>
      <c r="BH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  <c r="BD658" s="55"/>
      <c r="BE658" s="55"/>
      <c r="BF658" s="55"/>
      <c r="BG658" s="55"/>
      <c r="BH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  <c r="BD659" s="55"/>
      <c r="BE659" s="55"/>
      <c r="BF659" s="55"/>
      <c r="BG659" s="55"/>
      <c r="BH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  <c r="BD660" s="55"/>
      <c r="BE660" s="55"/>
      <c r="BF660" s="55"/>
      <c r="BG660" s="55"/>
      <c r="BH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  <c r="BD661" s="55"/>
      <c r="BE661" s="55"/>
      <c r="BF661" s="55"/>
      <c r="BG661" s="55"/>
      <c r="BH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  <c r="BD662" s="55"/>
      <c r="BE662" s="55"/>
      <c r="BF662" s="55"/>
      <c r="BG662" s="55"/>
      <c r="BH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  <c r="BD663" s="55"/>
      <c r="BE663" s="55"/>
      <c r="BF663" s="55"/>
      <c r="BG663" s="55"/>
      <c r="BH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  <c r="BD664" s="55"/>
      <c r="BE664" s="55"/>
      <c r="BF664" s="55"/>
      <c r="BG664" s="55"/>
      <c r="BH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  <c r="BD665" s="55"/>
      <c r="BE665" s="55"/>
      <c r="BF665" s="55"/>
      <c r="BG665" s="55"/>
      <c r="BH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  <c r="BD666" s="55"/>
      <c r="BE666" s="55"/>
      <c r="BF666" s="55"/>
      <c r="BG666" s="55"/>
      <c r="BH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  <c r="BD667" s="55"/>
      <c r="BE667" s="55"/>
      <c r="BF667" s="55"/>
      <c r="BG667" s="55"/>
      <c r="BH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  <c r="BD668" s="55"/>
      <c r="BE668" s="55"/>
      <c r="BF668" s="55"/>
      <c r="BG668" s="55"/>
      <c r="BH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  <c r="BD669" s="55"/>
      <c r="BE669" s="55"/>
      <c r="BF669" s="55"/>
      <c r="BG669" s="55"/>
      <c r="BH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  <c r="BD670" s="55"/>
      <c r="BE670" s="55"/>
      <c r="BF670" s="55"/>
      <c r="BG670" s="55"/>
      <c r="BH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  <c r="BD671" s="55"/>
      <c r="BE671" s="55"/>
      <c r="BF671" s="55"/>
      <c r="BG671" s="55"/>
      <c r="BH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  <c r="BD672" s="55"/>
      <c r="BE672" s="55"/>
      <c r="BF672" s="55"/>
      <c r="BG672" s="55"/>
      <c r="BH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  <c r="BD673" s="55"/>
      <c r="BE673" s="55"/>
      <c r="BF673" s="55"/>
      <c r="BG673" s="55"/>
      <c r="BH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  <c r="BD674" s="55"/>
      <c r="BE674" s="55"/>
      <c r="BF674" s="55"/>
      <c r="BG674" s="55"/>
      <c r="BH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  <c r="BD675" s="55"/>
      <c r="BE675" s="55"/>
      <c r="BF675" s="55"/>
      <c r="BG675" s="55"/>
      <c r="BH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  <c r="BD676" s="55"/>
      <c r="BE676" s="55"/>
      <c r="BF676" s="55"/>
      <c r="BG676" s="55"/>
      <c r="BH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  <c r="BD677" s="55"/>
      <c r="BE677" s="55"/>
      <c r="BF677" s="55"/>
      <c r="BG677" s="55"/>
      <c r="BH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  <c r="BD678" s="55"/>
      <c r="BE678" s="55"/>
      <c r="BF678" s="55"/>
      <c r="BG678" s="55"/>
      <c r="BH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  <c r="BD679" s="55"/>
      <c r="BE679" s="55"/>
      <c r="BF679" s="55"/>
      <c r="BG679" s="55"/>
      <c r="BH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  <c r="BD680" s="55"/>
      <c r="BE680" s="55"/>
      <c r="BF680" s="55"/>
      <c r="BG680" s="55"/>
      <c r="BH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  <c r="BD681" s="55"/>
      <c r="BE681" s="55"/>
      <c r="BF681" s="55"/>
      <c r="BG681" s="55"/>
      <c r="BH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  <c r="BD682" s="55"/>
      <c r="BE682" s="55"/>
      <c r="BF682" s="55"/>
      <c r="BG682" s="55"/>
      <c r="BH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  <c r="BD683" s="55"/>
      <c r="BE683" s="55"/>
      <c r="BF683" s="55"/>
      <c r="BG683" s="55"/>
      <c r="BH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  <c r="BD684" s="55"/>
      <c r="BE684" s="55"/>
      <c r="BF684" s="55"/>
      <c r="BG684" s="55"/>
      <c r="BH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  <c r="BD685" s="55"/>
      <c r="BE685" s="55"/>
      <c r="BF685" s="55"/>
      <c r="BG685" s="55"/>
      <c r="BH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  <c r="BD686" s="55"/>
      <c r="BE686" s="55"/>
      <c r="BF686" s="55"/>
      <c r="BG686" s="55"/>
      <c r="BH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  <c r="BD687" s="55"/>
      <c r="BE687" s="55"/>
      <c r="BF687" s="55"/>
      <c r="BG687" s="55"/>
      <c r="BH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  <c r="BD688" s="55"/>
      <c r="BE688" s="55"/>
      <c r="BF688" s="55"/>
      <c r="BG688" s="55"/>
      <c r="BH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  <c r="BD689" s="55"/>
      <c r="BE689" s="55"/>
      <c r="BF689" s="55"/>
      <c r="BG689" s="55"/>
      <c r="BH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  <c r="BD690" s="55"/>
      <c r="BE690" s="55"/>
      <c r="BF690" s="55"/>
      <c r="BG690" s="55"/>
      <c r="BH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  <c r="AZ691" s="55"/>
      <c r="BA691" s="55"/>
      <c r="BB691" s="55"/>
      <c r="BC691" s="55"/>
      <c r="BD691" s="55"/>
      <c r="BE691" s="55"/>
      <c r="BF691" s="55"/>
      <c r="BG691" s="55"/>
      <c r="BH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  <c r="BA692" s="55"/>
      <c r="BB692" s="55"/>
      <c r="BC692" s="55"/>
      <c r="BD692" s="55"/>
      <c r="BE692" s="55"/>
      <c r="BF692" s="55"/>
      <c r="BG692" s="55"/>
      <c r="BH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  <c r="BA693" s="55"/>
      <c r="BB693" s="55"/>
      <c r="BC693" s="55"/>
      <c r="BD693" s="55"/>
      <c r="BE693" s="55"/>
      <c r="BF693" s="55"/>
      <c r="BG693" s="55"/>
      <c r="BH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  <c r="BA694" s="55"/>
      <c r="BB694" s="55"/>
      <c r="BC694" s="55"/>
      <c r="BD694" s="55"/>
      <c r="BE694" s="55"/>
      <c r="BF694" s="55"/>
      <c r="BG694" s="55"/>
      <c r="BH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  <c r="BA695" s="55"/>
      <c r="BB695" s="55"/>
      <c r="BC695" s="55"/>
      <c r="BD695" s="55"/>
      <c r="BE695" s="55"/>
      <c r="BF695" s="55"/>
      <c r="BG695" s="55"/>
      <c r="BH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  <c r="BA696" s="55"/>
      <c r="BB696" s="55"/>
      <c r="BC696" s="55"/>
      <c r="BD696" s="55"/>
      <c r="BE696" s="55"/>
      <c r="BF696" s="55"/>
      <c r="BG696" s="55"/>
      <c r="BH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55"/>
      <c r="BB697" s="55"/>
      <c r="BC697" s="55"/>
      <c r="BD697" s="55"/>
      <c r="BE697" s="55"/>
      <c r="BF697" s="55"/>
      <c r="BG697" s="55"/>
      <c r="BH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55"/>
      <c r="BB698" s="55"/>
      <c r="BC698" s="55"/>
      <c r="BD698" s="55"/>
      <c r="BE698" s="55"/>
      <c r="BF698" s="55"/>
      <c r="BG698" s="55"/>
      <c r="BH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  <c r="BA699" s="55"/>
      <c r="BB699" s="55"/>
      <c r="BC699" s="55"/>
      <c r="BD699" s="55"/>
      <c r="BE699" s="55"/>
      <c r="BF699" s="55"/>
      <c r="BG699" s="55"/>
      <c r="BH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  <c r="BA700" s="55"/>
      <c r="BB700" s="55"/>
      <c r="BC700" s="55"/>
      <c r="BD700" s="55"/>
      <c r="BE700" s="55"/>
      <c r="BF700" s="55"/>
      <c r="BG700" s="55"/>
      <c r="BH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  <c r="AZ701" s="55"/>
      <c r="BA701" s="55"/>
      <c r="BB701" s="55"/>
      <c r="BC701" s="55"/>
      <c r="BD701" s="55"/>
      <c r="BE701" s="55"/>
      <c r="BF701" s="55"/>
      <c r="BG701" s="55"/>
      <c r="BH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  <c r="BA702" s="55"/>
      <c r="BB702" s="55"/>
      <c r="BC702" s="55"/>
      <c r="BD702" s="55"/>
      <c r="BE702" s="55"/>
      <c r="BF702" s="55"/>
      <c r="BG702" s="55"/>
      <c r="BH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55"/>
      <c r="BB703" s="55"/>
      <c r="BC703" s="55"/>
      <c r="BD703" s="55"/>
      <c r="BE703" s="55"/>
      <c r="BF703" s="55"/>
      <c r="BG703" s="55"/>
      <c r="BH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  <c r="AZ704" s="55"/>
      <c r="BA704" s="55"/>
      <c r="BB704" s="55"/>
      <c r="BC704" s="55"/>
      <c r="BD704" s="55"/>
      <c r="BE704" s="55"/>
      <c r="BF704" s="55"/>
      <c r="BG704" s="55"/>
      <c r="BH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  <c r="AZ705" s="55"/>
      <c r="BA705" s="55"/>
      <c r="BB705" s="55"/>
      <c r="BC705" s="55"/>
      <c r="BD705" s="55"/>
      <c r="BE705" s="55"/>
      <c r="BF705" s="55"/>
      <c r="BG705" s="55"/>
      <c r="BH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  <c r="AZ706" s="55"/>
      <c r="BA706" s="55"/>
      <c r="BB706" s="55"/>
      <c r="BC706" s="55"/>
      <c r="BD706" s="55"/>
      <c r="BE706" s="55"/>
      <c r="BF706" s="55"/>
      <c r="BG706" s="55"/>
      <c r="BH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  <c r="AZ707" s="55"/>
      <c r="BA707" s="55"/>
      <c r="BB707" s="55"/>
      <c r="BC707" s="55"/>
      <c r="BD707" s="55"/>
      <c r="BE707" s="55"/>
      <c r="BF707" s="55"/>
      <c r="BG707" s="55"/>
      <c r="BH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/>
      <c r="BD708" s="55"/>
      <c r="BE708" s="55"/>
      <c r="BF708" s="55"/>
      <c r="BG708" s="55"/>
      <c r="BH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55"/>
      <c r="BB709" s="55"/>
      <c r="BC709" s="55"/>
      <c r="BD709" s="55"/>
      <c r="BE709" s="55"/>
      <c r="BF709" s="55"/>
      <c r="BG709" s="55"/>
      <c r="BH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55"/>
      <c r="BB710" s="55"/>
      <c r="BC710" s="55"/>
      <c r="BD710" s="55"/>
      <c r="BE710" s="55"/>
      <c r="BF710" s="55"/>
      <c r="BG710" s="55"/>
      <c r="BH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  <c r="BA711" s="55"/>
      <c r="BB711" s="55"/>
      <c r="BC711" s="55"/>
      <c r="BD711" s="55"/>
      <c r="BE711" s="55"/>
      <c r="BF711" s="55"/>
      <c r="BG711" s="55"/>
      <c r="BH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  <c r="BA712" s="55"/>
      <c r="BB712" s="55"/>
      <c r="BC712" s="55"/>
      <c r="BD712" s="55"/>
      <c r="BE712" s="55"/>
      <c r="BF712" s="55"/>
      <c r="BG712" s="55"/>
      <c r="BH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  <c r="BA713" s="55"/>
      <c r="BB713" s="55"/>
      <c r="BC713" s="55"/>
      <c r="BD713" s="55"/>
      <c r="BE713" s="55"/>
      <c r="BF713" s="55"/>
      <c r="BG713" s="55"/>
      <c r="BH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55"/>
      <c r="BB714" s="55"/>
      <c r="BC714" s="55"/>
      <c r="BD714" s="55"/>
      <c r="BE714" s="55"/>
      <c r="BF714" s="55"/>
      <c r="BG714" s="55"/>
      <c r="BH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  <c r="AZ715" s="55"/>
      <c r="BA715" s="55"/>
      <c r="BB715" s="55"/>
      <c r="BC715" s="55"/>
      <c r="BD715" s="55"/>
      <c r="BE715" s="55"/>
      <c r="BF715" s="55"/>
      <c r="BG715" s="55"/>
      <c r="BH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  <c r="BA716" s="55"/>
      <c r="BB716" s="55"/>
      <c r="BC716" s="55"/>
      <c r="BD716" s="55"/>
      <c r="BE716" s="55"/>
      <c r="BF716" s="55"/>
      <c r="BG716" s="55"/>
      <c r="BH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  <c r="BA717" s="55"/>
      <c r="BB717" s="55"/>
      <c r="BC717" s="55"/>
      <c r="BD717" s="55"/>
      <c r="BE717" s="55"/>
      <c r="BF717" s="55"/>
      <c r="BG717" s="55"/>
      <c r="BH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  <c r="AZ718" s="55"/>
      <c r="BA718" s="55"/>
      <c r="BB718" s="55"/>
      <c r="BC718" s="55"/>
      <c r="BD718" s="55"/>
      <c r="BE718" s="55"/>
      <c r="BF718" s="55"/>
      <c r="BG718" s="55"/>
      <c r="BH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  <c r="BA719" s="55"/>
      <c r="BB719" s="55"/>
      <c r="BC719" s="55"/>
      <c r="BD719" s="55"/>
      <c r="BE719" s="55"/>
      <c r="BF719" s="55"/>
      <c r="BG719" s="55"/>
      <c r="BH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  <c r="AZ720" s="55"/>
      <c r="BA720" s="55"/>
      <c r="BB720" s="55"/>
      <c r="BC720" s="55"/>
      <c r="BD720" s="55"/>
      <c r="BE720" s="55"/>
      <c r="BF720" s="55"/>
      <c r="BG720" s="55"/>
      <c r="BH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  <c r="AZ721" s="55"/>
      <c r="BA721" s="55"/>
      <c r="BB721" s="55"/>
      <c r="BC721" s="55"/>
      <c r="BD721" s="55"/>
      <c r="BE721" s="55"/>
      <c r="BF721" s="55"/>
      <c r="BG721" s="55"/>
      <c r="BH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  <c r="AZ722" s="55"/>
      <c r="BA722" s="55"/>
      <c r="BB722" s="55"/>
      <c r="BC722" s="55"/>
      <c r="BD722" s="55"/>
      <c r="BE722" s="55"/>
      <c r="BF722" s="55"/>
      <c r="BG722" s="55"/>
      <c r="BH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55"/>
      <c r="BB723" s="55"/>
      <c r="BC723" s="55"/>
      <c r="BD723" s="55"/>
      <c r="BE723" s="55"/>
      <c r="BF723" s="55"/>
      <c r="BG723" s="55"/>
      <c r="BH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55"/>
      <c r="BB724" s="55"/>
      <c r="BC724" s="55"/>
      <c r="BD724" s="55"/>
      <c r="BE724" s="55"/>
      <c r="BF724" s="55"/>
      <c r="BG724" s="55"/>
      <c r="BH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55"/>
      <c r="BB725" s="55"/>
      <c r="BC725" s="55"/>
      <c r="BD725" s="55"/>
      <c r="BE725" s="55"/>
      <c r="BF725" s="55"/>
      <c r="BG725" s="55"/>
      <c r="BH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55"/>
      <c r="BB726" s="55"/>
      <c r="BC726" s="55"/>
      <c r="BD726" s="55"/>
      <c r="BE726" s="55"/>
      <c r="BF726" s="55"/>
      <c r="BG726" s="55"/>
      <c r="BH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55"/>
      <c r="BB727" s="55"/>
      <c r="BC727" s="55"/>
      <c r="BD727" s="55"/>
      <c r="BE727" s="55"/>
      <c r="BF727" s="55"/>
      <c r="BG727" s="55"/>
      <c r="BH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55"/>
      <c r="BB728" s="55"/>
      <c r="BC728" s="55"/>
      <c r="BD728" s="55"/>
      <c r="BE728" s="55"/>
      <c r="BF728" s="55"/>
      <c r="BG728" s="55"/>
      <c r="BH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/>
      <c r="BE729" s="55"/>
      <c r="BF729" s="55"/>
      <c r="BG729" s="55"/>
      <c r="BH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  <c r="BD730" s="55"/>
      <c r="BE730" s="55"/>
      <c r="BF730" s="55"/>
      <c r="BG730" s="55"/>
      <c r="BH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  <c r="BD731" s="55"/>
      <c r="BE731" s="55"/>
      <c r="BF731" s="55"/>
      <c r="BG731" s="55"/>
      <c r="BH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55"/>
      <c r="BB732" s="55"/>
      <c r="BC732" s="55"/>
      <c r="BD732" s="55"/>
      <c r="BE732" s="55"/>
      <c r="BF732" s="55"/>
      <c r="BG732" s="55"/>
      <c r="BH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55"/>
      <c r="BB733" s="55"/>
      <c r="BC733" s="55"/>
      <c r="BD733" s="55"/>
      <c r="BE733" s="55"/>
      <c r="BF733" s="55"/>
      <c r="BG733" s="55"/>
      <c r="BH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55"/>
      <c r="BB734" s="55"/>
      <c r="BC734" s="55"/>
      <c r="BD734" s="55"/>
      <c r="BE734" s="55"/>
      <c r="BF734" s="55"/>
      <c r="BG734" s="55"/>
      <c r="BH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55"/>
      <c r="BB735" s="55"/>
      <c r="BC735" s="55"/>
      <c r="BD735" s="55"/>
      <c r="BE735" s="55"/>
      <c r="BF735" s="55"/>
      <c r="BG735" s="55"/>
      <c r="BH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55"/>
      <c r="BB736" s="55"/>
      <c r="BC736" s="55"/>
      <c r="BD736" s="55"/>
      <c r="BE736" s="55"/>
      <c r="BF736" s="55"/>
      <c r="BG736" s="55"/>
      <c r="BH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55"/>
      <c r="BB737" s="55"/>
      <c r="BC737" s="55"/>
      <c r="BD737" s="55"/>
      <c r="BE737" s="55"/>
      <c r="BF737" s="55"/>
      <c r="BG737" s="55"/>
      <c r="BH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55"/>
      <c r="BB738" s="55"/>
      <c r="BC738" s="55"/>
      <c r="BD738" s="55"/>
      <c r="BE738" s="55"/>
      <c r="BF738" s="55"/>
      <c r="BG738" s="55"/>
      <c r="BH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  <c r="BG739" s="55"/>
      <c r="BH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  <c r="BD740" s="55"/>
      <c r="BE740" s="55"/>
      <c r="BF740" s="55"/>
      <c r="BG740" s="55"/>
      <c r="BH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  <c r="BD741" s="55"/>
      <c r="BE741" s="55"/>
      <c r="BF741" s="55"/>
      <c r="BG741" s="55"/>
      <c r="BH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55"/>
      <c r="BB742" s="55"/>
      <c r="BC742" s="55"/>
      <c r="BD742" s="55"/>
      <c r="BE742" s="55"/>
      <c r="BF742" s="55"/>
      <c r="BG742" s="55"/>
      <c r="BH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/>
      <c r="BD743" s="55"/>
      <c r="BE743" s="55"/>
      <c r="BF743" s="55"/>
      <c r="BG743" s="55"/>
      <c r="BH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/>
      <c r="BD744" s="55"/>
      <c r="BE744" s="55"/>
      <c r="BF744" s="55"/>
      <c r="BG744" s="55"/>
      <c r="BH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55"/>
      <c r="BB745" s="55"/>
      <c r="BC745" s="55"/>
      <c r="BD745" s="55"/>
      <c r="BE745" s="55"/>
      <c r="BF745" s="55"/>
      <c r="BG745" s="55"/>
      <c r="BH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55"/>
      <c r="BB746" s="55"/>
      <c r="BC746" s="55"/>
      <c r="BD746" s="55"/>
      <c r="BE746" s="55"/>
      <c r="BF746" s="55"/>
      <c r="BG746" s="55"/>
      <c r="BH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/>
      <c r="BD747" s="55"/>
      <c r="BE747" s="55"/>
      <c r="BF747" s="55"/>
      <c r="BG747" s="55"/>
      <c r="BH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55"/>
      <c r="BB748" s="55"/>
      <c r="BC748" s="55"/>
      <c r="BD748" s="55"/>
      <c r="BE748" s="55"/>
      <c r="BF748" s="55"/>
      <c r="BG748" s="55"/>
      <c r="BH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  <c r="BD749" s="55"/>
      <c r="BE749" s="55"/>
      <c r="BF749" s="55"/>
      <c r="BG749" s="55"/>
      <c r="BH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55"/>
      <c r="BB750" s="55"/>
      <c r="BC750" s="55"/>
      <c r="BD750" s="55"/>
      <c r="BE750" s="55"/>
      <c r="BF750" s="55"/>
      <c r="BG750" s="55"/>
      <c r="BH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55"/>
      <c r="BB751" s="55"/>
      <c r="BC751" s="55"/>
      <c r="BD751" s="55"/>
      <c r="BE751" s="55"/>
      <c r="BF751" s="55"/>
      <c r="BG751" s="55"/>
      <c r="BH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55"/>
      <c r="BB752" s="55"/>
      <c r="BC752" s="55"/>
      <c r="BD752" s="55"/>
      <c r="BE752" s="55"/>
      <c r="BF752" s="55"/>
      <c r="BG752" s="55"/>
      <c r="BH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55"/>
      <c r="BB753" s="55"/>
      <c r="BC753" s="55"/>
      <c r="BD753" s="55"/>
      <c r="BE753" s="55"/>
      <c r="BF753" s="55"/>
      <c r="BG753" s="55"/>
      <c r="BH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/>
      <c r="BD754" s="55"/>
      <c r="BE754" s="55"/>
      <c r="BF754" s="55"/>
      <c r="BG754" s="55"/>
      <c r="BH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/>
      <c r="BD755" s="55"/>
      <c r="BE755" s="55"/>
      <c r="BF755" s="55"/>
      <c r="BG755" s="55"/>
      <c r="BH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55"/>
      <c r="BB756" s="55"/>
      <c r="BC756" s="55"/>
      <c r="BD756" s="55"/>
      <c r="BE756" s="55"/>
      <c r="BF756" s="55"/>
      <c r="BG756" s="55"/>
      <c r="BH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55"/>
      <c r="BB757" s="55"/>
      <c r="BC757" s="55"/>
      <c r="BD757" s="55"/>
      <c r="BE757" s="55"/>
      <c r="BF757" s="55"/>
      <c r="BG757" s="55"/>
      <c r="BH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55"/>
      <c r="BB758" s="55"/>
      <c r="BC758" s="55"/>
      <c r="BD758" s="55"/>
      <c r="BE758" s="55"/>
      <c r="BF758" s="55"/>
      <c r="BG758" s="55"/>
      <c r="BH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/>
      <c r="BD759" s="55"/>
      <c r="BE759" s="55"/>
      <c r="BF759" s="55"/>
      <c r="BG759" s="55"/>
      <c r="BH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55"/>
      <c r="BB760" s="55"/>
      <c r="BC760" s="55"/>
      <c r="BD760" s="55"/>
      <c r="BE760" s="55"/>
      <c r="BF760" s="55"/>
      <c r="BG760" s="55"/>
      <c r="BH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55"/>
      <c r="BB761" s="55"/>
      <c r="BC761" s="55"/>
      <c r="BD761" s="55"/>
      <c r="BE761" s="55"/>
      <c r="BF761" s="55"/>
      <c r="BG761" s="55"/>
      <c r="BH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/>
      <c r="BD762" s="55"/>
      <c r="BE762" s="55"/>
      <c r="BF762" s="55"/>
      <c r="BG762" s="55"/>
      <c r="BH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55"/>
      <c r="BB763" s="55"/>
      <c r="BC763" s="55"/>
      <c r="BD763" s="55"/>
      <c r="BE763" s="55"/>
      <c r="BF763" s="55"/>
      <c r="BG763" s="55"/>
      <c r="BH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55"/>
      <c r="BB764" s="55"/>
      <c r="BC764" s="55"/>
      <c r="BD764" s="55"/>
      <c r="BE764" s="55"/>
      <c r="BF764" s="55"/>
      <c r="BG764" s="55"/>
      <c r="BH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55"/>
      <c r="BB765" s="55"/>
      <c r="BC765" s="55"/>
      <c r="BD765" s="55"/>
      <c r="BE765" s="55"/>
      <c r="BF765" s="55"/>
      <c r="BG765" s="55"/>
      <c r="BH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55"/>
      <c r="BB766" s="55"/>
      <c r="BC766" s="55"/>
      <c r="BD766" s="55"/>
      <c r="BE766" s="55"/>
      <c r="BF766" s="55"/>
      <c r="BG766" s="55"/>
      <c r="BH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/>
      <c r="BD767" s="55"/>
      <c r="BE767" s="55"/>
      <c r="BF767" s="55"/>
      <c r="BG767" s="55"/>
      <c r="BH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55"/>
      <c r="BB768" s="55"/>
      <c r="BC768" s="55"/>
      <c r="BD768" s="55"/>
      <c r="BE768" s="55"/>
      <c r="BF768" s="55"/>
      <c r="BG768" s="55"/>
      <c r="BH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55"/>
      <c r="BB769" s="55"/>
      <c r="BC769" s="55"/>
      <c r="BD769" s="55"/>
      <c r="BE769" s="55"/>
      <c r="BF769" s="55"/>
      <c r="BG769" s="55"/>
      <c r="BH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55"/>
      <c r="BB770" s="55"/>
      <c r="BC770" s="55"/>
      <c r="BD770" s="55"/>
      <c r="BE770" s="55"/>
      <c r="BF770" s="55"/>
      <c r="BG770" s="55"/>
      <c r="BH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/>
      <c r="BD771" s="55"/>
      <c r="BE771" s="55"/>
      <c r="BF771" s="55"/>
      <c r="BG771" s="55"/>
      <c r="BH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/>
      <c r="BD772" s="55"/>
      <c r="BE772" s="55"/>
      <c r="BF772" s="55"/>
      <c r="BG772" s="55"/>
      <c r="BH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/>
      <c r="BD773" s="55"/>
      <c r="BE773" s="55"/>
      <c r="BF773" s="55"/>
      <c r="BG773" s="55"/>
      <c r="BH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/>
      <c r="BD774" s="55"/>
      <c r="BE774" s="55"/>
      <c r="BF774" s="55"/>
      <c r="BG774" s="55"/>
      <c r="BH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/>
      <c r="BD775" s="55"/>
      <c r="BE775" s="55"/>
      <c r="BF775" s="55"/>
      <c r="BG775" s="55"/>
      <c r="BH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/>
      <c r="BD776" s="55"/>
      <c r="BE776" s="55"/>
      <c r="BF776" s="55"/>
      <c r="BG776" s="55"/>
      <c r="BH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  <c r="BD777" s="55"/>
      <c r="BE777" s="55"/>
      <c r="BF777" s="55"/>
      <c r="BG777" s="55"/>
      <c r="BH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  <c r="BD778" s="55"/>
      <c r="BE778" s="55"/>
      <c r="BF778" s="55"/>
      <c r="BG778" s="55"/>
      <c r="BH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/>
      <c r="BD779" s="55"/>
      <c r="BE779" s="55"/>
      <c r="BF779" s="55"/>
      <c r="BG779" s="55"/>
      <c r="BH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/>
      <c r="BD780" s="55"/>
      <c r="BE780" s="55"/>
      <c r="BF780" s="55"/>
      <c r="BG780" s="55"/>
      <c r="BH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  <c r="BD781" s="55"/>
      <c r="BE781" s="55"/>
      <c r="BF781" s="55"/>
      <c r="BG781" s="55"/>
      <c r="BH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/>
      <c r="BD782" s="55"/>
      <c r="BE782" s="55"/>
      <c r="BF782" s="55"/>
      <c r="BG782" s="55"/>
      <c r="BH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  <c r="BD783" s="55"/>
      <c r="BE783" s="55"/>
      <c r="BF783" s="55"/>
      <c r="BG783" s="55"/>
      <c r="BH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/>
      <c r="BD784" s="55"/>
      <c r="BE784" s="55"/>
      <c r="BF784" s="55"/>
      <c r="BG784" s="55"/>
      <c r="BH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/>
      <c r="BD785" s="55"/>
      <c r="BE785" s="55"/>
      <c r="BF785" s="55"/>
      <c r="BG785" s="55"/>
      <c r="BH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/>
      <c r="BD786" s="55"/>
      <c r="BE786" s="55"/>
      <c r="BF786" s="55"/>
      <c r="BG786" s="55"/>
      <c r="BH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/>
      <c r="BD787" s="55"/>
      <c r="BE787" s="55"/>
      <c r="BF787" s="55"/>
      <c r="BG787" s="55"/>
      <c r="BH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  <c r="BG788" s="55"/>
      <c r="BH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  <c r="BD789" s="55"/>
      <c r="BE789" s="55"/>
      <c r="BF789" s="55"/>
      <c r="BG789" s="55"/>
      <c r="BH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  <c r="BD790" s="55"/>
      <c r="BE790" s="55"/>
      <c r="BF790" s="55"/>
      <c r="BG790" s="55"/>
      <c r="BH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  <c r="BG791" s="55"/>
      <c r="BH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  <c r="BD792" s="55"/>
      <c r="BE792" s="55"/>
      <c r="BF792" s="55"/>
      <c r="BG792" s="55"/>
      <c r="BH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/>
      <c r="BD793" s="55"/>
      <c r="BE793" s="55"/>
      <c r="BF793" s="55"/>
      <c r="BG793" s="55"/>
      <c r="BH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/>
      <c r="BD794" s="55"/>
      <c r="BE794" s="55"/>
      <c r="BF794" s="55"/>
      <c r="BG794" s="55"/>
      <c r="BH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/>
      <c r="BD795" s="55"/>
      <c r="BE795" s="55"/>
      <c r="BF795" s="55"/>
      <c r="BG795" s="55"/>
      <c r="BH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/>
      <c r="BD796" s="55"/>
      <c r="BE796" s="55"/>
      <c r="BF796" s="55"/>
      <c r="BG796" s="55"/>
      <c r="BH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  <c r="BD797" s="55"/>
      <c r="BE797" s="55"/>
      <c r="BF797" s="55"/>
      <c r="BG797" s="55"/>
      <c r="BH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  <c r="BD798" s="55"/>
      <c r="BE798" s="55"/>
      <c r="BF798" s="55"/>
      <c r="BG798" s="55"/>
      <c r="BH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  <c r="BH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  <c r="BG800" s="55"/>
      <c r="BH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  <c r="BD801" s="55"/>
      <c r="BE801" s="55"/>
      <c r="BF801" s="55"/>
      <c r="BG801" s="55"/>
      <c r="BH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/>
      <c r="BD802" s="55"/>
      <c r="BE802" s="55"/>
      <c r="BF802" s="55"/>
      <c r="BG802" s="55"/>
      <c r="BH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  <c r="BD803" s="55"/>
      <c r="BE803" s="55"/>
      <c r="BF803" s="55"/>
      <c r="BG803" s="55"/>
      <c r="BH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  <c r="BD804" s="55"/>
      <c r="BE804" s="55"/>
      <c r="BF804" s="55"/>
      <c r="BG804" s="55"/>
      <c r="BH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  <c r="BD805" s="55"/>
      <c r="BE805" s="55"/>
      <c r="BF805" s="55"/>
      <c r="BG805" s="55"/>
      <c r="BH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  <c r="BD806" s="55"/>
      <c r="BE806" s="55"/>
      <c r="BF806" s="55"/>
      <c r="BG806" s="55"/>
      <c r="BH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  <c r="BD807" s="55"/>
      <c r="BE807" s="55"/>
      <c r="BF807" s="55"/>
      <c r="BG807" s="55"/>
      <c r="BH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  <c r="BD808" s="55"/>
      <c r="BE808" s="55"/>
      <c r="BF808" s="55"/>
      <c r="BG808" s="55"/>
      <c r="BH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  <c r="BG809" s="55"/>
      <c r="BH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  <c r="BG810" s="55"/>
      <c r="BH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/>
      <c r="BD811" s="55"/>
      <c r="BE811" s="55"/>
      <c r="BF811" s="55"/>
      <c r="BG811" s="55"/>
      <c r="BH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/>
      <c r="BD812" s="55"/>
      <c r="BE812" s="55"/>
      <c r="BF812" s="55"/>
      <c r="BG812" s="55"/>
      <c r="BH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/>
      <c r="BD813" s="55"/>
      <c r="BE813" s="55"/>
      <c r="BF813" s="55"/>
      <c r="BG813" s="55"/>
      <c r="BH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/>
      <c r="BD814" s="55"/>
      <c r="BE814" s="55"/>
      <c r="BF814" s="55"/>
      <c r="BG814" s="55"/>
      <c r="BH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/>
      <c r="BD815" s="55"/>
      <c r="BE815" s="55"/>
      <c r="BF815" s="55"/>
      <c r="BG815" s="55"/>
      <c r="BH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  <c r="BA816" s="55"/>
      <c r="BB816" s="55"/>
      <c r="BC816" s="55"/>
      <c r="BD816" s="55"/>
      <c r="BE816" s="55"/>
      <c r="BF816" s="55"/>
      <c r="BG816" s="55"/>
      <c r="BH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  <c r="BA817" s="55"/>
      <c r="BB817" s="55"/>
      <c r="BC817" s="55"/>
      <c r="BD817" s="55"/>
      <c r="BE817" s="55"/>
      <c r="BF817" s="55"/>
      <c r="BG817" s="55"/>
      <c r="BH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55"/>
      <c r="BB818" s="55"/>
      <c r="BC818" s="55"/>
      <c r="BD818" s="55"/>
      <c r="BE818" s="55"/>
      <c r="BF818" s="55"/>
      <c r="BG818" s="55"/>
      <c r="BH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55"/>
      <c r="BB819" s="55"/>
      <c r="BC819" s="55"/>
      <c r="BD819" s="55"/>
      <c r="BE819" s="55"/>
      <c r="BF819" s="55"/>
      <c r="BG819" s="55"/>
      <c r="BH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55"/>
      <c r="BB820" s="55"/>
      <c r="BC820" s="55"/>
      <c r="BD820" s="55"/>
      <c r="BE820" s="55"/>
      <c r="BF820" s="55"/>
      <c r="BG820" s="55"/>
      <c r="BH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  <c r="BA821" s="55"/>
      <c r="BB821" s="55"/>
      <c r="BC821" s="55"/>
      <c r="BD821" s="55"/>
      <c r="BE821" s="55"/>
      <c r="BF821" s="55"/>
      <c r="BG821" s="55"/>
      <c r="BH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  <c r="BA822" s="55"/>
      <c r="BB822" s="55"/>
      <c r="BC822" s="55"/>
      <c r="BD822" s="55"/>
      <c r="BE822" s="55"/>
      <c r="BF822" s="55"/>
      <c r="BG822" s="55"/>
      <c r="BH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55"/>
      <c r="BB823" s="55"/>
      <c r="BC823" s="55"/>
      <c r="BD823" s="55"/>
      <c r="BE823" s="55"/>
      <c r="BF823" s="55"/>
      <c r="BG823" s="55"/>
      <c r="BH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55"/>
      <c r="BB824" s="55"/>
      <c r="BC824" s="55"/>
      <c r="BD824" s="55"/>
      <c r="BE824" s="55"/>
      <c r="BF824" s="55"/>
      <c r="BG824" s="55"/>
      <c r="BH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  <c r="BA825" s="55"/>
      <c r="BB825" s="55"/>
      <c r="BC825" s="55"/>
      <c r="BD825" s="55"/>
      <c r="BE825" s="55"/>
      <c r="BF825" s="55"/>
      <c r="BG825" s="55"/>
      <c r="BH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  <c r="BA826" s="55"/>
      <c r="BB826" s="55"/>
      <c r="BC826" s="55"/>
      <c r="BD826" s="55"/>
      <c r="BE826" s="55"/>
      <c r="BF826" s="55"/>
      <c r="BG826" s="55"/>
      <c r="BH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  <c r="BA827" s="55"/>
      <c r="BB827" s="55"/>
      <c r="BC827" s="55"/>
      <c r="BD827" s="55"/>
      <c r="BE827" s="55"/>
      <c r="BF827" s="55"/>
      <c r="BG827" s="55"/>
      <c r="BH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  <c r="BA828" s="55"/>
      <c r="BB828" s="55"/>
      <c r="BC828" s="55"/>
      <c r="BD828" s="55"/>
      <c r="BE828" s="55"/>
      <c r="BF828" s="55"/>
      <c r="BG828" s="55"/>
      <c r="BH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  <c r="BA829" s="55"/>
      <c r="BB829" s="55"/>
      <c r="BC829" s="55"/>
      <c r="BD829" s="55"/>
      <c r="BE829" s="55"/>
      <c r="BF829" s="55"/>
      <c r="BG829" s="55"/>
      <c r="BH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  <c r="BA830" s="55"/>
      <c r="BB830" s="55"/>
      <c r="BC830" s="55"/>
      <c r="BD830" s="55"/>
      <c r="BE830" s="55"/>
      <c r="BF830" s="55"/>
      <c r="BG830" s="55"/>
      <c r="BH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  <c r="BA831" s="55"/>
      <c r="BB831" s="55"/>
      <c r="BC831" s="55"/>
      <c r="BD831" s="55"/>
      <c r="BE831" s="55"/>
      <c r="BF831" s="55"/>
      <c r="BG831" s="55"/>
      <c r="BH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  <c r="BA832" s="55"/>
      <c r="BB832" s="55"/>
      <c r="BC832" s="55"/>
      <c r="BD832" s="55"/>
      <c r="BE832" s="55"/>
      <c r="BF832" s="55"/>
      <c r="BG832" s="55"/>
      <c r="BH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  <c r="BA833" s="55"/>
      <c r="BB833" s="55"/>
      <c r="BC833" s="55"/>
      <c r="BD833" s="55"/>
      <c r="BE833" s="55"/>
      <c r="BF833" s="55"/>
      <c r="BG833" s="55"/>
      <c r="BH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  <c r="BA834" s="55"/>
      <c r="BB834" s="55"/>
      <c r="BC834" s="55"/>
      <c r="BD834" s="55"/>
      <c r="BE834" s="55"/>
      <c r="BF834" s="55"/>
      <c r="BG834" s="55"/>
      <c r="BH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  <c r="BA835" s="55"/>
      <c r="BB835" s="55"/>
      <c r="BC835" s="55"/>
      <c r="BD835" s="55"/>
      <c r="BE835" s="55"/>
      <c r="BF835" s="55"/>
      <c r="BG835" s="55"/>
      <c r="BH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  <c r="BA836" s="55"/>
      <c r="BB836" s="55"/>
      <c r="BC836" s="55"/>
      <c r="BD836" s="55"/>
      <c r="BE836" s="55"/>
      <c r="BF836" s="55"/>
      <c r="BG836" s="55"/>
      <c r="BH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  <c r="BA837" s="55"/>
      <c r="BB837" s="55"/>
      <c r="BC837" s="55"/>
      <c r="BD837" s="55"/>
      <c r="BE837" s="55"/>
      <c r="BF837" s="55"/>
      <c r="BG837" s="55"/>
      <c r="BH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  <c r="BA838" s="55"/>
      <c r="BB838" s="55"/>
      <c r="BC838" s="55"/>
      <c r="BD838" s="55"/>
      <c r="BE838" s="55"/>
      <c r="BF838" s="55"/>
      <c r="BG838" s="55"/>
      <c r="BH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  <c r="BA839" s="55"/>
      <c r="BB839" s="55"/>
      <c r="BC839" s="55"/>
      <c r="BD839" s="55"/>
      <c r="BE839" s="55"/>
      <c r="BF839" s="55"/>
      <c r="BG839" s="55"/>
      <c r="BH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55"/>
      <c r="BB840" s="55"/>
      <c r="BC840" s="55"/>
      <c r="BD840" s="55"/>
      <c r="BE840" s="55"/>
      <c r="BF840" s="55"/>
      <c r="BG840" s="55"/>
      <c r="BH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/>
      <c r="BD841" s="55"/>
      <c r="BE841" s="55"/>
      <c r="BF841" s="55"/>
      <c r="BG841" s="55"/>
      <c r="BH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  <c r="BA842" s="55"/>
      <c r="BB842" s="55"/>
      <c r="BC842" s="55"/>
      <c r="BD842" s="55"/>
      <c r="BE842" s="55"/>
      <c r="BF842" s="55"/>
      <c r="BG842" s="55"/>
      <c r="BH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  <c r="BA843" s="55"/>
      <c r="BB843" s="55"/>
      <c r="BC843" s="55"/>
      <c r="BD843" s="55"/>
      <c r="BE843" s="55"/>
      <c r="BF843" s="55"/>
      <c r="BG843" s="55"/>
      <c r="BH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  <c r="BA844" s="55"/>
      <c r="BB844" s="55"/>
      <c r="BC844" s="55"/>
      <c r="BD844" s="55"/>
      <c r="BE844" s="55"/>
      <c r="BF844" s="55"/>
      <c r="BG844" s="55"/>
      <c r="BH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/>
      <c r="BD845" s="55"/>
      <c r="BE845" s="55"/>
      <c r="BF845" s="55"/>
      <c r="BG845" s="55"/>
      <c r="BH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55"/>
      <c r="BB846" s="55"/>
      <c r="BC846" s="55"/>
      <c r="BD846" s="55"/>
      <c r="BE846" s="55"/>
      <c r="BF846" s="55"/>
      <c r="BG846" s="55"/>
      <c r="BH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  <c r="BA847" s="55"/>
      <c r="BB847" s="55"/>
      <c r="BC847" s="55"/>
      <c r="BD847" s="55"/>
      <c r="BE847" s="55"/>
      <c r="BF847" s="55"/>
      <c r="BG847" s="55"/>
      <c r="BH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55"/>
      <c r="BB848" s="55"/>
      <c r="BC848" s="55"/>
      <c r="BD848" s="55"/>
      <c r="BE848" s="55"/>
      <c r="BF848" s="55"/>
      <c r="BG848" s="55"/>
      <c r="BH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  <c r="BA849" s="55"/>
      <c r="BB849" s="55"/>
      <c r="BC849" s="55"/>
      <c r="BD849" s="55"/>
      <c r="BE849" s="55"/>
      <c r="BF849" s="55"/>
      <c r="BG849" s="55"/>
      <c r="BH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55"/>
      <c r="BB850" s="55"/>
      <c r="BC850" s="55"/>
      <c r="BD850" s="55"/>
      <c r="BE850" s="55"/>
      <c r="BF850" s="55"/>
      <c r="BG850" s="55"/>
      <c r="BH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55"/>
      <c r="BB851" s="55"/>
      <c r="BC851" s="55"/>
      <c r="BD851" s="55"/>
      <c r="BE851" s="55"/>
      <c r="BF851" s="55"/>
      <c r="BG851" s="55"/>
      <c r="BH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55"/>
      <c r="BB852" s="55"/>
      <c r="BC852" s="55"/>
      <c r="BD852" s="55"/>
      <c r="BE852" s="55"/>
      <c r="BF852" s="55"/>
      <c r="BG852" s="55"/>
      <c r="BH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/>
      <c r="BD853" s="55"/>
      <c r="BE853" s="55"/>
      <c r="BF853" s="55"/>
      <c r="BG853" s="55"/>
      <c r="BH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  <c r="BA854" s="55"/>
      <c r="BB854" s="55"/>
      <c r="BC854" s="55"/>
      <c r="BD854" s="55"/>
      <c r="BE854" s="55"/>
      <c r="BF854" s="55"/>
      <c r="BG854" s="55"/>
      <c r="BH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  <c r="BA855" s="55"/>
      <c r="BB855" s="55"/>
      <c r="BC855" s="55"/>
      <c r="BD855" s="55"/>
      <c r="BE855" s="55"/>
      <c r="BF855" s="55"/>
      <c r="BG855" s="55"/>
      <c r="BH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55"/>
      <c r="BB856" s="55"/>
      <c r="BC856" s="55"/>
      <c r="BD856" s="55"/>
      <c r="BE856" s="55"/>
      <c r="BF856" s="55"/>
      <c r="BG856" s="55"/>
      <c r="BH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  <c r="BD857" s="55"/>
      <c r="BE857" s="55"/>
      <c r="BF857" s="55"/>
      <c r="BG857" s="55"/>
      <c r="BH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55"/>
      <c r="BB858" s="55"/>
      <c r="BC858" s="55"/>
      <c r="BD858" s="55"/>
      <c r="BE858" s="55"/>
      <c r="BF858" s="55"/>
      <c r="BG858" s="55"/>
      <c r="BH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  <c r="BA859" s="55"/>
      <c r="BB859" s="55"/>
      <c r="BC859" s="55"/>
      <c r="BD859" s="55"/>
      <c r="BE859" s="55"/>
      <c r="BF859" s="55"/>
      <c r="BG859" s="55"/>
      <c r="BH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  <c r="BA860" s="55"/>
      <c r="BB860" s="55"/>
      <c r="BC860" s="55"/>
      <c r="BD860" s="55"/>
      <c r="BE860" s="55"/>
      <c r="BF860" s="55"/>
      <c r="BG860" s="55"/>
      <c r="BH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  <c r="BA861" s="55"/>
      <c r="BB861" s="55"/>
      <c r="BC861" s="55"/>
      <c r="BD861" s="55"/>
      <c r="BE861" s="55"/>
      <c r="BF861" s="55"/>
      <c r="BG861" s="55"/>
      <c r="BH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55"/>
      <c r="BB862" s="55"/>
      <c r="BC862" s="55"/>
      <c r="BD862" s="55"/>
      <c r="BE862" s="55"/>
      <c r="BF862" s="55"/>
      <c r="BG862" s="55"/>
      <c r="BH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  <c r="BA863" s="55"/>
      <c r="BB863" s="55"/>
      <c r="BC863" s="55"/>
      <c r="BD863" s="55"/>
      <c r="BE863" s="55"/>
      <c r="BF863" s="55"/>
      <c r="BG863" s="55"/>
      <c r="BH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  <c r="AZ864" s="55"/>
      <c r="BA864" s="55"/>
      <c r="BB864" s="55"/>
      <c r="BC864" s="55"/>
      <c r="BD864" s="55"/>
      <c r="BE864" s="55"/>
      <c r="BF864" s="55"/>
      <c r="BG864" s="55"/>
      <c r="BH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  <c r="AZ865" s="55"/>
      <c r="BA865" s="55"/>
      <c r="BB865" s="55"/>
      <c r="BC865" s="55"/>
      <c r="BD865" s="55"/>
      <c r="BE865" s="55"/>
      <c r="BF865" s="55"/>
      <c r="BG865" s="55"/>
      <c r="BH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  <c r="BA866" s="55"/>
      <c r="BB866" s="55"/>
      <c r="BC866" s="55"/>
      <c r="BD866" s="55"/>
      <c r="BE866" s="55"/>
      <c r="BF866" s="55"/>
      <c r="BG866" s="55"/>
      <c r="BH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  <c r="BA867" s="55"/>
      <c r="BB867" s="55"/>
      <c r="BC867" s="55"/>
      <c r="BD867" s="55"/>
      <c r="BE867" s="55"/>
      <c r="BF867" s="55"/>
      <c r="BG867" s="55"/>
      <c r="BH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  <c r="BA868" s="55"/>
      <c r="BB868" s="55"/>
      <c r="BC868" s="55"/>
      <c r="BD868" s="55"/>
      <c r="BE868" s="55"/>
      <c r="BF868" s="55"/>
      <c r="BG868" s="55"/>
      <c r="BH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  <c r="BA869" s="55"/>
      <c r="BB869" s="55"/>
      <c r="BC869" s="55"/>
      <c r="BD869" s="55"/>
      <c r="BE869" s="55"/>
      <c r="BF869" s="55"/>
      <c r="BG869" s="55"/>
      <c r="BH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  <c r="AZ870" s="55"/>
      <c r="BA870" s="55"/>
      <c r="BB870" s="55"/>
      <c r="BC870" s="55"/>
      <c r="BD870" s="55"/>
      <c r="BE870" s="55"/>
      <c r="BF870" s="55"/>
      <c r="BG870" s="55"/>
      <c r="BH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  <c r="AZ871" s="55"/>
      <c r="BA871" s="55"/>
      <c r="BB871" s="55"/>
      <c r="BC871" s="55"/>
      <c r="BD871" s="55"/>
      <c r="BE871" s="55"/>
      <c r="BF871" s="55"/>
      <c r="BG871" s="55"/>
      <c r="BH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  <c r="AZ872" s="55"/>
      <c r="BA872" s="55"/>
      <c r="BB872" s="55"/>
      <c r="BC872" s="55"/>
      <c r="BD872" s="55"/>
      <c r="BE872" s="55"/>
      <c r="BF872" s="55"/>
      <c r="BG872" s="55"/>
      <c r="BH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  <c r="AZ873" s="55"/>
      <c r="BA873" s="55"/>
      <c r="BB873" s="55"/>
      <c r="BC873" s="55"/>
      <c r="BD873" s="55"/>
      <c r="BE873" s="55"/>
      <c r="BF873" s="55"/>
      <c r="BG873" s="55"/>
      <c r="BH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  <c r="BA874" s="55"/>
      <c r="BB874" s="55"/>
      <c r="BC874" s="55"/>
      <c r="BD874" s="55"/>
      <c r="BE874" s="55"/>
      <c r="BF874" s="55"/>
      <c r="BG874" s="55"/>
      <c r="BH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  <c r="AZ875" s="55"/>
      <c r="BA875" s="55"/>
      <c r="BB875" s="55"/>
      <c r="BC875" s="55"/>
      <c r="BD875" s="55"/>
      <c r="BE875" s="55"/>
      <c r="BF875" s="55"/>
      <c r="BG875" s="55"/>
      <c r="BH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  <c r="AX876" s="55"/>
      <c r="AY876" s="55"/>
      <c r="AZ876" s="55"/>
      <c r="BA876" s="55"/>
      <c r="BB876" s="55"/>
      <c r="BC876" s="55"/>
      <c r="BD876" s="55"/>
      <c r="BE876" s="55"/>
      <c r="BF876" s="55"/>
      <c r="BG876" s="55"/>
      <c r="BH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  <c r="AZ877" s="55"/>
      <c r="BA877" s="55"/>
      <c r="BB877" s="55"/>
      <c r="BC877" s="55"/>
      <c r="BD877" s="55"/>
      <c r="BE877" s="55"/>
      <c r="BF877" s="55"/>
      <c r="BG877" s="55"/>
      <c r="BH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  <c r="AX878" s="55"/>
      <c r="AY878" s="55"/>
      <c r="AZ878" s="55"/>
      <c r="BA878" s="55"/>
      <c r="BB878" s="55"/>
      <c r="BC878" s="55"/>
      <c r="BD878" s="55"/>
      <c r="BE878" s="55"/>
      <c r="BF878" s="55"/>
      <c r="BG878" s="55"/>
      <c r="BH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  <c r="AX879" s="55"/>
      <c r="AY879" s="55"/>
      <c r="AZ879" s="55"/>
      <c r="BA879" s="55"/>
      <c r="BB879" s="55"/>
      <c r="BC879" s="55"/>
      <c r="BD879" s="55"/>
      <c r="BE879" s="55"/>
      <c r="BF879" s="55"/>
      <c r="BG879" s="55"/>
      <c r="BH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  <c r="AX880" s="55"/>
      <c r="AY880" s="55"/>
      <c r="AZ880" s="55"/>
      <c r="BA880" s="55"/>
      <c r="BB880" s="55"/>
      <c r="BC880" s="55"/>
      <c r="BD880" s="55"/>
      <c r="BE880" s="55"/>
      <c r="BF880" s="55"/>
      <c r="BG880" s="55"/>
      <c r="BH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  <c r="BA881" s="55"/>
      <c r="BB881" s="55"/>
      <c r="BC881" s="55"/>
      <c r="BD881" s="55"/>
      <c r="BE881" s="55"/>
      <c r="BF881" s="55"/>
      <c r="BG881" s="55"/>
      <c r="BH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  <c r="AX882" s="55"/>
      <c r="AY882" s="55"/>
      <c r="AZ882" s="55"/>
      <c r="BA882" s="55"/>
      <c r="BB882" s="55"/>
      <c r="BC882" s="55"/>
      <c r="BD882" s="55"/>
      <c r="BE882" s="55"/>
      <c r="BF882" s="55"/>
      <c r="BG882" s="55"/>
      <c r="BH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  <c r="AW883" s="55"/>
      <c r="AX883" s="55"/>
      <c r="AY883" s="55"/>
      <c r="AZ883" s="55"/>
      <c r="BA883" s="55"/>
      <c r="BB883" s="55"/>
      <c r="BC883" s="55"/>
      <c r="BD883" s="55"/>
      <c r="BE883" s="55"/>
      <c r="BF883" s="55"/>
      <c r="BG883" s="55"/>
      <c r="BH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  <c r="AW884" s="55"/>
      <c r="AX884" s="55"/>
      <c r="AY884" s="55"/>
      <c r="AZ884" s="55"/>
      <c r="BA884" s="55"/>
      <c r="BB884" s="55"/>
      <c r="BC884" s="55"/>
      <c r="BD884" s="55"/>
      <c r="BE884" s="55"/>
      <c r="BF884" s="55"/>
      <c r="BG884" s="55"/>
      <c r="BH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  <c r="AW885" s="55"/>
      <c r="AX885" s="55"/>
      <c r="AY885" s="55"/>
      <c r="AZ885" s="55"/>
      <c r="BA885" s="55"/>
      <c r="BB885" s="55"/>
      <c r="BC885" s="55"/>
      <c r="BD885" s="55"/>
      <c r="BE885" s="55"/>
      <c r="BF885" s="55"/>
      <c r="BG885" s="55"/>
      <c r="BH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  <c r="AX886" s="55"/>
      <c r="AY886" s="55"/>
      <c r="AZ886" s="55"/>
      <c r="BA886" s="55"/>
      <c r="BB886" s="55"/>
      <c r="BC886" s="55"/>
      <c r="BD886" s="55"/>
      <c r="BE886" s="55"/>
      <c r="BF886" s="55"/>
      <c r="BG886" s="55"/>
      <c r="BH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  <c r="AW887" s="55"/>
      <c r="AX887" s="55"/>
      <c r="AY887" s="55"/>
      <c r="AZ887" s="55"/>
      <c r="BA887" s="55"/>
      <c r="BB887" s="55"/>
      <c r="BC887" s="55"/>
      <c r="BD887" s="55"/>
      <c r="BE887" s="55"/>
      <c r="BF887" s="55"/>
      <c r="BG887" s="55"/>
      <c r="BH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  <c r="AW888" s="55"/>
      <c r="AX888" s="55"/>
      <c r="AY888" s="55"/>
      <c r="AZ888" s="55"/>
      <c r="BA888" s="55"/>
      <c r="BB888" s="55"/>
      <c r="BC888" s="55"/>
      <c r="BD888" s="55"/>
      <c r="BE888" s="55"/>
      <c r="BF888" s="55"/>
      <c r="BG888" s="55"/>
      <c r="BH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  <c r="AW889" s="55"/>
      <c r="AX889" s="55"/>
      <c r="AY889" s="55"/>
      <c r="AZ889" s="55"/>
      <c r="BA889" s="55"/>
      <c r="BB889" s="55"/>
      <c r="BC889" s="55"/>
      <c r="BD889" s="55"/>
      <c r="BE889" s="55"/>
      <c r="BF889" s="55"/>
      <c r="BG889" s="55"/>
      <c r="BH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  <c r="AW890" s="55"/>
      <c r="AX890" s="55"/>
      <c r="AY890" s="55"/>
      <c r="AZ890" s="55"/>
      <c r="BA890" s="55"/>
      <c r="BB890" s="55"/>
      <c r="BC890" s="55"/>
      <c r="BD890" s="55"/>
      <c r="BE890" s="55"/>
      <c r="BF890" s="55"/>
      <c r="BG890" s="55"/>
      <c r="BH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  <c r="AX891" s="55"/>
      <c r="AY891" s="55"/>
      <c r="AZ891" s="55"/>
      <c r="BA891" s="55"/>
      <c r="BB891" s="55"/>
      <c r="BC891" s="55"/>
      <c r="BD891" s="55"/>
      <c r="BE891" s="55"/>
      <c r="BF891" s="55"/>
      <c r="BG891" s="55"/>
      <c r="BH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  <c r="AX892" s="55"/>
      <c r="AY892" s="55"/>
      <c r="AZ892" s="55"/>
      <c r="BA892" s="55"/>
      <c r="BB892" s="55"/>
      <c r="BC892" s="55"/>
      <c r="BD892" s="55"/>
      <c r="BE892" s="55"/>
      <c r="BF892" s="55"/>
      <c r="BG892" s="55"/>
      <c r="BH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  <c r="AX893" s="55"/>
      <c r="AY893" s="55"/>
      <c r="AZ893" s="55"/>
      <c r="BA893" s="55"/>
      <c r="BB893" s="55"/>
      <c r="BC893" s="55"/>
      <c r="BD893" s="55"/>
      <c r="BE893" s="55"/>
      <c r="BF893" s="55"/>
      <c r="BG893" s="55"/>
      <c r="BH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  <c r="AW894" s="55"/>
      <c r="AX894" s="55"/>
      <c r="AY894" s="55"/>
      <c r="AZ894" s="55"/>
      <c r="BA894" s="55"/>
      <c r="BB894" s="55"/>
      <c r="BC894" s="55"/>
      <c r="BD894" s="55"/>
      <c r="BE894" s="55"/>
      <c r="BF894" s="55"/>
      <c r="BG894" s="55"/>
      <c r="BH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  <c r="AW895" s="55"/>
      <c r="AX895" s="55"/>
      <c r="AY895" s="55"/>
      <c r="AZ895" s="55"/>
      <c r="BA895" s="55"/>
      <c r="BB895" s="55"/>
      <c r="BC895" s="55"/>
      <c r="BD895" s="55"/>
      <c r="BE895" s="55"/>
      <c r="BF895" s="55"/>
      <c r="BG895" s="55"/>
      <c r="BH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  <c r="AW896" s="55"/>
      <c r="AX896" s="55"/>
      <c r="AY896" s="55"/>
      <c r="AZ896" s="55"/>
      <c r="BA896" s="55"/>
      <c r="BB896" s="55"/>
      <c r="BC896" s="55"/>
      <c r="BD896" s="55"/>
      <c r="BE896" s="55"/>
      <c r="BF896" s="55"/>
      <c r="BG896" s="55"/>
      <c r="BH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  <c r="BA897" s="55"/>
      <c r="BB897" s="55"/>
      <c r="BC897" s="55"/>
      <c r="BD897" s="55"/>
      <c r="BE897" s="55"/>
      <c r="BF897" s="55"/>
      <c r="BG897" s="55"/>
      <c r="BH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  <c r="AX898" s="55"/>
      <c r="AY898" s="55"/>
      <c r="AZ898" s="55"/>
      <c r="BA898" s="55"/>
      <c r="BB898" s="55"/>
      <c r="BC898" s="55"/>
      <c r="BD898" s="55"/>
      <c r="BE898" s="55"/>
      <c r="BF898" s="55"/>
      <c r="BG898" s="55"/>
      <c r="BH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  <c r="AW899" s="55"/>
      <c r="AX899" s="55"/>
      <c r="AY899" s="55"/>
      <c r="AZ899" s="55"/>
      <c r="BA899" s="55"/>
      <c r="BB899" s="55"/>
      <c r="BC899" s="55"/>
      <c r="BD899" s="55"/>
      <c r="BE899" s="55"/>
      <c r="BF899" s="55"/>
      <c r="BG899" s="55"/>
      <c r="BH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  <c r="AX900" s="55"/>
      <c r="AY900" s="55"/>
      <c r="AZ900" s="55"/>
      <c r="BA900" s="55"/>
      <c r="BB900" s="55"/>
      <c r="BC900" s="55"/>
      <c r="BD900" s="55"/>
      <c r="BE900" s="55"/>
      <c r="BF900" s="55"/>
      <c r="BG900" s="55"/>
      <c r="BH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  <c r="AW901" s="55"/>
      <c r="AX901" s="55"/>
      <c r="AY901" s="55"/>
      <c r="AZ901" s="55"/>
      <c r="BA901" s="55"/>
      <c r="BB901" s="55"/>
      <c r="BC901" s="55"/>
      <c r="BD901" s="55"/>
      <c r="BE901" s="55"/>
      <c r="BF901" s="55"/>
      <c r="BG901" s="55"/>
      <c r="BH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  <c r="BA902" s="55"/>
      <c r="BB902" s="55"/>
      <c r="BC902" s="55"/>
      <c r="BD902" s="55"/>
      <c r="BE902" s="55"/>
      <c r="BF902" s="55"/>
      <c r="BG902" s="55"/>
      <c r="BH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  <c r="AW903" s="55"/>
      <c r="AX903" s="55"/>
      <c r="AY903" s="55"/>
      <c r="AZ903" s="55"/>
      <c r="BA903" s="55"/>
      <c r="BB903" s="55"/>
      <c r="BC903" s="55"/>
      <c r="BD903" s="55"/>
      <c r="BE903" s="55"/>
      <c r="BF903" s="55"/>
      <c r="BG903" s="55"/>
      <c r="BH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  <c r="AX904" s="55"/>
      <c r="AY904" s="55"/>
      <c r="AZ904" s="55"/>
      <c r="BA904" s="55"/>
      <c r="BB904" s="55"/>
      <c r="BC904" s="55"/>
      <c r="BD904" s="55"/>
      <c r="BE904" s="55"/>
      <c r="BF904" s="55"/>
      <c r="BG904" s="55"/>
      <c r="BH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  <c r="AX905" s="55"/>
      <c r="AY905" s="55"/>
      <c r="AZ905" s="55"/>
      <c r="BA905" s="55"/>
      <c r="BB905" s="55"/>
      <c r="BC905" s="55"/>
      <c r="BD905" s="55"/>
      <c r="BE905" s="55"/>
      <c r="BF905" s="55"/>
      <c r="BG905" s="55"/>
      <c r="BH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  <c r="AX906" s="55"/>
      <c r="AY906" s="55"/>
      <c r="AZ906" s="55"/>
      <c r="BA906" s="55"/>
      <c r="BB906" s="55"/>
      <c r="BC906" s="55"/>
      <c r="BD906" s="55"/>
      <c r="BE906" s="55"/>
      <c r="BF906" s="55"/>
      <c r="BG906" s="55"/>
      <c r="BH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  <c r="AX907" s="55"/>
      <c r="AY907" s="55"/>
      <c r="AZ907" s="55"/>
      <c r="BA907" s="55"/>
      <c r="BB907" s="55"/>
      <c r="BC907" s="55"/>
      <c r="BD907" s="55"/>
      <c r="BE907" s="55"/>
      <c r="BF907" s="55"/>
      <c r="BG907" s="55"/>
      <c r="BH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  <c r="AW908" s="55"/>
      <c r="AX908" s="55"/>
      <c r="AY908" s="55"/>
      <c r="AZ908" s="55"/>
      <c r="BA908" s="55"/>
      <c r="BB908" s="55"/>
      <c r="BC908" s="55"/>
      <c r="BD908" s="55"/>
      <c r="BE908" s="55"/>
      <c r="BF908" s="55"/>
      <c r="BG908" s="55"/>
      <c r="BH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  <c r="BA909" s="55"/>
      <c r="BB909" s="55"/>
      <c r="BC909" s="55"/>
      <c r="BD909" s="55"/>
      <c r="BE909" s="55"/>
      <c r="BF909" s="55"/>
      <c r="BG909" s="55"/>
      <c r="BH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/>
      <c r="BD910" s="55"/>
      <c r="BE910" s="55"/>
      <c r="BF910" s="55"/>
      <c r="BG910" s="55"/>
      <c r="BH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  <c r="BA911" s="55"/>
      <c r="BB911" s="55"/>
      <c r="BC911" s="55"/>
      <c r="BD911" s="55"/>
      <c r="BE911" s="55"/>
      <c r="BF911" s="55"/>
      <c r="BG911" s="55"/>
      <c r="BH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  <c r="AX912" s="55"/>
      <c r="AY912" s="55"/>
      <c r="AZ912" s="55"/>
      <c r="BA912" s="55"/>
      <c r="BB912" s="55"/>
      <c r="BC912" s="55"/>
      <c r="BD912" s="55"/>
      <c r="BE912" s="55"/>
      <c r="BF912" s="55"/>
      <c r="BG912" s="55"/>
      <c r="BH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  <c r="AX913" s="55"/>
      <c r="AY913" s="55"/>
      <c r="AZ913" s="55"/>
      <c r="BA913" s="55"/>
      <c r="BB913" s="55"/>
      <c r="BC913" s="55"/>
      <c r="BD913" s="55"/>
      <c r="BE913" s="55"/>
      <c r="BF913" s="55"/>
      <c r="BG913" s="55"/>
      <c r="BH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  <c r="AX914" s="55"/>
      <c r="AY914" s="55"/>
      <c r="AZ914" s="55"/>
      <c r="BA914" s="55"/>
      <c r="BB914" s="55"/>
      <c r="BC914" s="55"/>
      <c r="BD914" s="55"/>
      <c r="BE914" s="55"/>
      <c r="BF914" s="55"/>
      <c r="BG914" s="55"/>
      <c r="BH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  <c r="AX915" s="55"/>
      <c r="AY915" s="55"/>
      <c r="AZ915" s="55"/>
      <c r="BA915" s="55"/>
      <c r="BB915" s="55"/>
      <c r="BC915" s="55"/>
      <c r="BD915" s="55"/>
      <c r="BE915" s="55"/>
      <c r="BF915" s="55"/>
      <c r="BG915" s="55"/>
      <c r="BH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  <c r="BA916" s="55"/>
      <c r="BB916" s="55"/>
      <c r="BC916" s="55"/>
      <c r="BD916" s="55"/>
      <c r="BE916" s="55"/>
      <c r="BF916" s="55"/>
      <c r="BG916" s="55"/>
      <c r="BH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  <c r="AX917" s="55"/>
      <c r="AY917" s="55"/>
      <c r="AZ917" s="55"/>
      <c r="BA917" s="55"/>
      <c r="BB917" s="55"/>
      <c r="BC917" s="55"/>
      <c r="BD917" s="55"/>
      <c r="BE917" s="55"/>
      <c r="BF917" s="55"/>
      <c r="BG917" s="55"/>
      <c r="BH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  <c r="AX918" s="55"/>
      <c r="AY918" s="55"/>
      <c r="AZ918" s="55"/>
      <c r="BA918" s="55"/>
      <c r="BB918" s="55"/>
      <c r="BC918" s="55"/>
      <c r="BD918" s="55"/>
      <c r="BE918" s="55"/>
      <c r="BF918" s="55"/>
      <c r="BG918" s="55"/>
      <c r="BH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  <c r="AX919" s="55"/>
      <c r="AY919" s="55"/>
      <c r="AZ919" s="55"/>
      <c r="BA919" s="55"/>
      <c r="BB919" s="55"/>
      <c r="BC919" s="55"/>
      <c r="BD919" s="55"/>
      <c r="BE919" s="55"/>
      <c r="BF919" s="55"/>
      <c r="BG919" s="55"/>
      <c r="BH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  <c r="AX920" s="55"/>
      <c r="AY920" s="55"/>
      <c r="AZ920" s="55"/>
      <c r="BA920" s="55"/>
      <c r="BB920" s="55"/>
      <c r="BC920" s="55"/>
      <c r="BD920" s="55"/>
      <c r="BE920" s="55"/>
      <c r="BF920" s="55"/>
      <c r="BG920" s="55"/>
      <c r="BH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  <c r="AX921" s="55"/>
      <c r="AY921" s="55"/>
      <c r="AZ921" s="55"/>
      <c r="BA921" s="55"/>
      <c r="BB921" s="55"/>
      <c r="BC921" s="55"/>
      <c r="BD921" s="55"/>
      <c r="BE921" s="55"/>
      <c r="BF921" s="55"/>
      <c r="BG921" s="55"/>
      <c r="BH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  <c r="AX922" s="55"/>
      <c r="AY922" s="55"/>
      <c r="AZ922" s="55"/>
      <c r="BA922" s="55"/>
      <c r="BB922" s="55"/>
      <c r="BC922" s="55"/>
      <c r="BD922" s="55"/>
      <c r="BE922" s="55"/>
      <c r="BF922" s="55"/>
      <c r="BG922" s="55"/>
      <c r="BH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  <c r="AX923" s="55"/>
      <c r="AY923" s="55"/>
      <c r="AZ923" s="55"/>
      <c r="BA923" s="55"/>
      <c r="BB923" s="55"/>
      <c r="BC923" s="55"/>
      <c r="BD923" s="55"/>
      <c r="BE923" s="55"/>
      <c r="BF923" s="55"/>
      <c r="BG923" s="55"/>
      <c r="BH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  <c r="AX924" s="55"/>
      <c r="AY924" s="55"/>
      <c r="AZ924" s="55"/>
      <c r="BA924" s="55"/>
      <c r="BB924" s="55"/>
      <c r="BC924" s="55"/>
      <c r="BD924" s="55"/>
      <c r="BE924" s="55"/>
      <c r="BF924" s="55"/>
      <c r="BG924" s="55"/>
      <c r="BH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  <c r="AX925" s="55"/>
      <c r="AY925" s="55"/>
      <c r="AZ925" s="55"/>
      <c r="BA925" s="55"/>
      <c r="BB925" s="55"/>
      <c r="BC925" s="55"/>
      <c r="BD925" s="55"/>
      <c r="BE925" s="55"/>
      <c r="BF925" s="55"/>
      <c r="BG925" s="55"/>
      <c r="BH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  <c r="AX926" s="55"/>
      <c r="AY926" s="55"/>
      <c r="AZ926" s="55"/>
      <c r="BA926" s="55"/>
      <c r="BB926" s="55"/>
      <c r="BC926" s="55"/>
      <c r="BD926" s="55"/>
      <c r="BE926" s="55"/>
      <c r="BF926" s="55"/>
      <c r="BG926" s="55"/>
      <c r="BH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  <c r="AX927" s="55"/>
      <c r="AY927" s="55"/>
      <c r="AZ927" s="55"/>
      <c r="BA927" s="55"/>
      <c r="BB927" s="55"/>
      <c r="BC927" s="55"/>
      <c r="BD927" s="55"/>
      <c r="BE927" s="55"/>
      <c r="BF927" s="55"/>
      <c r="BG927" s="55"/>
      <c r="BH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  <c r="AX928" s="55"/>
      <c r="AY928" s="55"/>
      <c r="AZ928" s="55"/>
      <c r="BA928" s="55"/>
      <c r="BB928" s="55"/>
      <c r="BC928" s="55"/>
      <c r="BD928" s="55"/>
      <c r="BE928" s="55"/>
      <c r="BF928" s="55"/>
      <c r="BG928" s="55"/>
      <c r="BH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  <c r="AW929" s="55"/>
      <c r="AX929" s="55"/>
      <c r="AY929" s="55"/>
      <c r="AZ929" s="55"/>
      <c r="BA929" s="55"/>
      <c r="BB929" s="55"/>
      <c r="BC929" s="55"/>
      <c r="BD929" s="55"/>
      <c r="BE929" s="55"/>
      <c r="BF929" s="55"/>
      <c r="BG929" s="55"/>
      <c r="BH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  <c r="AX930" s="55"/>
      <c r="AY930" s="55"/>
      <c r="AZ930" s="55"/>
      <c r="BA930" s="55"/>
      <c r="BB930" s="55"/>
      <c r="BC930" s="55"/>
      <c r="BD930" s="55"/>
      <c r="BE930" s="55"/>
      <c r="BF930" s="55"/>
      <c r="BG930" s="55"/>
      <c r="BH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  <c r="AW931" s="55"/>
      <c r="AX931" s="55"/>
      <c r="AY931" s="55"/>
      <c r="AZ931" s="55"/>
      <c r="BA931" s="55"/>
      <c r="BB931" s="55"/>
      <c r="BC931" s="55"/>
      <c r="BD931" s="55"/>
      <c r="BE931" s="55"/>
      <c r="BF931" s="55"/>
      <c r="BG931" s="55"/>
      <c r="BH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  <c r="AX932" s="55"/>
      <c r="AY932" s="55"/>
      <c r="AZ932" s="55"/>
      <c r="BA932" s="55"/>
      <c r="BB932" s="55"/>
      <c r="BC932" s="55"/>
      <c r="BD932" s="55"/>
      <c r="BE932" s="55"/>
      <c r="BF932" s="55"/>
      <c r="BG932" s="55"/>
      <c r="BH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  <c r="AW933" s="55"/>
      <c r="AX933" s="55"/>
      <c r="AY933" s="55"/>
      <c r="AZ933" s="55"/>
      <c r="BA933" s="55"/>
      <c r="BB933" s="55"/>
      <c r="BC933" s="55"/>
      <c r="BD933" s="55"/>
      <c r="BE933" s="55"/>
      <c r="BF933" s="55"/>
      <c r="BG933" s="55"/>
      <c r="BH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  <c r="AW934" s="55"/>
      <c r="AX934" s="55"/>
      <c r="AY934" s="55"/>
      <c r="AZ934" s="55"/>
      <c r="BA934" s="55"/>
      <c r="BB934" s="55"/>
      <c r="BC934" s="55"/>
      <c r="BD934" s="55"/>
      <c r="BE934" s="55"/>
      <c r="BF934" s="55"/>
      <c r="BG934" s="55"/>
      <c r="BH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  <c r="AW935" s="55"/>
      <c r="AX935" s="55"/>
      <c r="AY935" s="55"/>
      <c r="AZ935" s="55"/>
      <c r="BA935" s="55"/>
      <c r="BB935" s="55"/>
      <c r="BC935" s="55"/>
      <c r="BD935" s="55"/>
      <c r="BE935" s="55"/>
      <c r="BF935" s="55"/>
      <c r="BG935" s="55"/>
      <c r="BH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  <c r="AW936" s="55"/>
      <c r="AX936" s="55"/>
      <c r="AY936" s="55"/>
      <c r="AZ936" s="55"/>
      <c r="BA936" s="55"/>
      <c r="BB936" s="55"/>
      <c r="BC936" s="55"/>
      <c r="BD936" s="55"/>
      <c r="BE936" s="55"/>
      <c r="BF936" s="55"/>
      <c r="BG936" s="55"/>
      <c r="BH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  <c r="AW937" s="55"/>
      <c r="AX937" s="55"/>
      <c r="AY937" s="55"/>
      <c r="AZ937" s="55"/>
      <c r="BA937" s="55"/>
      <c r="BB937" s="55"/>
      <c r="BC937" s="55"/>
      <c r="BD937" s="55"/>
      <c r="BE937" s="55"/>
      <c r="BF937" s="55"/>
      <c r="BG937" s="55"/>
      <c r="BH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  <c r="AW938" s="55"/>
      <c r="AX938" s="55"/>
      <c r="AY938" s="55"/>
      <c r="AZ938" s="55"/>
      <c r="BA938" s="55"/>
      <c r="BB938" s="55"/>
      <c r="BC938" s="55"/>
      <c r="BD938" s="55"/>
      <c r="BE938" s="55"/>
      <c r="BF938" s="55"/>
      <c r="BG938" s="55"/>
      <c r="BH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  <c r="AW939" s="55"/>
      <c r="AX939" s="55"/>
      <c r="AY939" s="55"/>
      <c r="AZ939" s="55"/>
      <c r="BA939" s="55"/>
      <c r="BB939" s="55"/>
      <c r="BC939" s="55"/>
      <c r="BD939" s="55"/>
      <c r="BE939" s="55"/>
      <c r="BF939" s="55"/>
      <c r="BG939" s="55"/>
      <c r="BH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  <c r="AW940" s="55"/>
      <c r="AX940" s="55"/>
      <c r="AY940" s="55"/>
      <c r="AZ940" s="55"/>
      <c r="BA940" s="55"/>
      <c r="BB940" s="55"/>
      <c r="BC940" s="55"/>
      <c r="BD940" s="55"/>
      <c r="BE940" s="55"/>
      <c r="BF940" s="55"/>
      <c r="BG940" s="55"/>
      <c r="BH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  <c r="AW941" s="55"/>
      <c r="AX941" s="55"/>
      <c r="AY941" s="55"/>
      <c r="AZ941" s="55"/>
      <c r="BA941" s="55"/>
      <c r="BB941" s="55"/>
      <c r="BC941" s="55"/>
      <c r="BD941" s="55"/>
      <c r="BE941" s="55"/>
      <c r="BF941" s="55"/>
      <c r="BG941" s="55"/>
      <c r="BH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  <c r="AW942" s="55"/>
      <c r="AX942" s="55"/>
      <c r="AY942" s="55"/>
      <c r="AZ942" s="55"/>
      <c r="BA942" s="55"/>
      <c r="BB942" s="55"/>
      <c r="BC942" s="55"/>
      <c r="BD942" s="55"/>
      <c r="BE942" s="55"/>
      <c r="BF942" s="55"/>
      <c r="BG942" s="55"/>
      <c r="BH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  <c r="AW943" s="55"/>
      <c r="AX943" s="55"/>
      <c r="AY943" s="55"/>
      <c r="AZ943" s="55"/>
      <c r="BA943" s="55"/>
      <c r="BB943" s="55"/>
      <c r="BC943" s="55"/>
      <c r="BD943" s="55"/>
      <c r="BE943" s="55"/>
      <c r="BF943" s="55"/>
      <c r="BG943" s="55"/>
      <c r="BH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  <c r="AX944" s="55"/>
      <c r="AY944" s="55"/>
      <c r="AZ944" s="55"/>
      <c r="BA944" s="55"/>
      <c r="BB944" s="55"/>
      <c r="BC944" s="55"/>
      <c r="BD944" s="55"/>
      <c r="BE944" s="55"/>
      <c r="BF944" s="55"/>
      <c r="BG944" s="55"/>
      <c r="BH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  <c r="BA945" s="55"/>
      <c r="BB945" s="55"/>
      <c r="BC945" s="55"/>
      <c r="BD945" s="55"/>
      <c r="BE945" s="55"/>
      <c r="BF945" s="55"/>
      <c r="BG945" s="55"/>
      <c r="BH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  <c r="AX946" s="55"/>
      <c r="AY946" s="55"/>
      <c r="AZ946" s="55"/>
      <c r="BA946" s="55"/>
      <c r="BB946" s="55"/>
      <c r="BC946" s="55"/>
      <c r="BD946" s="55"/>
      <c r="BE946" s="55"/>
      <c r="BF946" s="55"/>
      <c r="BG946" s="55"/>
      <c r="BH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  <c r="AX947" s="55"/>
      <c r="AY947" s="55"/>
      <c r="AZ947" s="55"/>
      <c r="BA947" s="55"/>
      <c r="BB947" s="55"/>
      <c r="BC947" s="55"/>
      <c r="BD947" s="55"/>
      <c r="BE947" s="55"/>
      <c r="BF947" s="55"/>
      <c r="BG947" s="55"/>
      <c r="BH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  <c r="AW948" s="55"/>
      <c r="AX948" s="55"/>
      <c r="AY948" s="55"/>
      <c r="AZ948" s="55"/>
      <c r="BA948" s="55"/>
      <c r="BB948" s="55"/>
      <c r="BC948" s="55"/>
      <c r="BD948" s="55"/>
      <c r="BE948" s="55"/>
      <c r="BF948" s="55"/>
      <c r="BG948" s="55"/>
      <c r="BH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  <c r="AW949" s="55"/>
      <c r="AX949" s="55"/>
      <c r="AY949" s="55"/>
      <c r="AZ949" s="55"/>
      <c r="BA949" s="55"/>
      <c r="BB949" s="55"/>
      <c r="BC949" s="55"/>
      <c r="BD949" s="55"/>
      <c r="BE949" s="55"/>
      <c r="BF949" s="55"/>
      <c r="BG949" s="55"/>
      <c r="BH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  <c r="BA950" s="55"/>
      <c r="BB950" s="55"/>
      <c r="BC950" s="55"/>
      <c r="BD950" s="55"/>
      <c r="BE950" s="55"/>
      <c r="BF950" s="55"/>
      <c r="BG950" s="55"/>
      <c r="BH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  <c r="AX951" s="55"/>
      <c r="AY951" s="55"/>
      <c r="AZ951" s="55"/>
      <c r="BA951" s="55"/>
      <c r="BB951" s="55"/>
      <c r="BC951" s="55"/>
      <c r="BD951" s="55"/>
      <c r="BE951" s="55"/>
      <c r="BF951" s="55"/>
      <c r="BG951" s="55"/>
      <c r="BH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  <c r="BA952" s="55"/>
      <c r="BB952" s="55"/>
      <c r="BC952" s="55"/>
      <c r="BD952" s="55"/>
      <c r="BE952" s="55"/>
      <c r="BF952" s="55"/>
      <c r="BG952" s="55"/>
      <c r="BH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  <c r="AW953" s="55"/>
      <c r="AX953" s="55"/>
      <c r="AY953" s="55"/>
      <c r="AZ953" s="55"/>
      <c r="BA953" s="55"/>
      <c r="BB953" s="55"/>
      <c r="BC953" s="55"/>
      <c r="BD953" s="55"/>
      <c r="BE953" s="55"/>
      <c r="BF953" s="55"/>
      <c r="BG953" s="55"/>
      <c r="BH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  <c r="AX954" s="55"/>
      <c r="AY954" s="55"/>
      <c r="AZ954" s="55"/>
      <c r="BA954" s="55"/>
      <c r="BB954" s="55"/>
      <c r="BC954" s="55"/>
      <c r="BD954" s="55"/>
      <c r="BE954" s="55"/>
      <c r="BF954" s="55"/>
      <c r="BG954" s="55"/>
      <c r="BH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  <c r="AW955" s="55"/>
      <c r="AX955" s="55"/>
      <c r="AY955" s="55"/>
      <c r="AZ955" s="55"/>
      <c r="BA955" s="55"/>
      <c r="BB955" s="55"/>
      <c r="BC955" s="55"/>
      <c r="BD955" s="55"/>
      <c r="BE955" s="55"/>
      <c r="BF955" s="55"/>
      <c r="BG955" s="55"/>
      <c r="BH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  <c r="AW956" s="55"/>
      <c r="AX956" s="55"/>
      <c r="AY956" s="55"/>
      <c r="AZ956" s="55"/>
      <c r="BA956" s="55"/>
      <c r="BB956" s="55"/>
      <c r="BC956" s="55"/>
      <c r="BD956" s="55"/>
      <c r="BE956" s="55"/>
      <c r="BF956" s="55"/>
      <c r="BG956" s="55"/>
      <c r="BH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  <c r="AW957" s="55"/>
      <c r="AX957" s="55"/>
      <c r="AY957" s="55"/>
      <c r="AZ957" s="55"/>
      <c r="BA957" s="55"/>
      <c r="BB957" s="55"/>
      <c r="BC957" s="55"/>
      <c r="BD957" s="55"/>
      <c r="BE957" s="55"/>
      <c r="BF957" s="55"/>
      <c r="BG957" s="55"/>
      <c r="BH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  <c r="AX958" s="55"/>
      <c r="AY958" s="55"/>
      <c r="AZ958" s="55"/>
      <c r="BA958" s="55"/>
      <c r="BB958" s="55"/>
      <c r="BC958" s="55"/>
      <c r="BD958" s="55"/>
      <c r="BE958" s="55"/>
      <c r="BF958" s="55"/>
      <c r="BG958" s="55"/>
      <c r="BH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  <c r="AX959" s="55"/>
      <c r="AY959" s="55"/>
      <c r="AZ959" s="55"/>
      <c r="BA959" s="55"/>
      <c r="BB959" s="55"/>
      <c r="BC959" s="55"/>
      <c r="BD959" s="55"/>
      <c r="BE959" s="55"/>
      <c r="BF959" s="55"/>
      <c r="BG959" s="55"/>
      <c r="BH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  <c r="AX960" s="55"/>
      <c r="AY960" s="55"/>
      <c r="AZ960" s="55"/>
      <c r="BA960" s="55"/>
      <c r="BB960" s="55"/>
      <c r="BC960" s="55"/>
      <c r="BD960" s="55"/>
      <c r="BE960" s="55"/>
      <c r="BF960" s="55"/>
      <c r="BG960" s="55"/>
      <c r="BH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  <c r="AX961" s="55"/>
      <c r="AY961" s="55"/>
      <c r="AZ961" s="55"/>
      <c r="BA961" s="55"/>
      <c r="BB961" s="55"/>
      <c r="BC961" s="55"/>
      <c r="BD961" s="55"/>
      <c r="BE961" s="55"/>
      <c r="BF961" s="55"/>
      <c r="BG961" s="55"/>
      <c r="BH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  <c r="AW962" s="55"/>
      <c r="AX962" s="55"/>
      <c r="AY962" s="55"/>
      <c r="AZ962" s="55"/>
      <c r="BA962" s="55"/>
      <c r="BB962" s="55"/>
      <c r="BC962" s="55"/>
      <c r="BD962" s="55"/>
      <c r="BE962" s="55"/>
      <c r="BF962" s="55"/>
      <c r="BG962" s="55"/>
      <c r="BH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  <c r="AW963" s="55"/>
      <c r="AX963" s="55"/>
      <c r="AY963" s="55"/>
      <c r="AZ963" s="55"/>
      <c r="BA963" s="55"/>
      <c r="BB963" s="55"/>
      <c r="BC963" s="55"/>
      <c r="BD963" s="55"/>
      <c r="BE963" s="55"/>
      <c r="BF963" s="55"/>
      <c r="BG963" s="55"/>
      <c r="BH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  <c r="AW964" s="55"/>
      <c r="AX964" s="55"/>
      <c r="AY964" s="55"/>
      <c r="AZ964" s="55"/>
      <c r="BA964" s="55"/>
      <c r="BB964" s="55"/>
      <c r="BC964" s="55"/>
      <c r="BD964" s="55"/>
      <c r="BE964" s="55"/>
      <c r="BF964" s="55"/>
      <c r="BG964" s="55"/>
      <c r="BH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  <c r="AW965" s="55"/>
      <c r="AX965" s="55"/>
      <c r="AY965" s="55"/>
      <c r="AZ965" s="55"/>
      <c r="BA965" s="55"/>
      <c r="BB965" s="55"/>
      <c r="BC965" s="55"/>
      <c r="BD965" s="55"/>
      <c r="BE965" s="55"/>
      <c r="BF965" s="55"/>
      <c r="BG965" s="55"/>
      <c r="BH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  <c r="AW966" s="55"/>
      <c r="AX966" s="55"/>
      <c r="AY966" s="55"/>
      <c r="AZ966" s="55"/>
      <c r="BA966" s="55"/>
      <c r="BB966" s="55"/>
      <c r="BC966" s="55"/>
      <c r="BD966" s="55"/>
      <c r="BE966" s="55"/>
      <c r="BF966" s="55"/>
      <c r="BG966" s="55"/>
      <c r="BH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  <c r="AW967" s="55"/>
      <c r="AX967" s="55"/>
      <c r="AY967" s="55"/>
      <c r="AZ967" s="55"/>
      <c r="BA967" s="55"/>
      <c r="BB967" s="55"/>
      <c r="BC967" s="55"/>
      <c r="BD967" s="55"/>
      <c r="BE967" s="55"/>
      <c r="BF967" s="55"/>
      <c r="BG967" s="55"/>
      <c r="BH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  <c r="AW968" s="55"/>
      <c r="AX968" s="55"/>
      <c r="AY968" s="55"/>
      <c r="AZ968" s="55"/>
      <c r="BA968" s="55"/>
      <c r="BB968" s="55"/>
      <c r="BC968" s="55"/>
      <c r="BD968" s="55"/>
      <c r="BE968" s="55"/>
      <c r="BF968" s="55"/>
      <c r="BG968" s="55"/>
      <c r="BH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  <c r="AX969" s="55"/>
      <c r="AY969" s="55"/>
      <c r="AZ969" s="55"/>
      <c r="BA969" s="55"/>
      <c r="BB969" s="55"/>
      <c r="BC969" s="55"/>
      <c r="BD969" s="55"/>
      <c r="BE969" s="55"/>
      <c r="BF969" s="55"/>
      <c r="BG969" s="55"/>
      <c r="BH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  <c r="AW970" s="55"/>
      <c r="AX970" s="55"/>
      <c r="AY970" s="55"/>
      <c r="AZ970" s="55"/>
      <c r="BA970" s="55"/>
      <c r="BB970" s="55"/>
      <c r="BC970" s="55"/>
      <c r="BD970" s="55"/>
      <c r="BE970" s="55"/>
      <c r="BF970" s="55"/>
      <c r="BG970" s="55"/>
      <c r="BH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  <c r="AW971" s="55"/>
      <c r="AX971" s="55"/>
      <c r="AY971" s="55"/>
      <c r="AZ971" s="55"/>
      <c r="BA971" s="55"/>
      <c r="BB971" s="55"/>
      <c r="BC971" s="55"/>
      <c r="BD971" s="55"/>
      <c r="BE971" s="55"/>
      <c r="BF971" s="55"/>
      <c r="BG971" s="55"/>
      <c r="BH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  <c r="AW972" s="55"/>
      <c r="AX972" s="55"/>
      <c r="AY972" s="55"/>
      <c r="AZ972" s="55"/>
      <c r="BA972" s="55"/>
      <c r="BB972" s="55"/>
      <c r="BC972" s="55"/>
      <c r="BD972" s="55"/>
      <c r="BE972" s="55"/>
      <c r="BF972" s="55"/>
      <c r="BG972" s="55"/>
      <c r="BH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  <c r="AW973" s="55"/>
      <c r="AX973" s="55"/>
      <c r="AY973" s="55"/>
      <c r="AZ973" s="55"/>
      <c r="BA973" s="55"/>
      <c r="BB973" s="55"/>
      <c r="BC973" s="55"/>
      <c r="BD973" s="55"/>
      <c r="BE973" s="55"/>
      <c r="BF973" s="55"/>
      <c r="BG973" s="55"/>
      <c r="BH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  <c r="AX974" s="55"/>
      <c r="AY974" s="55"/>
      <c r="AZ974" s="55"/>
      <c r="BA974" s="55"/>
      <c r="BB974" s="55"/>
      <c r="BC974" s="55"/>
      <c r="BD974" s="55"/>
      <c r="BE974" s="55"/>
      <c r="BF974" s="55"/>
      <c r="BG974" s="55"/>
      <c r="BH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  <c r="AW975" s="55"/>
      <c r="AX975" s="55"/>
      <c r="AY975" s="55"/>
      <c r="AZ975" s="55"/>
      <c r="BA975" s="55"/>
      <c r="BB975" s="55"/>
      <c r="BC975" s="55"/>
      <c r="BD975" s="55"/>
      <c r="BE975" s="55"/>
      <c r="BF975" s="55"/>
      <c r="BG975" s="55"/>
      <c r="BH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  <c r="AW976" s="55"/>
      <c r="AX976" s="55"/>
      <c r="AY976" s="55"/>
      <c r="AZ976" s="55"/>
      <c r="BA976" s="55"/>
      <c r="BB976" s="55"/>
      <c r="BC976" s="55"/>
      <c r="BD976" s="55"/>
      <c r="BE976" s="55"/>
      <c r="BF976" s="55"/>
      <c r="BG976" s="55"/>
      <c r="BH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  <c r="AW977" s="55"/>
      <c r="AX977" s="55"/>
      <c r="AY977" s="55"/>
      <c r="AZ977" s="55"/>
      <c r="BA977" s="55"/>
      <c r="BB977" s="55"/>
      <c r="BC977" s="55"/>
      <c r="BD977" s="55"/>
      <c r="BE977" s="55"/>
      <c r="BF977" s="55"/>
      <c r="BG977" s="55"/>
      <c r="BH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  <c r="AW978" s="55"/>
      <c r="AX978" s="55"/>
      <c r="AY978" s="55"/>
      <c r="AZ978" s="55"/>
      <c r="BA978" s="55"/>
      <c r="BB978" s="55"/>
      <c r="BC978" s="55"/>
      <c r="BD978" s="55"/>
      <c r="BE978" s="55"/>
      <c r="BF978" s="55"/>
      <c r="BG978" s="55"/>
      <c r="BH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  <c r="AX979" s="55"/>
      <c r="AY979" s="55"/>
      <c r="AZ979" s="55"/>
      <c r="BA979" s="55"/>
      <c r="BB979" s="55"/>
      <c r="BC979" s="55"/>
      <c r="BD979" s="55"/>
      <c r="BE979" s="55"/>
      <c r="BF979" s="55"/>
      <c r="BG979" s="55"/>
      <c r="BH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  <c r="AW980" s="55"/>
      <c r="AX980" s="55"/>
      <c r="AY980" s="55"/>
      <c r="AZ980" s="55"/>
      <c r="BA980" s="55"/>
      <c r="BB980" s="55"/>
      <c r="BC980" s="55"/>
      <c r="BD980" s="55"/>
      <c r="BE980" s="55"/>
      <c r="BF980" s="55"/>
      <c r="BG980" s="55"/>
      <c r="BH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  <c r="AW981" s="55"/>
      <c r="AX981" s="55"/>
      <c r="AY981" s="55"/>
      <c r="AZ981" s="55"/>
      <c r="BA981" s="55"/>
      <c r="BB981" s="55"/>
      <c r="BC981" s="55"/>
      <c r="BD981" s="55"/>
      <c r="BE981" s="55"/>
      <c r="BF981" s="55"/>
      <c r="BG981" s="55"/>
      <c r="BH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  <c r="AW982" s="55"/>
      <c r="AX982" s="55"/>
      <c r="AY982" s="55"/>
      <c r="AZ982" s="55"/>
      <c r="BA982" s="55"/>
      <c r="BB982" s="55"/>
      <c r="BC982" s="55"/>
      <c r="BD982" s="55"/>
      <c r="BE982" s="55"/>
      <c r="BF982" s="55"/>
      <c r="BG982" s="55"/>
      <c r="BH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  <c r="AW983" s="55"/>
      <c r="AX983" s="55"/>
      <c r="AY983" s="55"/>
      <c r="AZ983" s="55"/>
      <c r="BA983" s="55"/>
      <c r="BB983" s="55"/>
      <c r="BC983" s="55"/>
      <c r="BD983" s="55"/>
      <c r="BE983" s="55"/>
      <c r="BF983" s="55"/>
      <c r="BG983" s="55"/>
      <c r="BH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  <c r="AX984" s="55"/>
      <c r="AY984" s="55"/>
      <c r="AZ984" s="55"/>
      <c r="BA984" s="55"/>
      <c r="BB984" s="55"/>
      <c r="BC984" s="55"/>
      <c r="BD984" s="55"/>
      <c r="BE984" s="55"/>
      <c r="BF984" s="55"/>
      <c r="BG984" s="55"/>
      <c r="BH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  <c r="BA985" s="55"/>
      <c r="BB985" s="55"/>
      <c r="BC985" s="55"/>
      <c r="BD985" s="55"/>
      <c r="BE985" s="55"/>
      <c r="BF985" s="55"/>
      <c r="BG985" s="55"/>
      <c r="BH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  <c r="BA986" s="55"/>
      <c r="BB986" s="55"/>
      <c r="BC986" s="55"/>
      <c r="BD986" s="55"/>
      <c r="BE986" s="55"/>
      <c r="BF986" s="55"/>
      <c r="BG986" s="55"/>
      <c r="BH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  <c r="AX987" s="55"/>
      <c r="AY987" s="55"/>
      <c r="AZ987" s="55"/>
      <c r="BA987" s="55"/>
      <c r="BB987" s="55"/>
      <c r="BC987" s="55"/>
      <c r="BD987" s="55"/>
      <c r="BE987" s="55"/>
      <c r="BF987" s="55"/>
      <c r="BG987" s="55"/>
      <c r="BH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  <c r="AW988" s="55"/>
      <c r="AX988" s="55"/>
      <c r="AY988" s="55"/>
      <c r="AZ988" s="55"/>
      <c r="BA988" s="55"/>
      <c r="BB988" s="55"/>
      <c r="BC988" s="55"/>
      <c r="BD988" s="55"/>
      <c r="BE988" s="55"/>
      <c r="BF988" s="55"/>
      <c r="BG988" s="55"/>
      <c r="BH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  <c r="AW989" s="55"/>
      <c r="AX989" s="55"/>
      <c r="AY989" s="55"/>
      <c r="AZ989" s="55"/>
      <c r="BA989" s="55"/>
      <c r="BB989" s="55"/>
      <c r="BC989" s="55"/>
      <c r="BD989" s="55"/>
      <c r="BE989" s="55"/>
      <c r="BF989" s="55"/>
      <c r="BG989" s="55"/>
      <c r="BH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  <c r="BA990" s="55"/>
      <c r="BB990" s="55"/>
      <c r="BC990" s="55"/>
      <c r="BD990" s="55"/>
      <c r="BE990" s="55"/>
      <c r="BF990" s="55"/>
      <c r="BG990" s="55"/>
      <c r="BH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  <c r="AX991" s="55"/>
      <c r="AY991" s="55"/>
      <c r="AZ991" s="55"/>
      <c r="BA991" s="55"/>
      <c r="BB991" s="55"/>
      <c r="BC991" s="55"/>
      <c r="BD991" s="55"/>
      <c r="BE991" s="55"/>
      <c r="BF991" s="55"/>
      <c r="BG991" s="55"/>
      <c r="BH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  <c r="AX992" s="55"/>
      <c r="AY992" s="55"/>
      <c r="AZ992" s="55"/>
      <c r="BA992" s="55"/>
      <c r="BB992" s="55"/>
      <c r="BC992" s="55"/>
      <c r="BD992" s="55"/>
      <c r="BE992" s="55"/>
      <c r="BF992" s="55"/>
      <c r="BG992" s="55"/>
      <c r="BH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  <c r="AW993" s="55"/>
      <c r="AX993" s="55"/>
      <c r="AY993" s="55"/>
      <c r="AZ993" s="55"/>
      <c r="BA993" s="55"/>
      <c r="BB993" s="55"/>
      <c r="BC993" s="55"/>
      <c r="BD993" s="55"/>
      <c r="BE993" s="55"/>
      <c r="BF993" s="55"/>
      <c r="BG993" s="55"/>
      <c r="BH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  <c r="AW994" s="55"/>
      <c r="AX994" s="55"/>
      <c r="AY994" s="55"/>
      <c r="AZ994" s="55"/>
      <c r="BA994" s="55"/>
      <c r="BB994" s="55"/>
      <c r="BC994" s="55"/>
      <c r="BD994" s="55"/>
      <c r="BE994" s="55"/>
      <c r="BF994" s="55"/>
      <c r="BG994" s="55"/>
      <c r="BH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  <c r="AW995" s="55"/>
      <c r="AX995" s="55"/>
      <c r="AY995" s="55"/>
      <c r="AZ995" s="55"/>
      <c r="BA995" s="55"/>
      <c r="BB995" s="55"/>
      <c r="BC995" s="55"/>
      <c r="BD995" s="55"/>
      <c r="BE995" s="55"/>
      <c r="BF995" s="55"/>
      <c r="BG995" s="55"/>
      <c r="BH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  <c r="AW996" s="55"/>
      <c r="AX996" s="55"/>
      <c r="AY996" s="55"/>
      <c r="AZ996" s="55"/>
      <c r="BA996" s="55"/>
      <c r="BB996" s="55"/>
      <c r="BC996" s="55"/>
      <c r="BD996" s="55"/>
      <c r="BE996" s="55"/>
      <c r="BF996" s="55"/>
      <c r="BG996" s="55"/>
      <c r="BH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  <c r="AW997" s="55"/>
      <c r="AX997" s="55"/>
      <c r="AY997" s="55"/>
      <c r="AZ997" s="55"/>
      <c r="BA997" s="55"/>
      <c r="BB997" s="55"/>
      <c r="BC997" s="55"/>
      <c r="BD997" s="55"/>
      <c r="BE997" s="55"/>
      <c r="BF997" s="55"/>
      <c r="BG997" s="55"/>
      <c r="BH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  <c r="AW998" s="55"/>
      <c r="AX998" s="55"/>
      <c r="AY998" s="55"/>
      <c r="AZ998" s="55"/>
      <c r="BA998" s="55"/>
      <c r="BB998" s="55"/>
      <c r="BC998" s="55"/>
      <c r="BD998" s="55"/>
      <c r="BE998" s="55"/>
      <c r="BF998" s="55"/>
      <c r="BG998" s="55"/>
      <c r="BH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  <c r="AW999" s="55"/>
      <c r="AX999" s="55"/>
      <c r="AY999" s="55"/>
      <c r="AZ999" s="55"/>
      <c r="BA999" s="55"/>
      <c r="BB999" s="55"/>
      <c r="BC999" s="55"/>
      <c r="BD999" s="55"/>
      <c r="BE999" s="55"/>
      <c r="BF999" s="55"/>
      <c r="BG999" s="55"/>
      <c r="BH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  <c r="AW1000" s="55"/>
      <c r="AX1000" s="55"/>
      <c r="AY1000" s="55"/>
      <c r="AZ1000" s="55"/>
      <c r="BA1000" s="55"/>
      <c r="BB1000" s="55"/>
      <c r="BC1000" s="55"/>
      <c r="BD1000" s="55"/>
      <c r="BE1000" s="55"/>
      <c r="BF1000" s="55"/>
      <c r="BG1000" s="55"/>
      <c r="BH1000" s="55"/>
    </row>
  </sheetData>
  <autoFilter ref="$B$2:$BG$2"/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1.22" defaultRowHeight="15.0"/>
  <cols>
    <col customWidth="1" min="1" max="1" width="8.44"/>
    <col customWidth="1" min="2" max="2" width="11.22"/>
    <col customWidth="1" min="3" max="3" width="13.67"/>
    <col customWidth="1" min="4" max="4" width="24.22"/>
    <col customWidth="1" min="5" max="5" width="38.0"/>
    <col customWidth="1" min="6" max="6" width="28.44"/>
    <col customWidth="1" min="7" max="58" width="9.0"/>
  </cols>
  <sheetData>
    <row r="1" ht="14.25" customHeight="1">
      <c r="A1" s="111"/>
      <c r="B1" s="111"/>
      <c r="C1" s="112"/>
      <c r="D1" s="112"/>
      <c r="E1" s="111">
        <v>1.0</v>
      </c>
      <c r="F1" s="111">
        <v>2.0</v>
      </c>
      <c r="G1" s="111">
        <v>3.0</v>
      </c>
      <c r="H1" s="111">
        <v>4.0</v>
      </c>
      <c r="I1" s="111">
        <v>5.0</v>
      </c>
      <c r="J1" s="111">
        <v>6.0</v>
      </c>
      <c r="K1" s="111">
        <v>7.0</v>
      </c>
      <c r="L1" s="111">
        <v>8.0</v>
      </c>
      <c r="M1" s="111">
        <v>9.0</v>
      </c>
      <c r="N1" s="111">
        <v>10.0</v>
      </c>
      <c r="O1" s="111">
        <v>11.0</v>
      </c>
      <c r="P1" s="111">
        <v>12.0</v>
      </c>
      <c r="Q1" s="111">
        <v>13.0</v>
      </c>
      <c r="R1" s="111">
        <v>14.0</v>
      </c>
      <c r="S1" s="111">
        <v>15.0</v>
      </c>
      <c r="T1" s="111">
        <v>16.0</v>
      </c>
      <c r="U1" s="111">
        <v>17.0</v>
      </c>
      <c r="V1" s="111">
        <v>18.0</v>
      </c>
      <c r="W1" s="111">
        <v>19.0</v>
      </c>
      <c r="X1" s="111">
        <v>20.0</v>
      </c>
      <c r="Y1" s="111">
        <v>21.0</v>
      </c>
      <c r="Z1" s="111">
        <v>22.0</v>
      </c>
      <c r="AA1" s="111">
        <v>23.0</v>
      </c>
      <c r="AB1" s="111">
        <v>24.0</v>
      </c>
      <c r="AC1" s="111">
        <v>25.0</v>
      </c>
      <c r="AD1" s="111">
        <v>26.0</v>
      </c>
      <c r="AE1" s="111">
        <v>27.0</v>
      </c>
      <c r="AF1" s="111">
        <v>28.0</v>
      </c>
      <c r="AG1" s="111">
        <v>29.0</v>
      </c>
      <c r="AH1" s="111">
        <v>30.0</v>
      </c>
      <c r="AI1" s="111">
        <v>31.0</v>
      </c>
      <c r="AJ1" s="111">
        <v>32.0</v>
      </c>
      <c r="AK1" s="111">
        <v>33.0</v>
      </c>
      <c r="AL1" s="111">
        <v>34.0</v>
      </c>
      <c r="AM1" s="111">
        <v>35.0</v>
      </c>
      <c r="AN1" s="111">
        <v>36.0</v>
      </c>
      <c r="AO1" s="111">
        <v>37.0</v>
      </c>
      <c r="AP1" s="111">
        <v>38.0</v>
      </c>
      <c r="AQ1" s="111">
        <v>39.0</v>
      </c>
      <c r="AR1" s="111">
        <v>40.0</v>
      </c>
      <c r="AS1" s="111">
        <v>41.0</v>
      </c>
      <c r="AT1" s="111">
        <v>42.0</v>
      </c>
      <c r="AU1" s="111">
        <v>43.0</v>
      </c>
      <c r="AV1" s="111">
        <v>44.0</v>
      </c>
      <c r="AW1" s="111">
        <v>45.0</v>
      </c>
      <c r="AX1" s="111">
        <v>46.0</v>
      </c>
      <c r="AY1" s="111">
        <v>47.0</v>
      </c>
      <c r="AZ1" s="111">
        <v>48.0</v>
      </c>
      <c r="BA1" s="111">
        <v>49.0</v>
      </c>
      <c r="BB1" s="111">
        <v>50.0</v>
      </c>
      <c r="BC1" s="111">
        <v>51.0</v>
      </c>
      <c r="BD1" s="111">
        <v>52.0</v>
      </c>
      <c r="BE1" s="111">
        <v>53.0</v>
      </c>
      <c r="BF1" s="111">
        <v>54.0</v>
      </c>
    </row>
    <row r="2" ht="14.25" customHeight="1">
      <c r="A2" s="113" t="s">
        <v>58</v>
      </c>
      <c r="B2" s="114" t="s">
        <v>3</v>
      </c>
      <c r="C2" s="114" t="s">
        <v>1</v>
      </c>
      <c r="D2" s="114" t="s">
        <v>2</v>
      </c>
      <c r="E2" s="114" t="s">
        <v>59</v>
      </c>
      <c r="F2" s="115" t="s">
        <v>60</v>
      </c>
      <c r="G2" s="114">
        <v>202501.0</v>
      </c>
      <c r="H2" s="114">
        <v>202502.0</v>
      </c>
      <c r="I2" s="114">
        <v>202503.0</v>
      </c>
      <c r="J2" s="114">
        <v>202504.0</v>
      </c>
      <c r="K2" s="114">
        <v>202505.0</v>
      </c>
      <c r="L2" s="114">
        <v>202506.0</v>
      </c>
      <c r="M2" s="114">
        <v>202507.0</v>
      </c>
      <c r="N2" s="114">
        <v>202508.0</v>
      </c>
      <c r="O2" s="114">
        <v>202509.0</v>
      </c>
      <c r="P2" s="114">
        <v>202510.0</v>
      </c>
      <c r="Q2" s="114">
        <v>202511.0</v>
      </c>
      <c r="R2" s="114">
        <v>202512.0</v>
      </c>
      <c r="S2" s="114">
        <v>202513.0</v>
      </c>
      <c r="T2" s="114">
        <v>202514.0</v>
      </c>
      <c r="U2" s="114">
        <v>202515.0</v>
      </c>
      <c r="V2" s="114">
        <v>202516.0</v>
      </c>
      <c r="W2" s="114">
        <v>202517.0</v>
      </c>
      <c r="X2" s="114">
        <v>202518.0</v>
      </c>
      <c r="Y2" s="114">
        <v>202519.0</v>
      </c>
      <c r="Z2" s="114">
        <v>202520.0</v>
      </c>
      <c r="AA2" s="114">
        <v>202521.0</v>
      </c>
      <c r="AB2" s="114">
        <v>202522.0</v>
      </c>
      <c r="AC2" s="114">
        <v>202523.0</v>
      </c>
      <c r="AD2" s="114">
        <v>202524.0</v>
      </c>
      <c r="AE2" s="114">
        <v>202525.0</v>
      </c>
      <c r="AF2" s="114">
        <v>202526.0</v>
      </c>
      <c r="AG2" s="114">
        <v>202527.0</v>
      </c>
      <c r="AH2" s="114">
        <v>202528.0</v>
      </c>
      <c r="AI2" s="114">
        <v>202529.0</v>
      </c>
      <c r="AJ2" s="114">
        <v>202530.0</v>
      </c>
      <c r="AK2" s="114">
        <v>202531.0</v>
      </c>
      <c r="AL2" s="114">
        <v>202532.0</v>
      </c>
      <c r="AM2" s="114">
        <v>202533.0</v>
      </c>
      <c r="AN2" s="114">
        <v>202534.0</v>
      </c>
      <c r="AO2" s="114">
        <v>202535.0</v>
      </c>
      <c r="AP2" s="114">
        <v>202536.0</v>
      </c>
      <c r="AQ2" s="114">
        <v>202537.0</v>
      </c>
      <c r="AR2" s="114">
        <v>202538.0</v>
      </c>
      <c r="AS2" s="114">
        <v>202539.0</v>
      </c>
      <c r="AT2" s="114">
        <v>202540.0</v>
      </c>
      <c r="AU2" s="114">
        <v>202541.0</v>
      </c>
      <c r="AV2" s="114">
        <v>202542.0</v>
      </c>
      <c r="AW2" s="114">
        <v>202543.0</v>
      </c>
      <c r="AX2" s="114">
        <v>202544.0</v>
      </c>
      <c r="AY2" s="114">
        <v>202545.0</v>
      </c>
      <c r="AZ2" s="114">
        <v>202546.0</v>
      </c>
      <c r="BA2" s="114">
        <v>202547.0</v>
      </c>
      <c r="BB2" s="114">
        <v>202548.0</v>
      </c>
      <c r="BC2" s="114">
        <v>202549.0</v>
      </c>
      <c r="BD2" s="114">
        <v>202550.0</v>
      </c>
      <c r="BE2" s="114">
        <v>202551.0</v>
      </c>
      <c r="BF2" s="114">
        <v>202552.0</v>
      </c>
    </row>
    <row r="3" ht="14.25" customHeight="1">
      <c r="A3" s="116">
        <v>2.0</v>
      </c>
      <c r="B3" s="116" t="s">
        <v>61</v>
      </c>
      <c r="C3" s="116">
        <v>6.77410826E8</v>
      </c>
      <c r="D3" s="116" t="s">
        <v>50</v>
      </c>
      <c r="E3" s="117" t="str">
        <f t="shared" ref="E3:E10" si="1">CONCATENATE(C3,F3)</f>
        <v>677410826pos_sales_this_year</v>
      </c>
      <c r="F3" s="35" t="s">
        <v>132</v>
      </c>
      <c r="G3" s="116">
        <v>0.0</v>
      </c>
      <c r="H3" s="116">
        <v>0.0</v>
      </c>
      <c r="I3" s="116">
        <v>0.0</v>
      </c>
      <c r="J3" s="116">
        <v>0.0</v>
      </c>
      <c r="K3" s="116">
        <v>0.0</v>
      </c>
      <c r="L3" s="116">
        <v>0.0</v>
      </c>
      <c r="M3" s="116">
        <v>0.0</v>
      </c>
      <c r="N3" s="111">
        <v>0.0</v>
      </c>
      <c r="O3" s="111">
        <v>0.0</v>
      </c>
      <c r="P3" s="111">
        <v>0.0</v>
      </c>
      <c r="Q3" s="111">
        <v>0.0</v>
      </c>
      <c r="R3" s="111">
        <v>0.0</v>
      </c>
      <c r="S3" s="111">
        <v>0.0</v>
      </c>
      <c r="T3" s="111">
        <v>0.0</v>
      </c>
      <c r="U3" s="111">
        <v>0.0</v>
      </c>
      <c r="V3" s="118">
        <v>0.0</v>
      </c>
      <c r="W3" s="118">
        <v>0.0</v>
      </c>
      <c r="X3" s="118">
        <v>0.0</v>
      </c>
      <c r="Y3" s="118">
        <v>0.0</v>
      </c>
      <c r="Z3" s="118">
        <v>0.0</v>
      </c>
      <c r="AA3" s="118">
        <v>0.0</v>
      </c>
      <c r="AB3" s="118">
        <v>0.0</v>
      </c>
      <c r="AC3" s="118">
        <v>0.0</v>
      </c>
      <c r="AD3" s="118">
        <v>0.0</v>
      </c>
      <c r="AE3" s="118">
        <v>0.0</v>
      </c>
      <c r="AF3" s="118">
        <v>0.0</v>
      </c>
      <c r="AG3" s="118">
        <v>0.0</v>
      </c>
      <c r="AH3" s="118">
        <v>0.0</v>
      </c>
      <c r="AI3" s="118">
        <v>0.0</v>
      </c>
      <c r="AJ3" s="118">
        <v>0.0</v>
      </c>
      <c r="AK3" s="118">
        <v>1201.8</v>
      </c>
      <c r="AL3" s="118">
        <v>4479.44</v>
      </c>
      <c r="AM3" s="118">
        <v>13158.52</v>
      </c>
      <c r="AN3" s="118">
        <v>16305.82</v>
      </c>
      <c r="AO3" s="118">
        <v>21142.82</v>
      </c>
      <c r="AP3" s="118">
        <v>19385.12</v>
      </c>
      <c r="AQ3" s="118">
        <v>21669.02</v>
      </c>
      <c r="AR3" s="118">
        <v>19839.36</v>
      </c>
      <c r="AS3" s="118">
        <v>19075.03</v>
      </c>
      <c r="AT3" s="118">
        <v>18340.68</v>
      </c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</row>
    <row r="4" ht="14.25" customHeight="1">
      <c r="A4" s="116">
        <v>2.0</v>
      </c>
      <c r="B4" s="116" t="s">
        <v>61</v>
      </c>
      <c r="C4" s="116">
        <v>6.77410826E8</v>
      </c>
      <c r="D4" s="116" t="s">
        <v>50</v>
      </c>
      <c r="E4" s="117" t="str">
        <f t="shared" si="1"/>
        <v>677410826pos_quantity_this_year</v>
      </c>
      <c r="F4" s="35" t="s">
        <v>133</v>
      </c>
      <c r="G4" s="116">
        <v>0.0</v>
      </c>
      <c r="H4" s="116">
        <v>0.0</v>
      </c>
      <c r="I4" s="116">
        <v>0.0</v>
      </c>
      <c r="J4" s="116">
        <v>0.0</v>
      </c>
      <c r="K4" s="116">
        <v>0.0</v>
      </c>
      <c r="L4" s="116">
        <v>0.0</v>
      </c>
      <c r="M4" s="116">
        <v>0.0</v>
      </c>
      <c r="N4" s="111">
        <v>0.0</v>
      </c>
      <c r="O4" s="111">
        <v>0.0</v>
      </c>
      <c r="P4" s="111">
        <v>0.0</v>
      </c>
      <c r="Q4" s="111">
        <v>0.0</v>
      </c>
      <c r="R4" s="111">
        <v>0.0</v>
      </c>
      <c r="S4" s="111">
        <v>0.0</v>
      </c>
      <c r="T4" s="111">
        <v>0.0</v>
      </c>
      <c r="U4" s="111">
        <v>0.0</v>
      </c>
      <c r="V4" s="118">
        <v>0.0</v>
      </c>
      <c r="W4" s="118">
        <v>0.0</v>
      </c>
      <c r="X4" s="118">
        <v>0.0</v>
      </c>
      <c r="Y4" s="118">
        <v>0.0</v>
      </c>
      <c r="Z4" s="118">
        <v>0.0</v>
      </c>
      <c r="AA4" s="118">
        <v>0.0</v>
      </c>
      <c r="AB4" s="118">
        <v>0.0</v>
      </c>
      <c r="AC4" s="118">
        <v>0.0</v>
      </c>
      <c r="AD4" s="118">
        <v>0.0</v>
      </c>
      <c r="AE4" s="118">
        <v>0.0</v>
      </c>
      <c r="AF4" s="118">
        <v>0.0</v>
      </c>
      <c r="AG4" s="118">
        <v>0.0</v>
      </c>
      <c r="AH4" s="118">
        <v>0.0</v>
      </c>
      <c r="AI4" s="118">
        <v>0.0</v>
      </c>
      <c r="AJ4" s="118">
        <v>0.0</v>
      </c>
      <c r="AK4" s="118">
        <v>34.0</v>
      </c>
      <c r="AL4" s="118">
        <v>118.0</v>
      </c>
      <c r="AM4" s="118">
        <v>341.0</v>
      </c>
      <c r="AN4" s="118">
        <v>419.0</v>
      </c>
      <c r="AO4" s="118">
        <v>543.0</v>
      </c>
      <c r="AP4" s="118">
        <v>499.0</v>
      </c>
      <c r="AQ4" s="118">
        <v>557.0</v>
      </c>
      <c r="AR4" s="118">
        <v>516.0</v>
      </c>
      <c r="AS4" s="118">
        <v>491.0</v>
      </c>
      <c r="AT4" s="118">
        <v>473.0</v>
      </c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</row>
    <row r="5" ht="14.25" customHeight="1">
      <c r="A5" s="116">
        <v>2.0</v>
      </c>
      <c r="B5" s="116" t="s">
        <v>61</v>
      </c>
      <c r="C5" s="116">
        <v>6.77410826E8</v>
      </c>
      <c r="D5" s="116" t="s">
        <v>50</v>
      </c>
      <c r="E5" s="117" t="str">
        <f t="shared" si="1"/>
        <v>677410826traited_store_count_this_year</v>
      </c>
      <c r="F5" s="35" t="s">
        <v>134</v>
      </c>
      <c r="G5" s="116">
        <v>0.0</v>
      </c>
      <c r="H5" s="116">
        <v>0.0</v>
      </c>
      <c r="I5" s="116">
        <v>0.0</v>
      </c>
      <c r="J5" s="116">
        <v>0.0</v>
      </c>
      <c r="K5" s="116">
        <v>0.0</v>
      </c>
      <c r="L5" s="116">
        <v>0.0</v>
      </c>
      <c r="M5" s="116">
        <v>0.0</v>
      </c>
      <c r="N5" s="111">
        <v>0.0</v>
      </c>
      <c r="O5" s="111">
        <v>0.0</v>
      </c>
      <c r="P5" s="111">
        <v>0.0</v>
      </c>
      <c r="Q5" s="111">
        <v>0.0</v>
      </c>
      <c r="R5" s="111">
        <v>0.0</v>
      </c>
      <c r="S5" s="111">
        <v>0.0</v>
      </c>
      <c r="T5" s="111">
        <v>0.0</v>
      </c>
      <c r="U5" s="111">
        <v>0.0</v>
      </c>
      <c r="V5" s="118">
        <v>0.0</v>
      </c>
      <c r="W5" s="118">
        <v>0.0</v>
      </c>
      <c r="X5" s="118">
        <v>0.0</v>
      </c>
      <c r="Y5" s="118">
        <v>0.0</v>
      </c>
      <c r="Z5" s="118">
        <v>0.0</v>
      </c>
      <c r="AA5" s="118">
        <v>0.0</v>
      </c>
      <c r="AB5" s="118">
        <v>0.0</v>
      </c>
      <c r="AC5" s="118">
        <v>0.0</v>
      </c>
      <c r="AD5" s="118">
        <v>0.0</v>
      </c>
      <c r="AE5" s="118">
        <v>0.0</v>
      </c>
      <c r="AF5" s="118">
        <v>0.0</v>
      </c>
      <c r="AG5" s="118">
        <v>0.0</v>
      </c>
      <c r="AH5" s="118">
        <v>0.0</v>
      </c>
      <c r="AI5" s="118">
        <v>0.0</v>
      </c>
      <c r="AJ5" s="118">
        <v>0.0</v>
      </c>
      <c r="AK5" s="118">
        <v>1439.0</v>
      </c>
      <c r="AL5" s="118">
        <v>1440.0</v>
      </c>
      <c r="AM5" s="118">
        <v>1440.0</v>
      </c>
      <c r="AN5" s="118">
        <v>1441.0</v>
      </c>
      <c r="AO5" s="118">
        <v>1442.0</v>
      </c>
      <c r="AP5" s="118">
        <v>1473.0</v>
      </c>
      <c r="AQ5" s="118">
        <v>1474.0</v>
      </c>
      <c r="AR5" s="118">
        <v>1473.0</v>
      </c>
      <c r="AS5" s="118">
        <v>1473.0</v>
      </c>
      <c r="AT5" s="118">
        <v>1472.0</v>
      </c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</row>
    <row r="6" ht="14.25" customHeight="1">
      <c r="A6" s="116">
        <v>2.0</v>
      </c>
      <c r="B6" s="116" t="s">
        <v>61</v>
      </c>
      <c r="C6" s="116">
        <v>6.77410826E8</v>
      </c>
      <c r="D6" s="116" t="s">
        <v>50</v>
      </c>
      <c r="E6" s="117" t="str">
        <f t="shared" si="1"/>
        <v>677410826repl_instock_percentage_this_year_eop</v>
      </c>
      <c r="F6" s="35" t="s">
        <v>135</v>
      </c>
      <c r="G6" s="116">
        <v>0.0</v>
      </c>
      <c r="H6" s="116">
        <v>0.0</v>
      </c>
      <c r="I6" s="116">
        <v>0.0</v>
      </c>
      <c r="J6" s="116">
        <v>0.0</v>
      </c>
      <c r="K6" s="116">
        <v>0.0</v>
      </c>
      <c r="L6" s="116">
        <v>0.0</v>
      </c>
      <c r="M6" s="116">
        <v>0.0</v>
      </c>
      <c r="N6" s="111">
        <v>0.0</v>
      </c>
      <c r="O6" s="111">
        <v>0.0</v>
      </c>
      <c r="P6" s="111">
        <v>0.0</v>
      </c>
      <c r="Q6" s="111">
        <v>0.0</v>
      </c>
      <c r="R6" s="111">
        <v>0.0</v>
      </c>
      <c r="S6" s="111">
        <v>0.0</v>
      </c>
      <c r="T6" s="111">
        <v>0.0</v>
      </c>
      <c r="U6" s="111">
        <v>0.0</v>
      </c>
      <c r="V6" s="118">
        <v>0.0</v>
      </c>
      <c r="W6" s="118">
        <v>0.0</v>
      </c>
      <c r="X6" s="118">
        <v>0.0</v>
      </c>
      <c r="Y6" s="118">
        <v>0.0</v>
      </c>
      <c r="Z6" s="118">
        <v>0.0</v>
      </c>
      <c r="AA6" s="118">
        <v>0.0</v>
      </c>
      <c r="AB6" s="118">
        <v>0.0</v>
      </c>
      <c r="AC6" s="118">
        <v>0.0</v>
      </c>
      <c r="AD6" s="118">
        <v>0.0</v>
      </c>
      <c r="AE6" s="118">
        <v>0.0</v>
      </c>
      <c r="AF6" s="118">
        <v>0.0</v>
      </c>
      <c r="AG6" s="118">
        <v>0.0</v>
      </c>
      <c r="AH6" s="118">
        <v>0.0</v>
      </c>
      <c r="AI6" s="118">
        <v>0.0</v>
      </c>
      <c r="AJ6" s="118">
        <v>0.0</v>
      </c>
      <c r="AK6" s="118">
        <v>0.0</v>
      </c>
      <c r="AL6" s="118">
        <v>0.0</v>
      </c>
      <c r="AM6" s="118">
        <v>0.968</v>
      </c>
      <c r="AN6" s="118">
        <v>0.9749</v>
      </c>
      <c r="AO6" s="118">
        <v>0.9854</v>
      </c>
      <c r="AP6" s="118">
        <v>0.9889</v>
      </c>
      <c r="AQ6" s="118">
        <v>0.9748</v>
      </c>
      <c r="AR6" s="118">
        <v>0.9816</v>
      </c>
      <c r="AS6" s="118">
        <v>0.9871</v>
      </c>
      <c r="AT6" s="118">
        <v>0.9871</v>
      </c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</row>
    <row r="7" ht="14.25" customHeight="1">
      <c r="A7" s="116">
        <v>2.0</v>
      </c>
      <c r="B7" s="116" t="s">
        <v>80</v>
      </c>
      <c r="C7" s="116">
        <v>6.77536463E8</v>
      </c>
      <c r="D7" s="116" t="s">
        <v>51</v>
      </c>
      <c r="E7" s="117" t="str">
        <f t="shared" si="1"/>
        <v>677536463pos_sales_this_year</v>
      </c>
      <c r="F7" s="35" t="s">
        <v>132</v>
      </c>
      <c r="G7" s="116">
        <v>0.0</v>
      </c>
      <c r="H7" s="116">
        <v>0.0</v>
      </c>
      <c r="I7" s="116">
        <v>0.0</v>
      </c>
      <c r="J7" s="116">
        <v>0.0</v>
      </c>
      <c r="K7" s="116">
        <v>0.0</v>
      </c>
      <c r="L7" s="116">
        <v>0.0</v>
      </c>
      <c r="M7" s="116">
        <v>0.0</v>
      </c>
      <c r="N7" s="111">
        <v>0.0</v>
      </c>
      <c r="O7" s="111">
        <v>0.0</v>
      </c>
      <c r="P7" s="111">
        <v>0.0</v>
      </c>
      <c r="Q7" s="111">
        <v>0.0</v>
      </c>
      <c r="R7" s="111">
        <v>0.0</v>
      </c>
      <c r="S7" s="111">
        <v>0.0</v>
      </c>
      <c r="T7" s="111">
        <v>0.0</v>
      </c>
      <c r="U7" s="111">
        <v>0.0</v>
      </c>
      <c r="V7" s="118">
        <v>0.0</v>
      </c>
      <c r="W7" s="118">
        <v>0.0</v>
      </c>
      <c r="X7" s="118">
        <v>0.0</v>
      </c>
      <c r="Y7" s="118">
        <v>0.0</v>
      </c>
      <c r="Z7" s="118">
        <v>0.0</v>
      </c>
      <c r="AA7" s="118">
        <v>0.0</v>
      </c>
      <c r="AB7" s="118">
        <v>0.0</v>
      </c>
      <c r="AC7" s="118">
        <v>0.0</v>
      </c>
      <c r="AD7" s="118">
        <v>0.0</v>
      </c>
      <c r="AE7" s="118">
        <v>0.0</v>
      </c>
      <c r="AF7" s="118">
        <v>0.0</v>
      </c>
      <c r="AG7" s="118">
        <v>0.0</v>
      </c>
      <c r="AH7" s="118">
        <v>0.0</v>
      </c>
      <c r="AI7" s="118">
        <v>0.0</v>
      </c>
      <c r="AJ7" s="118">
        <v>38.96</v>
      </c>
      <c r="AK7" s="118">
        <v>515.52</v>
      </c>
      <c r="AL7" s="118">
        <v>4181.8</v>
      </c>
      <c r="AM7" s="118">
        <v>8581.23</v>
      </c>
      <c r="AN7" s="118">
        <v>9183.64</v>
      </c>
      <c r="AO7" s="118">
        <v>10902.46</v>
      </c>
      <c r="AP7" s="118">
        <v>10968.39</v>
      </c>
      <c r="AQ7" s="118">
        <v>10175.64</v>
      </c>
      <c r="AR7" s="118">
        <v>10822.96</v>
      </c>
      <c r="AS7" s="118">
        <v>9362.26</v>
      </c>
      <c r="AT7" s="118">
        <v>10406.82</v>
      </c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</row>
    <row r="8" ht="14.25" customHeight="1">
      <c r="A8" s="116">
        <v>2.0</v>
      </c>
      <c r="B8" s="116" t="s">
        <v>80</v>
      </c>
      <c r="C8" s="116">
        <v>6.77536463E8</v>
      </c>
      <c r="D8" s="116" t="s">
        <v>51</v>
      </c>
      <c r="E8" s="117" t="str">
        <f t="shared" si="1"/>
        <v>677536463pos_quantity_this_year</v>
      </c>
      <c r="F8" s="35" t="s">
        <v>133</v>
      </c>
      <c r="G8" s="116">
        <v>0.0</v>
      </c>
      <c r="H8" s="116">
        <v>0.0</v>
      </c>
      <c r="I8" s="116">
        <v>0.0</v>
      </c>
      <c r="J8" s="116">
        <v>0.0</v>
      </c>
      <c r="K8" s="116">
        <v>0.0</v>
      </c>
      <c r="L8" s="116">
        <v>0.0</v>
      </c>
      <c r="M8" s="116">
        <v>0.0</v>
      </c>
      <c r="N8" s="111">
        <v>0.0</v>
      </c>
      <c r="O8" s="111">
        <v>0.0</v>
      </c>
      <c r="P8" s="111">
        <v>0.0</v>
      </c>
      <c r="Q8" s="111">
        <v>0.0</v>
      </c>
      <c r="R8" s="111">
        <v>0.0</v>
      </c>
      <c r="S8" s="111">
        <v>0.0</v>
      </c>
      <c r="T8" s="111">
        <v>0.0</v>
      </c>
      <c r="U8" s="111">
        <v>0.0</v>
      </c>
      <c r="V8" s="118">
        <v>0.0</v>
      </c>
      <c r="W8" s="118">
        <v>0.0</v>
      </c>
      <c r="X8" s="118">
        <v>0.0</v>
      </c>
      <c r="Y8" s="118">
        <v>0.0</v>
      </c>
      <c r="Z8" s="118">
        <v>0.0</v>
      </c>
      <c r="AA8" s="118">
        <v>0.0</v>
      </c>
      <c r="AB8" s="118">
        <v>0.0</v>
      </c>
      <c r="AC8" s="118">
        <v>0.0</v>
      </c>
      <c r="AD8" s="118">
        <v>0.0</v>
      </c>
      <c r="AE8" s="118">
        <v>0.0</v>
      </c>
      <c r="AF8" s="118">
        <v>0.0</v>
      </c>
      <c r="AG8" s="118">
        <v>0.0</v>
      </c>
      <c r="AH8" s="118">
        <v>0.0</v>
      </c>
      <c r="AI8" s="118">
        <v>0.0</v>
      </c>
      <c r="AJ8" s="118">
        <v>1.0</v>
      </c>
      <c r="AK8" s="118">
        <v>14.0</v>
      </c>
      <c r="AL8" s="118">
        <v>108.0</v>
      </c>
      <c r="AM8" s="118">
        <v>223.0</v>
      </c>
      <c r="AN8" s="118">
        <v>236.0</v>
      </c>
      <c r="AO8" s="118">
        <v>281.0</v>
      </c>
      <c r="AP8" s="118">
        <v>283.0</v>
      </c>
      <c r="AQ8" s="118">
        <v>263.0</v>
      </c>
      <c r="AR8" s="118">
        <v>281.0</v>
      </c>
      <c r="AS8" s="118">
        <v>242.0</v>
      </c>
      <c r="AT8" s="118">
        <v>268.0</v>
      </c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</row>
    <row r="9" ht="14.25" customHeight="1">
      <c r="A9" s="116">
        <v>2.0</v>
      </c>
      <c r="B9" s="116" t="s">
        <v>80</v>
      </c>
      <c r="C9" s="116">
        <v>6.77536463E8</v>
      </c>
      <c r="D9" s="116" t="s">
        <v>51</v>
      </c>
      <c r="E9" s="117" t="str">
        <f t="shared" si="1"/>
        <v>677536463traited_store_count_this_year</v>
      </c>
      <c r="F9" s="35" t="s">
        <v>134</v>
      </c>
      <c r="G9" s="116">
        <v>0.0</v>
      </c>
      <c r="H9" s="116">
        <v>0.0</v>
      </c>
      <c r="I9" s="116">
        <v>0.0</v>
      </c>
      <c r="J9" s="116">
        <v>0.0</v>
      </c>
      <c r="K9" s="116">
        <v>0.0</v>
      </c>
      <c r="L9" s="116">
        <v>0.0</v>
      </c>
      <c r="M9" s="116">
        <v>0.0</v>
      </c>
      <c r="N9" s="111">
        <v>0.0</v>
      </c>
      <c r="O9" s="111">
        <v>0.0</v>
      </c>
      <c r="P9" s="111">
        <v>0.0</v>
      </c>
      <c r="Q9" s="111">
        <v>0.0</v>
      </c>
      <c r="R9" s="111">
        <v>0.0</v>
      </c>
      <c r="S9" s="111">
        <v>0.0</v>
      </c>
      <c r="T9" s="111">
        <v>0.0</v>
      </c>
      <c r="U9" s="111">
        <v>0.0</v>
      </c>
      <c r="V9" s="118">
        <v>0.0</v>
      </c>
      <c r="W9" s="118">
        <v>0.0</v>
      </c>
      <c r="X9" s="118">
        <v>0.0</v>
      </c>
      <c r="Y9" s="118">
        <v>0.0</v>
      </c>
      <c r="Z9" s="118">
        <v>0.0</v>
      </c>
      <c r="AA9" s="118">
        <v>0.0</v>
      </c>
      <c r="AB9" s="118">
        <v>0.0</v>
      </c>
      <c r="AC9" s="118">
        <v>0.0</v>
      </c>
      <c r="AD9" s="118">
        <v>0.0</v>
      </c>
      <c r="AE9" s="118">
        <v>0.0</v>
      </c>
      <c r="AF9" s="118">
        <v>0.0</v>
      </c>
      <c r="AG9" s="118">
        <v>0.0</v>
      </c>
      <c r="AH9" s="118">
        <v>0.0</v>
      </c>
      <c r="AI9" s="118">
        <v>0.0</v>
      </c>
      <c r="AJ9" s="118">
        <v>0.0</v>
      </c>
      <c r="AK9" s="118">
        <v>1440.0</v>
      </c>
      <c r="AL9" s="118">
        <v>1441.0</v>
      </c>
      <c r="AM9" s="118">
        <v>1441.0</v>
      </c>
      <c r="AN9" s="118">
        <v>1442.0</v>
      </c>
      <c r="AO9" s="118">
        <v>1443.0</v>
      </c>
      <c r="AP9" s="118">
        <v>1474.0</v>
      </c>
      <c r="AQ9" s="118">
        <v>1475.0</v>
      </c>
      <c r="AR9" s="118">
        <v>1475.0</v>
      </c>
      <c r="AS9" s="118">
        <v>1474.0</v>
      </c>
      <c r="AT9" s="118">
        <v>1473.0</v>
      </c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</row>
    <row r="10" ht="14.25" customHeight="1">
      <c r="A10" s="116">
        <v>2.0</v>
      </c>
      <c r="B10" s="116" t="s">
        <v>80</v>
      </c>
      <c r="C10" s="116">
        <v>6.77536463E8</v>
      </c>
      <c r="D10" s="116" t="s">
        <v>51</v>
      </c>
      <c r="E10" s="117" t="str">
        <f t="shared" si="1"/>
        <v>677536463repl_instock_percentage_this_year_eop</v>
      </c>
      <c r="F10" s="35" t="s">
        <v>135</v>
      </c>
      <c r="G10" s="116">
        <v>0.0</v>
      </c>
      <c r="H10" s="116">
        <v>0.0</v>
      </c>
      <c r="I10" s="116">
        <v>0.0</v>
      </c>
      <c r="J10" s="116">
        <v>0.0</v>
      </c>
      <c r="K10" s="116">
        <v>0.0</v>
      </c>
      <c r="L10" s="116">
        <v>0.0</v>
      </c>
      <c r="M10" s="116">
        <v>0.0</v>
      </c>
      <c r="N10" s="111">
        <v>0.0</v>
      </c>
      <c r="O10" s="111">
        <v>0.0</v>
      </c>
      <c r="P10" s="111">
        <v>0.0</v>
      </c>
      <c r="Q10" s="111">
        <v>0.0</v>
      </c>
      <c r="R10" s="111">
        <v>0.0</v>
      </c>
      <c r="S10" s="111">
        <v>0.0</v>
      </c>
      <c r="T10" s="111">
        <v>0.0</v>
      </c>
      <c r="U10" s="111">
        <v>0.0</v>
      </c>
      <c r="V10" s="118">
        <v>0.0</v>
      </c>
      <c r="W10" s="118">
        <v>0.0</v>
      </c>
      <c r="X10" s="118">
        <v>0.0</v>
      </c>
      <c r="Y10" s="118">
        <v>0.0</v>
      </c>
      <c r="Z10" s="118">
        <v>0.0</v>
      </c>
      <c r="AA10" s="118">
        <v>0.0</v>
      </c>
      <c r="AB10" s="118">
        <v>0.0</v>
      </c>
      <c r="AC10" s="118">
        <v>0.0</v>
      </c>
      <c r="AD10" s="118">
        <v>0.0</v>
      </c>
      <c r="AE10" s="118">
        <v>0.0</v>
      </c>
      <c r="AF10" s="118">
        <v>0.0</v>
      </c>
      <c r="AG10" s="118">
        <v>0.0</v>
      </c>
      <c r="AH10" s="118">
        <v>0.0</v>
      </c>
      <c r="AI10" s="118">
        <v>0.0</v>
      </c>
      <c r="AJ10" s="118">
        <v>0.0</v>
      </c>
      <c r="AK10" s="118">
        <v>0.0</v>
      </c>
      <c r="AL10" s="118">
        <v>0.0</v>
      </c>
      <c r="AM10" s="118">
        <v>0.9618</v>
      </c>
      <c r="AN10" s="118">
        <v>0.9736</v>
      </c>
      <c r="AO10" s="118">
        <v>0.9875</v>
      </c>
      <c r="AP10" s="118">
        <v>0.9896</v>
      </c>
      <c r="AQ10" s="118">
        <v>0.9748</v>
      </c>
      <c r="AR10" s="118">
        <v>0.985</v>
      </c>
      <c r="AS10" s="118">
        <v>0.9898</v>
      </c>
      <c r="AT10" s="118">
        <v>0.9911</v>
      </c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</row>
    <row r="11" ht="14.25" customHeight="1">
      <c r="A11" s="111"/>
      <c r="B11" s="111"/>
      <c r="C11" s="112"/>
      <c r="D11" s="112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</row>
    <row r="12" ht="14.25" customHeight="1">
      <c r="A12" s="111"/>
      <c r="B12" s="111"/>
      <c r="C12" s="112"/>
      <c r="D12" s="112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</row>
    <row r="13" ht="14.25" customHeight="1">
      <c r="A13" s="111"/>
      <c r="B13" s="111"/>
      <c r="C13" s="112"/>
      <c r="D13" s="112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</row>
    <row r="14" ht="14.25" customHeight="1">
      <c r="A14" s="111"/>
      <c r="B14" s="111"/>
      <c r="C14" s="112"/>
      <c r="D14" s="112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</row>
    <row r="15" ht="14.25" customHeight="1">
      <c r="A15" s="111"/>
      <c r="B15" s="111"/>
      <c r="C15" s="112"/>
      <c r="D15" s="112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</row>
    <row r="16" ht="14.25" customHeight="1">
      <c r="A16" s="111"/>
      <c r="B16" s="111"/>
      <c r="C16" s="112"/>
      <c r="D16" s="112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</row>
    <row r="17" ht="14.25" customHeight="1">
      <c r="A17" s="111"/>
      <c r="B17" s="111"/>
      <c r="C17" s="112"/>
      <c r="D17" s="112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</row>
    <row r="18" ht="14.25" customHeight="1">
      <c r="A18" s="111"/>
      <c r="B18" s="111"/>
      <c r="C18" s="112"/>
      <c r="D18" s="112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</row>
    <row r="19" ht="14.25" customHeight="1">
      <c r="A19" s="111"/>
      <c r="B19" s="111"/>
      <c r="C19" s="112"/>
      <c r="D19" s="112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</row>
    <row r="20" ht="14.25" customHeight="1">
      <c r="A20" s="111"/>
      <c r="B20" s="111"/>
      <c r="C20" s="112"/>
      <c r="D20" s="112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</row>
    <row r="21" ht="14.25" customHeight="1">
      <c r="A21" s="111"/>
      <c r="B21" s="111"/>
      <c r="C21" s="112"/>
      <c r="D21" s="112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</row>
    <row r="22" ht="14.25" customHeight="1">
      <c r="A22" s="111"/>
      <c r="B22" s="111"/>
      <c r="C22" s="112"/>
      <c r="D22" s="112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</row>
    <row r="23" ht="14.25" customHeight="1">
      <c r="A23" s="111"/>
      <c r="B23" s="111"/>
      <c r="C23" s="112"/>
      <c r="D23" s="112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</row>
    <row r="24" ht="14.25" customHeight="1">
      <c r="A24" s="111"/>
      <c r="B24" s="111"/>
      <c r="C24" s="112"/>
      <c r="D24" s="112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</row>
    <row r="25" ht="14.25" customHeight="1">
      <c r="A25" s="111"/>
      <c r="B25" s="111"/>
      <c r="C25" s="112"/>
      <c r="D25" s="112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</row>
    <row r="26" ht="14.25" customHeight="1">
      <c r="A26" s="111"/>
      <c r="B26" s="111"/>
      <c r="C26" s="112"/>
      <c r="D26" s="112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</row>
    <row r="27" ht="14.25" customHeight="1">
      <c r="A27" s="111"/>
      <c r="B27" s="111"/>
      <c r="C27" s="112"/>
      <c r="D27" s="112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</row>
    <row r="28" ht="14.25" customHeight="1">
      <c r="A28" s="111"/>
      <c r="B28" s="111"/>
      <c r="C28" s="112"/>
      <c r="D28" s="112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</row>
    <row r="29" ht="14.25" customHeight="1">
      <c r="A29" s="111"/>
      <c r="B29" s="111"/>
      <c r="C29" s="112"/>
      <c r="D29" s="112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</row>
    <row r="30" ht="14.25" customHeight="1">
      <c r="A30" s="111"/>
      <c r="B30" s="111"/>
      <c r="C30" s="112"/>
      <c r="D30" s="112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</row>
    <row r="31" ht="14.25" customHeight="1">
      <c r="A31" s="111"/>
      <c r="B31" s="111"/>
      <c r="C31" s="112"/>
      <c r="D31" s="112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</row>
    <row r="32" ht="14.25" customHeight="1">
      <c r="A32" s="111"/>
      <c r="B32" s="111"/>
      <c r="C32" s="112"/>
      <c r="D32" s="112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</row>
    <row r="33" ht="14.25" customHeight="1">
      <c r="A33" s="111"/>
      <c r="B33" s="111"/>
      <c r="C33" s="112"/>
      <c r="D33" s="112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</row>
    <row r="34" ht="14.25" customHeight="1">
      <c r="A34" s="111"/>
      <c r="B34" s="111"/>
      <c r="C34" s="112"/>
      <c r="D34" s="112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</row>
    <row r="35" ht="14.25" customHeight="1">
      <c r="A35" s="111"/>
      <c r="B35" s="111"/>
      <c r="C35" s="112"/>
      <c r="D35" s="112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</row>
    <row r="36" ht="14.25" customHeight="1">
      <c r="A36" s="111"/>
      <c r="B36" s="111"/>
      <c r="C36" s="112"/>
      <c r="D36" s="112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</row>
    <row r="37" ht="14.25" customHeight="1">
      <c r="A37" s="111"/>
      <c r="B37" s="111"/>
      <c r="C37" s="112"/>
      <c r="D37" s="112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</row>
    <row r="38" ht="14.25" customHeight="1">
      <c r="A38" s="111"/>
      <c r="B38" s="111"/>
      <c r="C38" s="112"/>
      <c r="D38" s="112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</row>
    <row r="39" ht="14.25" customHeight="1">
      <c r="A39" s="111"/>
      <c r="B39" s="111"/>
      <c r="C39" s="112"/>
      <c r="D39" s="112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</row>
    <row r="40" ht="14.25" customHeight="1">
      <c r="A40" s="111"/>
      <c r="B40" s="111"/>
      <c r="C40" s="112"/>
      <c r="D40" s="112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</row>
    <row r="41" ht="14.25" customHeight="1">
      <c r="A41" s="111"/>
      <c r="B41" s="111"/>
      <c r="C41" s="112"/>
      <c r="D41" s="112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</row>
    <row r="42" ht="14.25" customHeight="1">
      <c r="A42" s="111"/>
      <c r="B42" s="111"/>
      <c r="C42" s="112"/>
      <c r="D42" s="112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</row>
    <row r="43" ht="14.25" customHeight="1">
      <c r="A43" s="111"/>
      <c r="B43" s="111"/>
      <c r="C43" s="112"/>
      <c r="D43" s="112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</row>
    <row r="44" ht="14.25" customHeight="1">
      <c r="A44" s="111"/>
      <c r="B44" s="111"/>
      <c r="C44" s="112"/>
      <c r="D44" s="112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</row>
    <row r="45" ht="14.25" customHeight="1">
      <c r="A45" s="111"/>
      <c r="B45" s="111"/>
      <c r="C45" s="112"/>
      <c r="D45" s="112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</row>
    <row r="46" ht="14.25" customHeight="1">
      <c r="A46" s="111"/>
      <c r="B46" s="111"/>
      <c r="C46" s="112"/>
      <c r="D46" s="112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</row>
    <row r="47" ht="14.25" customHeight="1">
      <c r="A47" s="111"/>
      <c r="B47" s="111"/>
      <c r="C47" s="112"/>
      <c r="D47" s="112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</row>
    <row r="48" ht="14.25" customHeight="1">
      <c r="A48" s="111"/>
      <c r="B48" s="111"/>
      <c r="C48" s="112"/>
      <c r="D48" s="112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</row>
    <row r="49" ht="14.25" customHeight="1">
      <c r="A49" s="111"/>
      <c r="B49" s="111"/>
      <c r="C49" s="112"/>
      <c r="D49" s="112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</row>
    <row r="50" ht="14.25" customHeight="1">
      <c r="A50" s="111"/>
      <c r="B50" s="111"/>
      <c r="C50" s="112"/>
      <c r="D50" s="112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</row>
    <row r="51" ht="14.25" customHeight="1">
      <c r="A51" s="111"/>
      <c r="B51" s="111"/>
      <c r="C51" s="112"/>
      <c r="D51" s="112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</row>
    <row r="52" ht="14.25" customHeight="1">
      <c r="A52" s="111"/>
      <c r="B52" s="111"/>
      <c r="C52" s="112"/>
      <c r="D52" s="112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</row>
    <row r="53" ht="14.25" customHeight="1">
      <c r="A53" s="111"/>
      <c r="B53" s="111"/>
      <c r="C53" s="112"/>
      <c r="D53" s="112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</row>
    <row r="54" ht="14.25" customHeight="1">
      <c r="A54" s="111"/>
      <c r="B54" s="111"/>
      <c r="C54" s="112"/>
      <c r="D54" s="112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</row>
    <row r="55" ht="14.25" customHeight="1">
      <c r="A55" s="111"/>
      <c r="B55" s="111"/>
      <c r="C55" s="112"/>
      <c r="D55" s="112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</row>
    <row r="56" ht="14.25" customHeight="1">
      <c r="A56" s="111"/>
      <c r="B56" s="111"/>
      <c r="C56" s="112"/>
      <c r="D56" s="112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</row>
    <row r="57" ht="14.25" customHeight="1">
      <c r="A57" s="111"/>
      <c r="B57" s="111"/>
      <c r="C57" s="112"/>
      <c r="D57" s="112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</row>
    <row r="58" ht="14.25" customHeight="1">
      <c r="A58" s="111"/>
      <c r="B58" s="111"/>
      <c r="C58" s="112"/>
      <c r="D58" s="112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</row>
    <row r="59" ht="14.25" customHeight="1">
      <c r="A59" s="111"/>
      <c r="B59" s="111"/>
      <c r="C59" s="112"/>
      <c r="D59" s="112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</row>
    <row r="60" ht="14.25" customHeight="1">
      <c r="A60" s="111"/>
      <c r="B60" s="111"/>
      <c r="C60" s="112"/>
      <c r="D60" s="112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</row>
    <row r="61" ht="14.25" customHeight="1">
      <c r="A61" s="111"/>
      <c r="B61" s="111"/>
      <c r="C61" s="112"/>
      <c r="D61" s="112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</row>
    <row r="62" ht="14.25" customHeight="1">
      <c r="A62" s="111"/>
      <c r="B62" s="111"/>
      <c r="C62" s="112"/>
      <c r="D62" s="112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1"/>
    </row>
    <row r="63" ht="14.25" customHeight="1">
      <c r="A63" s="111"/>
      <c r="B63" s="111"/>
      <c r="C63" s="112"/>
      <c r="D63" s="112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</row>
    <row r="64" ht="14.25" customHeight="1">
      <c r="A64" s="111"/>
      <c r="B64" s="111"/>
      <c r="C64" s="112"/>
      <c r="D64" s="112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</row>
    <row r="65" ht="14.25" customHeight="1">
      <c r="A65" s="111"/>
      <c r="B65" s="111"/>
      <c r="C65" s="112"/>
      <c r="D65" s="112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</row>
    <row r="66" ht="14.25" customHeight="1">
      <c r="A66" s="111"/>
      <c r="B66" s="111"/>
      <c r="C66" s="112"/>
      <c r="D66" s="112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</row>
    <row r="67" ht="14.25" customHeight="1">
      <c r="A67" s="111"/>
      <c r="B67" s="111"/>
      <c r="C67" s="112"/>
      <c r="D67" s="112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</row>
    <row r="68" ht="14.25" customHeight="1">
      <c r="A68" s="111"/>
      <c r="B68" s="111"/>
      <c r="C68" s="112"/>
      <c r="D68" s="112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</row>
    <row r="69" ht="14.25" customHeight="1">
      <c r="A69" s="111"/>
      <c r="B69" s="111"/>
      <c r="C69" s="112"/>
      <c r="D69" s="112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</row>
    <row r="70" ht="14.25" customHeight="1">
      <c r="A70" s="111"/>
      <c r="B70" s="111"/>
      <c r="C70" s="112"/>
      <c r="D70" s="112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</row>
    <row r="71" ht="14.25" customHeight="1">
      <c r="A71" s="111"/>
      <c r="B71" s="111"/>
      <c r="C71" s="112"/>
      <c r="D71" s="112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</row>
    <row r="72" ht="14.25" customHeight="1">
      <c r="A72" s="111"/>
      <c r="B72" s="111"/>
      <c r="C72" s="112"/>
      <c r="D72" s="112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</row>
    <row r="73" ht="14.25" customHeight="1">
      <c r="A73" s="111"/>
      <c r="B73" s="111"/>
      <c r="C73" s="112"/>
      <c r="D73" s="112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</row>
    <row r="74" ht="14.25" customHeight="1">
      <c r="A74" s="111"/>
      <c r="B74" s="111"/>
      <c r="C74" s="112"/>
      <c r="D74" s="112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</row>
    <row r="75" ht="14.25" customHeight="1">
      <c r="A75" s="111"/>
      <c r="B75" s="111"/>
      <c r="C75" s="112"/>
      <c r="D75" s="112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</row>
    <row r="76" ht="14.25" customHeight="1">
      <c r="A76" s="111"/>
      <c r="B76" s="111"/>
      <c r="C76" s="112"/>
      <c r="D76" s="112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</row>
    <row r="77" ht="14.25" customHeight="1">
      <c r="A77" s="111"/>
      <c r="B77" s="111"/>
      <c r="C77" s="112"/>
      <c r="D77" s="112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</row>
    <row r="78" ht="14.25" customHeight="1">
      <c r="A78" s="111"/>
      <c r="B78" s="111"/>
      <c r="C78" s="112"/>
      <c r="D78" s="112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</row>
    <row r="79" ht="14.25" customHeight="1">
      <c r="A79" s="111"/>
      <c r="B79" s="111"/>
      <c r="C79" s="112"/>
      <c r="D79" s="112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</row>
    <row r="80" ht="14.25" customHeight="1">
      <c r="A80" s="111"/>
      <c r="B80" s="111"/>
      <c r="C80" s="112"/>
      <c r="D80" s="112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</row>
    <row r="81" ht="14.25" customHeight="1">
      <c r="A81" s="111"/>
      <c r="B81" s="111"/>
      <c r="C81" s="112"/>
      <c r="D81" s="112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</row>
    <row r="82" ht="14.25" customHeight="1">
      <c r="A82" s="111"/>
      <c r="B82" s="111"/>
      <c r="C82" s="112"/>
      <c r="D82" s="112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</row>
    <row r="83" ht="14.25" customHeight="1">
      <c r="A83" s="111"/>
      <c r="B83" s="111"/>
      <c r="C83" s="112"/>
      <c r="D83" s="112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</row>
    <row r="84" ht="14.25" customHeight="1">
      <c r="A84" s="111"/>
      <c r="B84" s="111"/>
      <c r="C84" s="112"/>
      <c r="D84" s="112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</row>
    <row r="85" ht="14.25" customHeight="1">
      <c r="A85" s="111"/>
      <c r="B85" s="111"/>
      <c r="C85" s="112"/>
      <c r="D85" s="112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</row>
    <row r="86" ht="14.25" customHeight="1">
      <c r="A86" s="111"/>
      <c r="B86" s="111"/>
      <c r="C86" s="112"/>
      <c r="D86" s="112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</row>
    <row r="87" ht="14.25" customHeight="1">
      <c r="A87" s="111"/>
      <c r="B87" s="111"/>
      <c r="C87" s="112"/>
      <c r="D87" s="112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</row>
    <row r="88" ht="14.25" customHeight="1">
      <c r="A88" s="111"/>
      <c r="B88" s="111"/>
      <c r="C88" s="112"/>
      <c r="D88" s="112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</row>
    <row r="89" ht="14.25" customHeight="1">
      <c r="A89" s="111"/>
      <c r="B89" s="111"/>
      <c r="C89" s="112"/>
      <c r="D89" s="112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</row>
    <row r="90" ht="14.25" customHeight="1">
      <c r="A90" s="111"/>
      <c r="B90" s="111"/>
      <c r="C90" s="112"/>
      <c r="D90" s="112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</row>
    <row r="91" ht="14.25" customHeight="1">
      <c r="A91" s="111"/>
      <c r="B91" s="111"/>
      <c r="C91" s="112"/>
      <c r="D91" s="112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</row>
    <row r="92" ht="14.25" customHeight="1">
      <c r="A92" s="111"/>
      <c r="B92" s="111"/>
      <c r="C92" s="112"/>
      <c r="D92" s="112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</row>
    <row r="93" ht="14.25" customHeight="1">
      <c r="A93" s="111"/>
      <c r="B93" s="111"/>
      <c r="C93" s="112"/>
      <c r="D93" s="112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</row>
    <row r="94" ht="14.25" customHeight="1">
      <c r="A94" s="111"/>
      <c r="B94" s="111"/>
      <c r="C94" s="112"/>
      <c r="D94" s="112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</row>
    <row r="95" ht="14.25" customHeight="1">
      <c r="A95" s="111"/>
      <c r="B95" s="111"/>
      <c r="C95" s="112"/>
      <c r="D95" s="112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</row>
    <row r="96" ht="14.25" customHeight="1">
      <c r="A96" s="111"/>
      <c r="B96" s="111"/>
      <c r="C96" s="112"/>
      <c r="D96" s="112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</row>
    <row r="97" ht="14.25" customHeight="1">
      <c r="A97" s="111"/>
      <c r="B97" s="111"/>
      <c r="C97" s="112"/>
      <c r="D97" s="112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</row>
    <row r="98" ht="14.25" customHeight="1">
      <c r="A98" s="111"/>
      <c r="B98" s="111"/>
      <c r="C98" s="112"/>
      <c r="D98" s="112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</row>
    <row r="99" ht="14.25" customHeight="1">
      <c r="A99" s="111"/>
      <c r="B99" s="111"/>
      <c r="C99" s="112"/>
      <c r="D99" s="112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</row>
    <row r="100" ht="14.25" customHeight="1">
      <c r="A100" s="111"/>
      <c r="B100" s="111"/>
      <c r="C100" s="112"/>
      <c r="D100" s="112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</row>
    <row r="101" ht="14.25" customHeight="1">
      <c r="A101" s="111"/>
      <c r="B101" s="111"/>
      <c r="C101" s="112"/>
      <c r="D101" s="112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</row>
    <row r="102" ht="14.25" customHeight="1">
      <c r="A102" s="111"/>
      <c r="B102" s="111"/>
      <c r="C102" s="112"/>
      <c r="D102" s="112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</row>
    <row r="103" ht="14.25" customHeight="1">
      <c r="A103" s="111"/>
      <c r="B103" s="111"/>
      <c r="C103" s="112"/>
      <c r="D103" s="112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</row>
    <row r="104" ht="14.25" customHeight="1">
      <c r="A104" s="111"/>
      <c r="B104" s="111"/>
      <c r="C104" s="112"/>
      <c r="D104" s="112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</row>
    <row r="105" ht="14.25" customHeight="1">
      <c r="A105" s="111"/>
      <c r="B105" s="111"/>
      <c r="C105" s="112"/>
      <c r="D105" s="112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</row>
    <row r="106" ht="14.25" customHeight="1">
      <c r="A106" s="111"/>
      <c r="B106" s="111"/>
      <c r="C106" s="112"/>
      <c r="D106" s="112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</row>
    <row r="107" ht="14.25" customHeight="1">
      <c r="A107" s="111"/>
      <c r="B107" s="111"/>
      <c r="C107" s="112"/>
      <c r="D107" s="112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</row>
    <row r="108" ht="14.25" customHeight="1">
      <c r="A108" s="111"/>
      <c r="B108" s="111"/>
      <c r="C108" s="112"/>
      <c r="D108" s="112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</row>
    <row r="109" ht="14.25" customHeight="1">
      <c r="A109" s="111"/>
      <c r="B109" s="111"/>
      <c r="C109" s="112"/>
      <c r="D109" s="112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</row>
    <row r="110" ht="14.25" customHeight="1">
      <c r="A110" s="111"/>
      <c r="B110" s="111"/>
      <c r="C110" s="112"/>
      <c r="D110" s="112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</row>
    <row r="111" ht="14.25" customHeight="1">
      <c r="A111" s="111"/>
      <c r="B111" s="111"/>
      <c r="C111" s="112"/>
      <c r="D111" s="112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</row>
    <row r="112" ht="14.25" customHeight="1">
      <c r="A112" s="111"/>
      <c r="B112" s="111"/>
      <c r="C112" s="112"/>
      <c r="D112" s="112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</row>
    <row r="113" ht="14.25" customHeight="1">
      <c r="A113" s="111"/>
      <c r="B113" s="111"/>
      <c r="C113" s="112"/>
      <c r="D113" s="112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</row>
    <row r="114" ht="14.25" customHeight="1">
      <c r="A114" s="111"/>
      <c r="B114" s="111"/>
      <c r="C114" s="112"/>
      <c r="D114" s="112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</row>
    <row r="115" ht="14.25" customHeight="1">
      <c r="A115" s="111"/>
      <c r="B115" s="111"/>
      <c r="C115" s="112"/>
      <c r="D115" s="112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</row>
    <row r="116" ht="14.25" customHeight="1">
      <c r="A116" s="111"/>
      <c r="B116" s="111"/>
      <c r="C116" s="112"/>
      <c r="D116" s="112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</row>
    <row r="117" ht="14.25" customHeight="1">
      <c r="A117" s="111"/>
      <c r="B117" s="111"/>
      <c r="C117" s="112"/>
      <c r="D117" s="112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</row>
    <row r="118" ht="14.25" customHeight="1">
      <c r="A118" s="111"/>
      <c r="B118" s="111"/>
      <c r="C118" s="112"/>
      <c r="D118" s="112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</row>
    <row r="119" ht="14.25" customHeight="1">
      <c r="A119" s="111"/>
      <c r="B119" s="111"/>
      <c r="C119" s="112"/>
      <c r="D119" s="112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</row>
    <row r="120" ht="14.25" customHeight="1">
      <c r="A120" s="111"/>
      <c r="B120" s="111"/>
      <c r="C120" s="112"/>
      <c r="D120" s="112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</row>
    <row r="121" ht="14.25" customHeight="1">
      <c r="A121" s="111"/>
      <c r="B121" s="111"/>
      <c r="C121" s="112"/>
      <c r="D121" s="112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</row>
    <row r="122" ht="14.25" customHeight="1">
      <c r="A122" s="111"/>
      <c r="B122" s="111"/>
      <c r="C122" s="112"/>
      <c r="D122" s="112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</row>
    <row r="123" ht="14.25" customHeight="1">
      <c r="A123" s="111"/>
      <c r="B123" s="111"/>
      <c r="C123" s="112"/>
      <c r="D123" s="112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</row>
    <row r="124" ht="14.25" customHeight="1">
      <c r="A124" s="111"/>
      <c r="B124" s="111"/>
      <c r="C124" s="112"/>
      <c r="D124" s="112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</row>
    <row r="125" ht="14.25" customHeight="1">
      <c r="A125" s="111"/>
      <c r="B125" s="111"/>
      <c r="C125" s="112"/>
      <c r="D125" s="112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</row>
    <row r="126" ht="14.25" customHeight="1">
      <c r="A126" s="111"/>
      <c r="B126" s="111"/>
      <c r="C126" s="112"/>
      <c r="D126" s="112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</row>
    <row r="127" ht="14.25" customHeight="1">
      <c r="A127" s="111"/>
      <c r="B127" s="111"/>
      <c r="C127" s="112"/>
      <c r="D127" s="112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</row>
    <row r="128" ht="14.25" customHeight="1">
      <c r="A128" s="111"/>
      <c r="B128" s="111"/>
      <c r="C128" s="112"/>
      <c r="D128" s="112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</row>
    <row r="129" ht="14.25" customHeight="1">
      <c r="A129" s="111"/>
      <c r="B129" s="111"/>
      <c r="C129" s="112"/>
      <c r="D129" s="112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</row>
    <row r="130" ht="14.25" customHeight="1">
      <c r="A130" s="111"/>
      <c r="B130" s="111"/>
      <c r="C130" s="112"/>
      <c r="D130" s="112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</row>
    <row r="131" ht="14.25" customHeight="1">
      <c r="A131" s="111"/>
      <c r="B131" s="111"/>
      <c r="C131" s="112"/>
      <c r="D131" s="112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</row>
    <row r="132" ht="14.25" customHeight="1">
      <c r="A132" s="111"/>
      <c r="B132" s="111"/>
      <c r="C132" s="112"/>
      <c r="D132" s="112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</row>
    <row r="133" ht="14.25" customHeight="1">
      <c r="A133" s="111"/>
      <c r="B133" s="111"/>
      <c r="C133" s="112"/>
      <c r="D133" s="112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</row>
    <row r="134" ht="14.25" customHeight="1">
      <c r="A134" s="111"/>
      <c r="B134" s="111"/>
      <c r="C134" s="112"/>
      <c r="D134" s="112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</row>
    <row r="135" ht="14.25" customHeight="1">
      <c r="A135" s="111"/>
      <c r="B135" s="111"/>
      <c r="C135" s="112"/>
      <c r="D135" s="112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</row>
    <row r="136" ht="14.25" customHeight="1">
      <c r="A136" s="111"/>
      <c r="B136" s="111"/>
      <c r="C136" s="112"/>
      <c r="D136" s="112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</row>
    <row r="137" ht="14.25" customHeight="1">
      <c r="A137" s="111"/>
      <c r="B137" s="111"/>
      <c r="C137" s="112"/>
      <c r="D137" s="112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</row>
    <row r="138" ht="14.25" customHeight="1">
      <c r="A138" s="111"/>
      <c r="B138" s="111"/>
      <c r="C138" s="112"/>
      <c r="D138" s="112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</row>
    <row r="139" ht="14.25" customHeight="1">
      <c r="A139" s="111"/>
      <c r="B139" s="111"/>
      <c r="C139" s="112"/>
      <c r="D139" s="112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</row>
    <row r="140" ht="14.25" customHeight="1">
      <c r="A140" s="111"/>
      <c r="B140" s="111"/>
      <c r="C140" s="112"/>
      <c r="D140" s="112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</row>
    <row r="141" ht="14.25" customHeight="1">
      <c r="A141" s="111"/>
      <c r="B141" s="111"/>
      <c r="C141" s="112"/>
      <c r="D141" s="112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</row>
    <row r="142" ht="14.25" customHeight="1">
      <c r="A142" s="111"/>
      <c r="B142" s="111"/>
      <c r="C142" s="112"/>
      <c r="D142" s="112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</row>
    <row r="143" ht="14.25" customHeight="1">
      <c r="A143" s="111"/>
      <c r="B143" s="111"/>
      <c r="C143" s="112"/>
      <c r="D143" s="112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</row>
    <row r="144" ht="14.25" customHeight="1">
      <c r="A144" s="111"/>
      <c r="B144" s="111"/>
      <c r="C144" s="112"/>
      <c r="D144" s="112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</row>
    <row r="145" ht="14.25" customHeight="1">
      <c r="A145" s="111"/>
      <c r="B145" s="111"/>
      <c r="C145" s="112"/>
      <c r="D145" s="112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</row>
    <row r="146" ht="14.25" customHeight="1">
      <c r="A146" s="111"/>
      <c r="B146" s="111"/>
      <c r="C146" s="112"/>
      <c r="D146" s="112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</row>
    <row r="147" ht="14.25" customHeight="1">
      <c r="A147" s="111"/>
      <c r="B147" s="111"/>
      <c r="C147" s="112"/>
      <c r="D147" s="112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</row>
    <row r="148" ht="14.25" customHeight="1">
      <c r="A148" s="111"/>
      <c r="B148" s="111"/>
      <c r="C148" s="112"/>
      <c r="D148" s="112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</row>
    <row r="149" ht="14.25" customHeight="1">
      <c r="A149" s="111"/>
      <c r="B149" s="111"/>
      <c r="C149" s="112"/>
      <c r="D149" s="112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</row>
    <row r="150" ht="14.25" customHeight="1">
      <c r="A150" s="111"/>
      <c r="B150" s="111"/>
      <c r="C150" s="112"/>
      <c r="D150" s="112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</row>
    <row r="151" ht="14.25" customHeight="1">
      <c r="A151" s="111"/>
      <c r="B151" s="111"/>
      <c r="C151" s="112"/>
      <c r="D151" s="112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</row>
    <row r="152" ht="14.25" customHeight="1">
      <c r="A152" s="111"/>
      <c r="B152" s="111"/>
      <c r="C152" s="112"/>
      <c r="D152" s="112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</row>
    <row r="153" ht="14.25" customHeight="1">
      <c r="A153" s="111"/>
      <c r="B153" s="111"/>
      <c r="C153" s="112"/>
      <c r="D153" s="112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</row>
    <row r="154" ht="14.25" customHeight="1">
      <c r="A154" s="111"/>
      <c r="B154" s="111"/>
      <c r="C154" s="112"/>
      <c r="D154" s="112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</row>
    <row r="155" ht="14.25" customHeight="1">
      <c r="A155" s="111"/>
      <c r="B155" s="111"/>
      <c r="C155" s="112"/>
      <c r="D155" s="112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</row>
    <row r="156" ht="14.25" customHeight="1">
      <c r="A156" s="111"/>
      <c r="B156" s="111"/>
      <c r="C156" s="112"/>
      <c r="D156" s="112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</row>
    <row r="157" ht="14.25" customHeight="1">
      <c r="A157" s="111"/>
      <c r="B157" s="111"/>
      <c r="C157" s="112"/>
      <c r="D157" s="112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</row>
    <row r="158" ht="14.25" customHeight="1">
      <c r="A158" s="111"/>
      <c r="B158" s="111"/>
      <c r="C158" s="112"/>
      <c r="D158" s="112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</row>
    <row r="159" ht="14.25" customHeight="1">
      <c r="A159" s="111"/>
      <c r="B159" s="111"/>
      <c r="C159" s="112"/>
      <c r="D159" s="112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</row>
    <row r="160" ht="14.25" customHeight="1">
      <c r="A160" s="111"/>
      <c r="B160" s="111"/>
      <c r="C160" s="112"/>
      <c r="D160" s="112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</row>
    <row r="161" ht="14.25" customHeight="1">
      <c r="A161" s="111"/>
      <c r="B161" s="111"/>
      <c r="C161" s="112"/>
      <c r="D161" s="112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</row>
    <row r="162" ht="14.25" customHeight="1">
      <c r="A162" s="111"/>
      <c r="B162" s="111"/>
      <c r="C162" s="112"/>
      <c r="D162" s="112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</row>
    <row r="163" ht="14.25" customHeight="1">
      <c r="A163" s="111"/>
      <c r="B163" s="111"/>
      <c r="C163" s="112"/>
      <c r="D163" s="112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</row>
    <row r="164" ht="14.25" customHeight="1">
      <c r="A164" s="111"/>
      <c r="B164" s="111"/>
      <c r="C164" s="112"/>
      <c r="D164" s="112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</row>
    <row r="165" ht="14.25" customHeight="1">
      <c r="A165" s="111"/>
      <c r="B165" s="111"/>
      <c r="C165" s="112"/>
      <c r="D165" s="112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</row>
    <row r="166" ht="14.25" customHeight="1">
      <c r="A166" s="111"/>
      <c r="B166" s="111"/>
      <c r="C166" s="112"/>
      <c r="D166" s="112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</row>
    <row r="167" ht="14.25" customHeight="1">
      <c r="A167" s="111"/>
      <c r="B167" s="111"/>
      <c r="C167" s="112"/>
      <c r="D167" s="112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</row>
    <row r="168" ht="14.25" customHeight="1">
      <c r="A168" s="111"/>
      <c r="B168" s="111"/>
      <c r="C168" s="112"/>
      <c r="D168" s="112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</row>
    <row r="169" ht="14.25" customHeight="1">
      <c r="A169" s="111"/>
      <c r="B169" s="111"/>
      <c r="C169" s="112"/>
      <c r="D169" s="112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</row>
    <row r="170" ht="14.25" customHeight="1">
      <c r="A170" s="111"/>
      <c r="B170" s="111"/>
      <c r="C170" s="112"/>
      <c r="D170" s="112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</row>
    <row r="171" ht="14.25" customHeight="1">
      <c r="A171" s="111"/>
      <c r="B171" s="111"/>
      <c r="C171" s="112"/>
      <c r="D171" s="112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</row>
    <row r="172" ht="14.25" customHeight="1">
      <c r="A172" s="111"/>
      <c r="B172" s="111"/>
      <c r="C172" s="112"/>
      <c r="D172" s="112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</row>
    <row r="173" ht="14.25" customHeight="1">
      <c r="A173" s="111"/>
      <c r="B173" s="111"/>
      <c r="C173" s="112"/>
      <c r="D173" s="112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</row>
    <row r="174" ht="14.25" customHeight="1">
      <c r="A174" s="111"/>
      <c r="B174" s="111"/>
      <c r="C174" s="112"/>
      <c r="D174" s="112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</row>
    <row r="175" ht="14.25" customHeight="1">
      <c r="A175" s="111"/>
      <c r="B175" s="111"/>
      <c r="C175" s="112"/>
      <c r="D175" s="112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</row>
    <row r="176" ht="14.25" customHeight="1">
      <c r="A176" s="111"/>
      <c r="B176" s="111"/>
      <c r="C176" s="112"/>
      <c r="D176" s="112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</row>
    <row r="177" ht="14.25" customHeight="1">
      <c r="A177" s="111"/>
      <c r="B177" s="111"/>
      <c r="C177" s="112"/>
      <c r="D177" s="112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</row>
    <row r="178" ht="14.25" customHeight="1">
      <c r="A178" s="111"/>
      <c r="B178" s="111"/>
      <c r="C178" s="112"/>
      <c r="D178" s="112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</row>
    <row r="179" ht="14.25" customHeight="1">
      <c r="A179" s="111"/>
      <c r="B179" s="111"/>
      <c r="C179" s="112"/>
      <c r="D179" s="112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</row>
    <row r="180" ht="14.25" customHeight="1">
      <c r="A180" s="111"/>
      <c r="B180" s="111"/>
      <c r="C180" s="112"/>
      <c r="D180" s="112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</row>
    <row r="181" ht="14.25" customHeight="1">
      <c r="A181" s="111"/>
      <c r="B181" s="111"/>
      <c r="C181" s="112"/>
      <c r="D181" s="112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</row>
    <row r="182" ht="14.25" customHeight="1">
      <c r="A182" s="111"/>
      <c r="B182" s="111"/>
      <c r="C182" s="112"/>
      <c r="D182" s="112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</row>
    <row r="183" ht="14.25" customHeight="1">
      <c r="A183" s="111"/>
      <c r="B183" s="111"/>
      <c r="C183" s="112"/>
      <c r="D183" s="112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</row>
    <row r="184" ht="14.25" customHeight="1">
      <c r="A184" s="111"/>
      <c r="B184" s="111"/>
      <c r="C184" s="112"/>
      <c r="D184" s="112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</row>
    <row r="185" ht="14.25" customHeight="1">
      <c r="A185" s="111"/>
      <c r="B185" s="111"/>
      <c r="C185" s="112"/>
      <c r="D185" s="112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</row>
    <row r="186" ht="14.25" customHeight="1">
      <c r="A186" s="111"/>
      <c r="B186" s="111"/>
      <c r="C186" s="112"/>
      <c r="D186" s="112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</row>
    <row r="187" ht="14.25" customHeight="1">
      <c r="A187" s="111"/>
      <c r="B187" s="111"/>
      <c r="C187" s="112"/>
      <c r="D187" s="112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</row>
    <row r="188" ht="14.25" customHeight="1">
      <c r="A188" s="111"/>
      <c r="B188" s="111"/>
      <c r="C188" s="112"/>
      <c r="D188" s="112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</row>
    <row r="189" ht="14.25" customHeight="1">
      <c r="A189" s="111"/>
      <c r="B189" s="111"/>
      <c r="C189" s="112"/>
      <c r="D189" s="112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</row>
    <row r="190" ht="14.25" customHeight="1">
      <c r="A190" s="111"/>
      <c r="B190" s="111"/>
      <c r="C190" s="112"/>
      <c r="D190" s="112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</row>
    <row r="191" ht="14.25" customHeight="1">
      <c r="A191" s="111"/>
      <c r="B191" s="111"/>
      <c r="C191" s="112"/>
      <c r="D191" s="112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</row>
    <row r="192" ht="14.25" customHeight="1">
      <c r="A192" s="111"/>
      <c r="B192" s="111"/>
      <c r="C192" s="112"/>
      <c r="D192" s="112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</row>
    <row r="193" ht="14.25" customHeight="1">
      <c r="A193" s="111"/>
      <c r="B193" s="111"/>
      <c r="C193" s="112"/>
      <c r="D193" s="112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</row>
    <row r="194" ht="14.25" customHeight="1">
      <c r="A194" s="111"/>
      <c r="B194" s="111"/>
      <c r="C194" s="112"/>
      <c r="D194" s="112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</row>
    <row r="195" ht="14.25" customHeight="1">
      <c r="A195" s="111"/>
      <c r="B195" s="111"/>
      <c r="C195" s="112"/>
      <c r="D195" s="112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1"/>
      <c r="BC195" s="111"/>
      <c r="BD195" s="111"/>
      <c r="BE195" s="111"/>
      <c r="BF195" s="111"/>
    </row>
    <row r="196" ht="14.25" customHeight="1">
      <c r="A196" s="111"/>
      <c r="B196" s="111"/>
      <c r="C196" s="112"/>
      <c r="D196" s="112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</row>
    <row r="197" ht="14.25" customHeight="1">
      <c r="A197" s="111"/>
      <c r="B197" s="111"/>
      <c r="C197" s="112"/>
      <c r="D197" s="112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</row>
    <row r="198" ht="14.25" customHeight="1">
      <c r="A198" s="111"/>
      <c r="B198" s="111"/>
      <c r="C198" s="112"/>
      <c r="D198" s="112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</row>
    <row r="199" ht="14.25" customHeight="1">
      <c r="A199" s="111"/>
      <c r="B199" s="111"/>
      <c r="C199" s="112"/>
      <c r="D199" s="112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1"/>
      <c r="BC199" s="111"/>
      <c r="BD199" s="111"/>
      <c r="BE199" s="111"/>
      <c r="BF199" s="111"/>
    </row>
    <row r="200" ht="14.25" customHeight="1">
      <c r="A200" s="111"/>
      <c r="B200" s="111"/>
      <c r="C200" s="112"/>
      <c r="D200" s="112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</row>
    <row r="201" ht="14.25" customHeight="1">
      <c r="A201" s="111"/>
      <c r="B201" s="111"/>
      <c r="C201" s="112"/>
      <c r="D201" s="112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</row>
    <row r="202" ht="14.25" customHeight="1">
      <c r="A202" s="111"/>
      <c r="B202" s="111"/>
      <c r="C202" s="112"/>
      <c r="D202" s="112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</row>
    <row r="203" ht="14.25" customHeight="1">
      <c r="A203" s="111"/>
      <c r="B203" s="111"/>
      <c r="C203" s="112"/>
      <c r="D203" s="112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</row>
    <row r="204" ht="14.25" customHeight="1">
      <c r="A204" s="111"/>
      <c r="B204" s="111"/>
      <c r="C204" s="112"/>
      <c r="D204" s="112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</row>
    <row r="205" ht="14.25" customHeight="1">
      <c r="A205" s="111"/>
      <c r="B205" s="111"/>
      <c r="C205" s="112"/>
      <c r="D205" s="112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</row>
    <row r="206" ht="14.25" customHeight="1">
      <c r="A206" s="111"/>
      <c r="B206" s="111"/>
      <c r="C206" s="112"/>
      <c r="D206" s="112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</row>
    <row r="207" ht="14.25" customHeight="1">
      <c r="A207" s="111"/>
      <c r="B207" s="111"/>
      <c r="C207" s="112"/>
      <c r="D207" s="112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</row>
    <row r="208" ht="14.25" customHeight="1">
      <c r="A208" s="111"/>
      <c r="B208" s="111"/>
      <c r="C208" s="112"/>
      <c r="D208" s="112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</row>
    <row r="209" ht="14.25" customHeight="1">
      <c r="A209" s="111"/>
      <c r="B209" s="111"/>
      <c r="C209" s="112"/>
      <c r="D209" s="112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</row>
    <row r="210" ht="14.25" customHeight="1">
      <c r="A210" s="111"/>
      <c r="B210" s="111"/>
      <c r="C210" s="112"/>
      <c r="D210" s="112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</row>
    <row r="211" ht="14.25" customHeight="1">
      <c r="A211" s="111"/>
      <c r="B211" s="111"/>
      <c r="C211" s="112"/>
      <c r="D211" s="112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</row>
    <row r="212" ht="14.25" customHeight="1">
      <c r="A212" s="111"/>
      <c r="B212" s="111"/>
      <c r="C212" s="112"/>
      <c r="D212" s="112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</row>
    <row r="213" ht="14.25" customHeight="1">
      <c r="A213" s="111"/>
      <c r="B213" s="111"/>
      <c r="C213" s="112"/>
      <c r="D213" s="112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</row>
    <row r="214" ht="14.25" customHeight="1">
      <c r="A214" s="111"/>
      <c r="B214" s="111"/>
      <c r="C214" s="112"/>
      <c r="D214" s="112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</row>
    <row r="215" ht="14.25" customHeight="1">
      <c r="A215" s="111"/>
      <c r="B215" s="111"/>
      <c r="C215" s="112"/>
      <c r="D215" s="112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</row>
    <row r="216" ht="14.25" customHeight="1">
      <c r="A216" s="111"/>
      <c r="B216" s="111"/>
      <c r="C216" s="112"/>
      <c r="D216" s="112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</row>
    <row r="217" ht="14.25" customHeight="1">
      <c r="A217" s="111"/>
      <c r="B217" s="111"/>
      <c r="C217" s="112"/>
      <c r="D217" s="112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</row>
    <row r="218" ht="14.25" customHeight="1">
      <c r="A218" s="111"/>
      <c r="B218" s="111"/>
      <c r="C218" s="112"/>
      <c r="D218" s="112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</row>
    <row r="219" ht="14.25" customHeight="1">
      <c r="A219" s="111"/>
      <c r="B219" s="111"/>
      <c r="C219" s="112"/>
      <c r="D219" s="112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</row>
    <row r="220" ht="14.25" customHeight="1">
      <c r="A220" s="111"/>
      <c r="B220" s="111"/>
      <c r="C220" s="112"/>
      <c r="D220" s="112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</row>
    <row r="221" ht="14.25" customHeight="1">
      <c r="A221" s="111"/>
      <c r="B221" s="111"/>
      <c r="C221" s="112"/>
      <c r="D221" s="112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</row>
    <row r="222" ht="14.25" customHeight="1">
      <c r="A222" s="111"/>
      <c r="B222" s="111"/>
      <c r="C222" s="112"/>
      <c r="D222" s="112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</row>
    <row r="223" ht="14.25" customHeight="1">
      <c r="A223" s="111"/>
      <c r="B223" s="111"/>
      <c r="C223" s="112"/>
      <c r="D223" s="112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</row>
    <row r="224" ht="14.25" customHeight="1">
      <c r="A224" s="111"/>
      <c r="B224" s="111"/>
      <c r="C224" s="112"/>
      <c r="D224" s="112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</row>
    <row r="225" ht="14.25" customHeight="1">
      <c r="A225" s="111"/>
      <c r="B225" s="111"/>
      <c r="C225" s="112"/>
      <c r="D225" s="112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</row>
    <row r="226" ht="14.25" customHeight="1">
      <c r="A226" s="111"/>
      <c r="B226" s="111"/>
      <c r="C226" s="112"/>
      <c r="D226" s="112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</row>
    <row r="227" ht="14.25" customHeight="1">
      <c r="A227" s="111"/>
      <c r="B227" s="111"/>
      <c r="C227" s="112"/>
      <c r="D227" s="112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</row>
    <row r="228" ht="14.25" customHeight="1">
      <c r="A228" s="111"/>
      <c r="B228" s="111"/>
      <c r="C228" s="112"/>
      <c r="D228" s="112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</row>
    <row r="229" ht="14.25" customHeight="1">
      <c r="A229" s="111"/>
      <c r="B229" s="111"/>
      <c r="C229" s="112"/>
      <c r="D229" s="112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</row>
    <row r="230" ht="14.25" customHeight="1">
      <c r="A230" s="111"/>
      <c r="B230" s="111"/>
      <c r="C230" s="112"/>
      <c r="D230" s="112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</row>
    <row r="231" ht="14.25" customHeight="1">
      <c r="A231" s="111"/>
      <c r="B231" s="111"/>
      <c r="C231" s="112"/>
      <c r="D231" s="112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</row>
    <row r="232" ht="14.25" customHeight="1">
      <c r="A232" s="111"/>
      <c r="B232" s="111"/>
      <c r="C232" s="112"/>
      <c r="D232" s="112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</row>
    <row r="233" ht="14.25" customHeight="1">
      <c r="A233" s="111"/>
      <c r="B233" s="111"/>
      <c r="C233" s="112"/>
      <c r="D233" s="112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</row>
    <row r="234" ht="14.25" customHeight="1">
      <c r="A234" s="111"/>
      <c r="B234" s="111"/>
      <c r="C234" s="112"/>
      <c r="D234" s="112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</row>
    <row r="235" ht="14.25" customHeight="1">
      <c r="A235" s="111"/>
      <c r="B235" s="111"/>
      <c r="C235" s="112"/>
      <c r="D235" s="112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</row>
    <row r="236" ht="14.25" customHeight="1">
      <c r="A236" s="111"/>
      <c r="B236" s="111"/>
      <c r="C236" s="112"/>
      <c r="D236" s="112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</row>
    <row r="237" ht="14.25" customHeight="1">
      <c r="A237" s="111"/>
      <c r="B237" s="111"/>
      <c r="C237" s="112"/>
      <c r="D237" s="112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</row>
    <row r="238" ht="14.25" customHeight="1">
      <c r="A238" s="111"/>
      <c r="B238" s="111"/>
      <c r="C238" s="112"/>
      <c r="D238" s="112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</row>
    <row r="239" ht="14.25" customHeight="1">
      <c r="A239" s="111"/>
      <c r="B239" s="111"/>
      <c r="C239" s="112"/>
      <c r="D239" s="112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</row>
    <row r="240" ht="14.25" customHeight="1">
      <c r="A240" s="111"/>
      <c r="B240" s="111"/>
      <c r="C240" s="112"/>
      <c r="D240" s="112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</row>
    <row r="241" ht="14.25" customHeight="1">
      <c r="A241" s="111"/>
      <c r="B241" s="111"/>
      <c r="C241" s="112"/>
      <c r="D241" s="112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</row>
    <row r="242" ht="14.25" customHeight="1">
      <c r="A242" s="111"/>
      <c r="B242" s="111"/>
      <c r="C242" s="112"/>
      <c r="D242" s="112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</row>
    <row r="243" ht="14.25" customHeight="1">
      <c r="A243" s="111"/>
      <c r="B243" s="111"/>
      <c r="C243" s="112"/>
      <c r="D243" s="112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</row>
    <row r="244" ht="14.25" customHeight="1">
      <c r="A244" s="111"/>
      <c r="B244" s="111"/>
      <c r="C244" s="112"/>
      <c r="D244" s="112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B244" s="111"/>
      <c r="BC244" s="111"/>
      <c r="BD244" s="111"/>
      <c r="BE244" s="111"/>
      <c r="BF244" s="111"/>
    </row>
    <row r="245" ht="14.25" customHeight="1">
      <c r="A245" s="111"/>
      <c r="B245" s="111"/>
      <c r="C245" s="112"/>
      <c r="D245" s="112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1"/>
      <c r="BC245" s="111"/>
      <c r="BD245" s="111"/>
      <c r="BE245" s="111"/>
      <c r="BF245" s="111"/>
    </row>
    <row r="246" ht="14.25" customHeight="1">
      <c r="A246" s="111"/>
      <c r="B246" s="111"/>
      <c r="C246" s="112"/>
      <c r="D246" s="112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1"/>
      <c r="BC246" s="111"/>
      <c r="BD246" s="111"/>
      <c r="BE246" s="111"/>
      <c r="BF246" s="111"/>
    </row>
    <row r="247" ht="14.25" customHeight="1">
      <c r="A247" s="111"/>
      <c r="B247" s="111"/>
      <c r="C247" s="112"/>
      <c r="D247" s="112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1"/>
      <c r="BC247" s="111"/>
      <c r="BD247" s="111"/>
      <c r="BE247" s="111"/>
      <c r="BF247" s="111"/>
    </row>
    <row r="248" ht="14.25" customHeight="1">
      <c r="A248" s="111"/>
      <c r="B248" s="111"/>
      <c r="C248" s="112"/>
      <c r="D248" s="112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1"/>
      <c r="BC248" s="111"/>
      <c r="BD248" s="111"/>
      <c r="BE248" s="111"/>
      <c r="BF248" s="111"/>
    </row>
    <row r="249" ht="14.25" customHeight="1">
      <c r="A249" s="111"/>
      <c r="B249" s="111"/>
      <c r="C249" s="112"/>
      <c r="D249" s="112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</row>
    <row r="250" ht="14.25" customHeight="1">
      <c r="A250" s="111"/>
      <c r="B250" s="111"/>
      <c r="C250" s="112"/>
      <c r="D250" s="112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1"/>
      <c r="BC250" s="111"/>
      <c r="BD250" s="111"/>
      <c r="BE250" s="111"/>
      <c r="BF250" s="111"/>
    </row>
    <row r="251" ht="14.25" customHeight="1">
      <c r="A251" s="111"/>
      <c r="B251" s="111"/>
      <c r="C251" s="112"/>
      <c r="D251" s="112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B251" s="111"/>
      <c r="BC251" s="111"/>
      <c r="BD251" s="111"/>
      <c r="BE251" s="111"/>
      <c r="BF251" s="111"/>
    </row>
    <row r="252" ht="14.25" customHeight="1">
      <c r="A252" s="111"/>
      <c r="B252" s="111"/>
      <c r="C252" s="112"/>
      <c r="D252" s="112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1"/>
      <c r="BC252" s="111"/>
      <c r="BD252" s="111"/>
      <c r="BE252" s="111"/>
      <c r="BF252" s="111"/>
    </row>
    <row r="253" ht="14.25" customHeight="1">
      <c r="A253" s="111"/>
      <c r="B253" s="111"/>
      <c r="C253" s="112"/>
      <c r="D253" s="112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</row>
    <row r="254" ht="14.25" customHeight="1">
      <c r="A254" s="111"/>
      <c r="B254" s="111"/>
      <c r="C254" s="112"/>
      <c r="D254" s="112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1"/>
      <c r="BC254" s="111"/>
      <c r="BD254" s="111"/>
      <c r="BE254" s="111"/>
      <c r="BF254" s="111"/>
    </row>
    <row r="255" ht="14.25" customHeight="1">
      <c r="A255" s="111"/>
      <c r="B255" s="111"/>
      <c r="C255" s="112"/>
      <c r="D255" s="112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1"/>
      <c r="BC255" s="111"/>
      <c r="BD255" s="111"/>
      <c r="BE255" s="111"/>
      <c r="BF255" s="111"/>
    </row>
    <row r="256" ht="14.25" customHeight="1">
      <c r="A256" s="111"/>
      <c r="B256" s="111"/>
      <c r="C256" s="112"/>
      <c r="D256" s="112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1"/>
      <c r="BC256" s="111"/>
      <c r="BD256" s="111"/>
      <c r="BE256" s="111"/>
      <c r="BF256" s="111"/>
    </row>
    <row r="257" ht="14.25" customHeight="1">
      <c r="A257" s="111"/>
      <c r="B257" s="111"/>
      <c r="C257" s="112"/>
      <c r="D257" s="112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1"/>
      <c r="BC257" s="111"/>
      <c r="BD257" s="111"/>
      <c r="BE257" s="111"/>
      <c r="BF257" s="111"/>
    </row>
    <row r="258" ht="14.25" customHeight="1">
      <c r="A258" s="111"/>
      <c r="B258" s="111"/>
      <c r="C258" s="112"/>
      <c r="D258" s="112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1"/>
      <c r="BC258" s="111"/>
      <c r="BD258" s="111"/>
      <c r="BE258" s="111"/>
      <c r="BF258" s="111"/>
    </row>
    <row r="259" ht="14.25" customHeight="1">
      <c r="A259" s="111"/>
      <c r="B259" s="111"/>
      <c r="C259" s="112"/>
      <c r="D259" s="112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B259" s="111"/>
      <c r="BC259" s="111"/>
      <c r="BD259" s="111"/>
      <c r="BE259" s="111"/>
      <c r="BF259" s="111"/>
    </row>
    <row r="260" ht="14.25" customHeight="1">
      <c r="A260" s="111"/>
      <c r="B260" s="111"/>
      <c r="C260" s="112"/>
      <c r="D260" s="112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B260" s="111"/>
      <c r="BC260" s="111"/>
      <c r="BD260" s="111"/>
      <c r="BE260" s="111"/>
      <c r="BF260" s="111"/>
    </row>
    <row r="261" ht="14.25" customHeight="1">
      <c r="A261" s="111"/>
      <c r="B261" s="111"/>
      <c r="C261" s="112"/>
      <c r="D261" s="112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B261" s="111"/>
      <c r="BC261" s="111"/>
      <c r="BD261" s="111"/>
      <c r="BE261" s="111"/>
      <c r="BF261" s="111"/>
    </row>
    <row r="262" ht="14.25" customHeight="1">
      <c r="A262" s="111"/>
      <c r="B262" s="111"/>
      <c r="C262" s="112"/>
      <c r="D262" s="112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</row>
    <row r="263" ht="14.25" customHeight="1">
      <c r="A263" s="111"/>
      <c r="B263" s="111"/>
      <c r="C263" s="112"/>
      <c r="D263" s="112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</row>
    <row r="264" ht="14.25" customHeight="1">
      <c r="A264" s="111"/>
      <c r="B264" s="111"/>
      <c r="C264" s="112"/>
      <c r="D264" s="112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</row>
    <row r="265" ht="14.25" customHeight="1">
      <c r="A265" s="111"/>
      <c r="B265" s="111"/>
      <c r="C265" s="112"/>
      <c r="D265" s="112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</row>
    <row r="266" ht="14.25" customHeight="1">
      <c r="A266" s="111"/>
      <c r="B266" s="111"/>
      <c r="C266" s="112"/>
      <c r="D266" s="112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</row>
    <row r="267" ht="14.25" customHeight="1">
      <c r="A267" s="111"/>
      <c r="B267" s="111"/>
      <c r="C267" s="112"/>
      <c r="D267" s="112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</row>
    <row r="268" ht="14.25" customHeight="1">
      <c r="A268" s="111"/>
      <c r="B268" s="111"/>
      <c r="C268" s="112"/>
      <c r="D268" s="112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</row>
    <row r="269" ht="14.25" customHeight="1">
      <c r="A269" s="111"/>
      <c r="B269" s="111"/>
      <c r="C269" s="112"/>
      <c r="D269" s="112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</row>
    <row r="270" ht="14.25" customHeight="1">
      <c r="A270" s="111"/>
      <c r="B270" s="111"/>
      <c r="C270" s="112"/>
      <c r="D270" s="112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B270" s="111"/>
      <c r="BC270" s="111"/>
      <c r="BD270" s="111"/>
      <c r="BE270" s="111"/>
      <c r="BF270" s="111"/>
    </row>
    <row r="271" ht="14.25" customHeight="1">
      <c r="A271" s="111"/>
      <c r="B271" s="111"/>
      <c r="C271" s="112"/>
      <c r="D271" s="112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B271" s="111"/>
      <c r="BC271" s="111"/>
      <c r="BD271" s="111"/>
      <c r="BE271" s="111"/>
      <c r="BF271" s="111"/>
    </row>
    <row r="272" ht="14.25" customHeight="1">
      <c r="A272" s="111"/>
      <c r="B272" s="111"/>
      <c r="C272" s="112"/>
      <c r="D272" s="112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1"/>
      <c r="BC272" s="111"/>
      <c r="BD272" s="111"/>
      <c r="BE272" s="111"/>
      <c r="BF272" s="111"/>
    </row>
    <row r="273" ht="14.25" customHeight="1">
      <c r="A273" s="111"/>
      <c r="B273" s="111"/>
      <c r="C273" s="112"/>
      <c r="D273" s="112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</row>
    <row r="274" ht="14.25" customHeight="1">
      <c r="A274" s="111"/>
      <c r="B274" s="111"/>
      <c r="C274" s="112"/>
      <c r="D274" s="112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</row>
    <row r="275" ht="14.25" customHeight="1">
      <c r="A275" s="111"/>
      <c r="B275" s="111"/>
      <c r="C275" s="112"/>
      <c r="D275" s="112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B275" s="111"/>
      <c r="BC275" s="111"/>
      <c r="BD275" s="111"/>
      <c r="BE275" s="111"/>
      <c r="BF275" s="111"/>
    </row>
    <row r="276" ht="14.25" customHeight="1">
      <c r="A276" s="111"/>
      <c r="B276" s="111"/>
      <c r="C276" s="112"/>
      <c r="D276" s="112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B276" s="111"/>
      <c r="BC276" s="111"/>
      <c r="BD276" s="111"/>
      <c r="BE276" s="111"/>
      <c r="BF276" s="111"/>
    </row>
    <row r="277" ht="14.25" customHeight="1">
      <c r="A277" s="111"/>
      <c r="B277" s="111"/>
      <c r="C277" s="112"/>
      <c r="D277" s="112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B277" s="111"/>
      <c r="BC277" s="111"/>
      <c r="BD277" s="111"/>
      <c r="BE277" s="111"/>
      <c r="BF277" s="111"/>
    </row>
    <row r="278" ht="14.25" customHeight="1">
      <c r="A278" s="111"/>
      <c r="B278" s="111"/>
      <c r="C278" s="112"/>
      <c r="D278" s="112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B278" s="111"/>
      <c r="BC278" s="111"/>
      <c r="BD278" s="111"/>
      <c r="BE278" s="111"/>
      <c r="BF278" s="111"/>
    </row>
    <row r="279" ht="14.25" customHeight="1">
      <c r="A279" s="111"/>
      <c r="B279" s="111"/>
      <c r="C279" s="112"/>
      <c r="D279" s="112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</row>
    <row r="280" ht="14.25" customHeight="1">
      <c r="A280" s="111"/>
      <c r="B280" s="111"/>
      <c r="C280" s="112"/>
      <c r="D280" s="112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</row>
    <row r="281" ht="14.25" customHeight="1">
      <c r="A281" s="111"/>
      <c r="B281" s="111"/>
      <c r="C281" s="112"/>
      <c r="D281" s="112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</row>
    <row r="282" ht="14.25" customHeight="1">
      <c r="A282" s="111"/>
      <c r="B282" s="111"/>
      <c r="C282" s="112"/>
      <c r="D282" s="112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</row>
    <row r="283" ht="14.25" customHeight="1">
      <c r="A283" s="111"/>
      <c r="B283" s="111"/>
      <c r="C283" s="112"/>
      <c r="D283" s="112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</row>
    <row r="284" ht="14.25" customHeight="1">
      <c r="A284" s="111"/>
      <c r="B284" s="111"/>
      <c r="C284" s="112"/>
      <c r="D284" s="112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</row>
    <row r="285" ht="14.25" customHeight="1">
      <c r="A285" s="111"/>
      <c r="B285" s="111"/>
      <c r="C285" s="112"/>
      <c r="D285" s="112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</row>
    <row r="286" ht="14.25" customHeight="1">
      <c r="A286" s="111"/>
      <c r="B286" s="111"/>
      <c r="C286" s="112"/>
      <c r="D286" s="112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</row>
    <row r="287" ht="14.25" customHeight="1">
      <c r="A287" s="111"/>
      <c r="B287" s="111"/>
      <c r="C287" s="112"/>
      <c r="D287" s="112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</row>
    <row r="288" ht="14.25" customHeight="1">
      <c r="A288" s="111"/>
      <c r="B288" s="111"/>
      <c r="C288" s="112"/>
      <c r="D288" s="112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</row>
    <row r="289" ht="14.25" customHeight="1">
      <c r="A289" s="111"/>
      <c r="B289" s="111"/>
      <c r="C289" s="112"/>
      <c r="D289" s="112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</row>
    <row r="290" ht="14.25" customHeight="1">
      <c r="A290" s="111"/>
      <c r="B290" s="111"/>
      <c r="C290" s="112"/>
      <c r="D290" s="112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</row>
    <row r="291" ht="14.25" customHeight="1">
      <c r="A291" s="111"/>
      <c r="B291" s="111"/>
      <c r="C291" s="112"/>
      <c r="D291" s="112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</row>
    <row r="292" ht="14.25" customHeight="1">
      <c r="A292" s="111"/>
      <c r="B292" s="111"/>
      <c r="C292" s="112"/>
      <c r="D292" s="112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</row>
    <row r="293" ht="14.25" customHeight="1">
      <c r="A293" s="111"/>
      <c r="B293" s="111"/>
      <c r="C293" s="112"/>
      <c r="D293" s="112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</row>
    <row r="294" ht="14.25" customHeight="1">
      <c r="A294" s="111"/>
      <c r="B294" s="111"/>
      <c r="C294" s="112"/>
      <c r="D294" s="112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B294" s="111"/>
      <c r="BC294" s="111"/>
      <c r="BD294" s="111"/>
      <c r="BE294" s="111"/>
      <c r="BF294" s="111"/>
    </row>
    <row r="295" ht="14.25" customHeight="1">
      <c r="A295" s="111"/>
      <c r="B295" s="111"/>
      <c r="C295" s="112"/>
      <c r="D295" s="112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</row>
    <row r="296" ht="14.25" customHeight="1">
      <c r="A296" s="111"/>
      <c r="B296" s="111"/>
      <c r="C296" s="112"/>
      <c r="D296" s="112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B296" s="111"/>
      <c r="BC296" s="111"/>
      <c r="BD296" s="111"/>
      <c r="BE296" s="111"/>
      <c r="BF296" s="111"/>
    </row>
    <row r="297" ht="14.25" customHeight="1">
      <c r="A297" s="111"/>
      <c r="B297" s="111"/>
      <c r="C297" s="112"/>
      <c r="D297" s="112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</row>
    <row r="298" ht="14.25" customHeight="1">
      <c r="A298" s="111"/>
      <c r="B298" s="111"/>
      <c r="C298" s="112"/>
      <c r="D298" s="112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B298" s="111"/>
      <c r="BC298" s="111"/>
      <c r="BD298" s="111"/>
      <c r="BE298" s="111"/>
      <c r="BF298" s="111"/>
    </row>
    <row r="299" ht="14.25" customHeight="1">
      <c r="A299" s="111"/>
      <c r="B299" s="111"/>
      <c r="C299" s="112"/>
      <c r="D299" s="112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</row>
    <row r="300" ht="14.25" customHeight="1">
      <c r="A300" s="111"/>
      <c r="B300" s="111"/>
      <c r="C300" s="112"/>
      <c r="D300" s="112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</row>
    <row r="301" ht="14.25" customHeight="1">
      <c r="A301" s="111"/>
      <c r="B301" s="111"/>
      <c r="C301" s="112"/>
      <c r="D301" s="112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1"/>
      <c r="BC301" s="111"/>
      <c r="BD301" s="111"/>
      <c r="BE301" s="111"/>
      <c r="BF301" s="111"/>
    </row>
    <row r="302" ht="14.25" customHeight="1">
      <c r="A302" s="111"/>
      <c r="B302" s="111"/>
      <c r="C302" s="112"/>
      <c r="D302" s="112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</row>
    <row r="303" ht="14.25" customHeight="1">
      <c r="A303" s="111"/>
      <c r="B303" s="111"/>
      <c r="C303" s="112"/>
      <c r="D303" s="112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</row>
    <row r="304" ht="14.25" customHeight="1">
      <c r="A304" s="111"/>
      <c r="B304" s="111"/>
      <c r="C304" s="112"/>
      <c r="D304" s="112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</row>
    <row r="305" ht="14.25" customHeight="1">
      <c r="A305" s="111"/>
      <c r="B305" s="111"/>
      <c r="C305" s="112"/>
      <c r="D305" s="112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</row>
    <row r="306" ht="14.25" customHeight="1">
      <c r="A306" s="111"/>
      <c r="B306" s="111"/>
      <c r="C306" s="112"/>
      <c r="D306" s="112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1"/>
      <c r="BC306" s="111"/>
      <c r="BD306" s="111"/>
      <c r="BE306" s="111"/>
      <c r="BF306" s="111"/>
    </row>
    <row r="307" ht="14.25" customHeight="1">
      <c r="A307" s="111"/>
      <c r="B307" s="111"/>
      <c r="C307" s="112"/>
      <c r="D307" s="112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</row>
    <row r="308" ht="14.25" customHeight="1">
      <c r="A308" s="111"/>
      <c r="B308" s="111"/>
      <c r="C308" s="112"/>
      <c r="D308" s="112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</row>
    <row r="309" ht="14.25" customHeight="1">
      <c r="A309" s="111"/>
      <c r="B309" s="111"/>
      <c r="C309" s="112"/>
      <c r="D309" s="112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</row>
    <row r="310" ht="14.25" customHeight="1">
      <c r="A310" s="111"/>
      <c r="B310" s="111"/>
      <c r="C310" s="112"/>
      <c r="D310" s="112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</row>
    <row r="311" ht="14.25" customHeight="1">
      <c r="A311" s="111"/>
      <c r="B311" s="111"/>
      <c r="C311" s="112"/>
      <c r="D311" s="112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</row>
    <row r="312" ht="14.25" customHeight="1">
      <c r="A312" s="111"/>
      <c r="B312" s="111"/>
      <c r="C312" s="112"/>
      <c r="D312" s="112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</row>
    <row r="313" ht="14.25" customHeight="1">
      <c r="A313" s="111"/>
      <c r="B313" s="111"/>
      <c r="C313" s="112"/>
      <c r="D313" s="112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</row>
    <row r="314" ht="14.25" customHeight="1">
      <c r="A314" s="111"/>
      <c r="B314" s="111"/>
      <c r="C314" s="112"/>
      <c r="D314" s="112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</row>
    <row r="315" ht="14.25" customHeight="1">
      <c r="A315" s="111"/>
      <c r="B315" s="111"/>
      <c r="C315" s="112"/>
      <c r="D315" s="112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</row>
    <row r="316" ht="14.25" customHeight="1">
      <c r="A316" s="111"/>
      <c r="B316" s="111"/>
      <c r="C316" s="112"/>
      <c r="D316" s="112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</row>
    <row r="317" ht="14.25" customHeight="1">
      <c r="A317" s="111"/>
      <c r="B317" s="111"/>
      <c r="C317" s="112"/>
      <c r="D317" s="112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</row>
    <row r="318" ht="14.25" customHeight="1">
      <c r="A318" s="111"/>
      <c r="B318" s="111"/>
      <c r="C318" s="112"/>
      <c r="D318" s="112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</row>
    <row r="319" ht="14.25" customHeight="1">
      <c r="A319" s="111"/>
      <c r="B319" s="111"/>
      <c r="C319" s="112"/>
      <c r="D319" s="112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</row>
    <row r="320" ht="14.25" customHeight="1">
      <c r="A320" s="111"/>
      <c r="B320" s="111"/>
      <c r="C320" s="112"/>
      <c r="D320" s="112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11"/>
      <c r="BF320" s="111"/>
    </row>
    <row r="321" ht="14.25" customHeight="1">
      <c r="A321" s="111"/>
      <c r="B321" s="111"/>
      <c r="C321" s="112"/>
      <c r="D321" s="112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</row>
    <row r="322" ht="14.25" customHeight="1">
      <c r="A322" s="111"/>
      <c r="B322" s="111"/>
      <c r="C322" s="112"/>
      <c r="D322" s="112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</row>
    <row r="323" ht="14.25" customHeight="1">
      <c r="A323" s="111"/>
      <c r="B323" s="111"/>
      <c r="C323" s="112"/>
      <c r="D323" s="112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B323" s="111"/>
      <c r="BC323" s="111"/>
      <c r="BD323" s="111"/>
      <c r="BE323" s="111"/>
      <c r="BF323" s="111"/>
    </row>
    <row r="324" ht="14.25" customHeight="1">
      <c r="A324" s="111"/>
      <c r="B324" s="111"/>
      <c r="C324" s="112"/>
      <c r="D324" s="112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</row>
    <row r="325" ht="14.25" customHeight="1">
      <c r="A325" s="111"/>
      <c r="B325" s="111"/>
      <c r="C325" s="112"/>
      <c r="D325" s="112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</row>
    <row r="326" ht="14.25" customHeight="1">
      <c r="A326" s="111"/>
      <c r="B326" s="111"/>
      <c r="C326" s="112"/>
      <c r="D326" s="112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</row>
    <row r="327" ht="14.25" customHeight="1">
      <c r="A327" s="111"/>
      <c r="B327" s="111"/>
      <c r="C327" s="112"/>
      <c r="D327" s="112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</row>
    <row r="328" ht="14.25" customHeight="1">
      <c r="A328" s="111"/>
      <c r="B328" s="111"/>
      <c r="C328" s="112"/>
      <c r="D328" s="112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</row>
    <row r="329" ht="14.25" customHeight="1">
      <c r="A329" s="111"/>
      <c r="B329" s="111"/>
      <c r="C329" s="112"/>
      <c r="D329" s="112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</row>
    <row r="330" ht="14.25" customHeight="1">
      <c r="A330" s="111"/>
      <c r="B330" s="111"/>
      <c r="C330" s="112"/>
      <c r="D330" s="112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  <c r="BB330" s="111"/>
      <c r="BC330" s="111"/>
      <c r="BD330" s="111"/>
      <c r="BE330" s="111"/>
      <c r="BF330" s="111"/>
    </row>
    <row r="331" ht="14.25" customHeight="1">
      <c r="A331" s="111"/>
      <c r="B331" s="111"/>
      <c r="C331" s="112"/>
      <c r="D331" s="112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  <c r="BB331" s="111"/>
      <c r="BC331" s="111"/>
      <c r="BD331" s="111"/>
      <c r="BE331" s="111"/>
      <c r="BF331" s="111"/>
    </row>
    <row r="332" ht="14.25" customHeight="1">
      <c r="A332" s="111"/>
      <c r="B332" s="111"/>
      <c r="C332" s="112"/>
      <c r="D332" s="112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</row>
    <row r="333" ht="14.25" customHeight="1">
      <c r="A333" s="111"/>
      <c r="B333" s="111"/>
      <c r="C333" s="112"/>
      <c r="D333" s="112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</row>
    <row r="334" ht="14.25" customHeight="1">
      <c r="A334" s="111"/>
      <c r="B334" s="111"/>
      <c r="C334" s="112"/>
      <c r="D334" s="112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111"/>
    </row>
    <row r="335" ht="14.25" customHeight="1">
      <c r="A335" s="111"/>
      <c r="B335" s="111"/>
      <c r="C335" s="112"/>
      <c r="D335" s="112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  <c r="BB335" s="111"/>
      <c r="BC335" s="111"/>
      <c r="BD335" s="111"/>
      <c r="BE335" s="111"/>
      <c r="BF335" s="111"/>
    </row>
    <row r="336" ht="14.25" customHeight="1">
      <c r="A336" s="111"/>
      <c r="B336" s="111"/>
      <c r="C336" s="112"/>
      <c r="D336" s="112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</row>
    <row r="337" ht="14.25" customHeight="1">
      <c r="A337" s="111"/>
      <c r="B337" s="111"/>
      <c r="C337" s="112"/>
      <c r="D337" s="112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  <c r="BB337" s="111"/>
      <c r="BC337" s="111"/>
      <c r="BD337" s="111"/>
      <c r="BE337" s="111"/>
      <c r="BF337" s="111"/>
    </row>
    <row r="338" ht="14.25" customHeight="1">
      <c r="A338" s="111"/>
      <c r="B338" s="111"/>
      <c r="C338" s="112"/>
      <c r="D338" s="112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  <c r="BB338" s="111"/>
      <c r="BC338" s="111"/>
      <c r="BD338" s="111"/>
      <c r="BE338" s="111"/>
      <c r="BF338" s="111"/>
    </row>
    <row r="339" ht="14.25" customHeight="1">
      <c r="A339" s="111"/>
      <c r="B339" s="111"/>
      <c r="C339" s="112"/>
      <c r="D339" s="112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  <c r="BB339" s="111"/>
      <c r="BC339" s="111"/>
      <c r="BD339" s="111"/>
      <c r="BE339" s="111"/>
      <c r="BF339" s="111"/>
    </row>
    <row r="340" ht="14.25" customHeight="1">
      <c r="A340" s="111"/>
      <c r="B340" s="111"/>
      <c r="C340" s="112"/>
      <c r="D340" s="112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  <c r="BB340" s="111"/>
      <c r="BC340" s="111"/>
      <c r="BD340" s="111"/>
      <c r="BE340" s="111"/>
      <c r="BF340" s="111"/>
    </row>
    <row r="341" ht="14.25" customHeight="1">
      <c r="A341" s="111"/>
      <c r="B341" s="111"/>
      <c r="C341" s="112"/>
      <c r="D341" s="112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  <c r="BB341" s="111"/>
      <c r="BC341" s="111"/>
      <c r="BD341" s="111"/>
      <c r="BE341" s="111"/>
      <c r="BF341" s="111"/>
    </row>
    <row r="342" ht="14.25" customHeight="1">
      <c r="A342" s="111"/>
      <c r="B342" s="111"/>
      <c r="C342" s="112"/>
      <c r="D342" s="112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  <c r="BB342" s="111"/>
      <c r="BC342" s="111"/>
      <c r="BD342" s="111"/>
      <c r="BE342" s="111"/>
      <c r="BF342" s="111"/>
    </row>
    <row r="343" ht="14.25" customHeight="1">
      <c r="A343" s="111"/>
      <c r="B343" s="111"/>
      <c r="C343" s="112"/>
      <c r="D343" s="112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  <c r="BB343" s="111"/>
      <c r="BC343" s="111"/>
      <c r="BD343" s="111"/>
      <c r="BE343" s="111"/>
      <c r="BF343" s="111"/>
    </row>
    <row r="344" ht="14.25" customHeight="1">
      <c r="A344" s="111"/>
      <c r="B344" s="111"/>
      <c r="C344" s="112"/>
      <c r="D344" s="112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  <c r="BB344" s="111"/>
      <c r="BC344" s="111"/>
      <c r="BD344" s="111"/>
      <c r="BE344" s="111"/>
      <c r="BF344" s="111"/>
    </row>
    <row r="345" ht="14.25" customHeight="1">
      <c r="A345" s="111"/>
      <c r="B345" s="111"/>
      <c r="C345" s="112"/>
      <c r="D345" s="112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  <c r="BB345" s="111"/>
      <c r="BC345" s="111"/>
      <c r="BD345" s="111"/>
      <c r="BE345" s="111"/>
      <c r="BF345" s="111"/>
    </row>
    <row r="346" ht="14.25" customHeight="1">
      <c r="A346" s="111"/>
      <c r="B346" s="111"/>
      <c r="C346" s="112"/>
      <c r="D346" s="112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</row>
    <row r="347" ht="14.25" customHeight="1">
      <c r="A347" s="111"/>
      <c r="B347" s="111"/>
      <c r="C347" s="112"/>
      <c r="D347" s="112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</row>
    <row r="348" ht="14.25" customHeight="1">
      <c r="A348" s="111"/>
      <c r="B348" s="111"/>
      <c r="C348" s="112"/>
      <c r="D348" s="112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1"/>
      <c r="BC348" s="111"/>
      <c r="BD348" s="111"/>
      <c r="BE348" s="111"/>
      <c r="BF348" s="111"/>
    </row>
    <row r="349" ht="14.25" customHeight="1">
      <c r="A349" s="111"/>
      <c r="B349" s="111"/>
      <c r="C349" s="112"/>
      <c r="D349" s="112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1"/>
      <c r="BC349" s="111"/>
      <c r="BD349" s="111"/>
      <c r="BE349" s="111"/>
      <c r="BF349" s="111"/>
    </row>
    <row r="350" ht="14.25" customHeight="1">
      <c r="A350" s="111"/>
      <c r="B350" s="111"/>
      <c r="C350" s="112"/>
      <c r="D350" s="112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</row>
    <row r="351" ht="14.25" customHeight="1">
      <c r="A351" s="111"/>
      <c r="B351" s="111"/>
      <c r="C351" s="112"/>
      <c r="D351" s="112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</row>
    <row r="352" ht="14.25" customHeight="1">
      <c r="A352" s="111"/>
      <c r="B352" s="111"/>
      <c r="C352" s="112"/>
      <c r="D352" s="112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</row>
    <row r="353" ht="14.25" customHeight="1">
      <c r="A353" s="111"/>
      <c r="B353" s="111"/>
      <c r="C353" s="112"/>
      <c r="D353" s="112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</row>
    <row r="354" ht="14.25" customHeight="1">
      <c r="A354" s="111"/>
      <c r="B354" s="111"/>
      <c r="C354" s="112"/>
      <c r="D354" s="112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1"/>
      <c r="BC354" s="111"/>
      <c r="BD354" s="111"/>
      <c r="BE354" s="111"/>
      <c r="BF354" s="111"/>
    </row>
    <row r="355" ht="14.25" customHeight="1">
      <c r="A355" s="111"/>
      <c r="B355" s="111"/>
      <c r="C355" s="112"/>
      <c r="D355" s="112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  <c r="BB355" s="111"/>
      <c r="BC355" s="111"/>
      <c r="BD355" s="111"/>
      <c r="BE355" s="111"/>
      <c r="BF355" s="111"/>
    </row>
    <row r="356" ht="14.25" customHeight="1">
      <c r="A356" s="111"/>
      <c r="B356" s="111"/>
      <c r="C356" s="112"/>
      <c r="D356" s="112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  <c r="BB356" s="111"/>
      <c r="BC356" s="111"/>
      <c r="BD356" s="111"/>
      <c r="BE356" s="111"/>
      <c r="BF356" s="111"/>
    </row>
    <row r="357" ht="14.25" customHeight="1">
      <c r="A357" s="111"/>
      <c r="B357" s="111"/>
      <c r="C357" s="112"/>
      <c r="D357" s="112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  <c r="BB357" s="111"/>
      <c r="BC357" s="111"/>
      <c r="BD357" s="111"/>
      <c r="BE357" s="111"/>
      <c r="BF357" s="111"/>
    </row>
    <row r="358" ht="14.25" customHeight="1">
      <c r="A358" s="111"/>
      <c r="B358" s="111"/>
      <c r="C358" s="112"/>
      <c r="D358" s="112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</row>
    <row r="359" ht="14.25" customHeight="1">
      <c r="A359" s="111"/>
      <c r="B359" s="111"/>
      <c r="C359" s="112"/>
      <c r="D359" s="112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  <c r="BB359" s="111"/>
      <c r="BC359" s="111"/>
      <c r="BD359" s="111"/>
      <c r="BE359" s="111"/>
      <c r="BF359" s="111"/>
    </row>
    <row r="360" ht="14.25" customHeight="1">
      <c r="A360" s="111"/>
      <c r="B360" s="111"/>
      <c r="C360" s="112"/>
      <c r="D360" s="112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1"/>
      <c r="BC360" s="111"/>
      <c r="BD360" s="111"/>
      <c r="BE360" s="111"/>
      <c r="BF360" s="111"/>
    </row>
    <row r="361" ht="14.25" customHeight="1">
      <c r="A361" s="111"/>
      <c r="B361" s="111"/>
      <c r="C361" s="112"/>
      <c r="D361" s="112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</row>
    <row r="362" ht="14.25" customHeight="1">
      <c r="A362" s="111"/>
      <c r="B362" s="111"/>
      <c r="C362" s="112"/>
      <c r="D362" s="112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</row>
    <row r="363" ht="14.25" customHeight="1">
      <c r="A363" s="111"/>
      <c r="B363" s="111"/>
      <c r="C363" s="112"/>
      <c r="D363" s="112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1"/>
      <c r="BC363" s="111"/>
      <c r="BD363" s="111"/>
      <c r="BE363" s="111"/>
      <c r="BF363" s="111"/>
    </row>
    <row r="364" ht="14.25" customHeight="1">
      <c r="A364" s="111"/>
      <c r="B364" s="111"/>
      <c r="C364" s="112"/>
      <c r="D364" s="112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</row>
    <row r="365" ht="14.25" customHeight="1">
      <c r="A365" s="111"/>
      <c r="B365" s="111"/>
      <c r="C365" s="112"/>
      <c r="D365" s="112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  <c r="BB365" s="111"/>
      <c r="BC365" s="111"/>
      <c r="BD365" s="111"/>
      <c r="BE365" s="111"/>
      <c r="BF365" s="111"/>
    </row>
    <row r="366" ht="14.25" customHeight="1">
      <c r="A366" s="111"/>
      <c r="B366" s="111"/>
      <c r="C366" s="112"/>
      <c r="D366" s="112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1"/>
      <c r="BC366" s="111"/>
      <c r="BD366" s="111"/>
      <c r="BE366" s="111"/>
      <c r="BF366" s="111"/>
    </row>
    <row r="367" ht="14.25" customHeight="1">
      <c r="A367" s="111"/>
      <c r="B367" s="111"/>
      <c r="C367" s="112"/>
      <c r="D367" s="112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</row>
    <row r="368" ht="14.25" customHeight="1">
      <c r="A368" s="111"/>
      <c r="B368" s="111"/>
      <c r="C368" s="112"/>
      <c r="D368" s="112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</row>
    <row r="369" ht="14.25" customHeight="1">
      <c r="A369" s="111"/>
      <c r="B369" s="111"/>
      <c r="C369" s="112"/>
      <c r="D369" s="112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  <c r="BB369" s="111"/>
      <c r="BC369" s="111"/>
      <c r="BD369" s="111"/>
      <c r="BE369" s="111"/>
      <c r="BF369" s="111"/>
    </row>
    <row r="370" ht="14.25" customHeight="1">
      <c r="A370" s="111"/>
      <c r="B370" s="111"/>
      <c r="C370" s="112"/>
      <c r="D370" s="112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</row>
    <row r="371" ht="14.25" customHeight="1">
      <c r="A371" s="111"/>
      <c r="B371" s="111"/>
      <c r="C371" s="112"/>
      <c r="D371" s="112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  <c r="BB371" s="111"/>
      <c r="BC371" s="111"/>
      <c r="BD371" s="111"/>
      <c r="BE371" s="111"/>
      <c r="BF371" s="111"/>
    </row>
    <row r="372" ht="14.25" customHeight="1">
      <c r="A372" s="111"/>
      <c r="B372" s="111"/>
      <c r="C372" s="112"/>
      <c r="D372" s="112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  <c r="BB372" s="111"/>
      <c r="BC372" s="111"/>
      <c r="BD372" s="111"/>
      <c r="BE372" s="111"/>
      <c r="BF372" s="111"/>
    </row>
    <row r="373" ht="14.25" customHeight="1">
      <c r="A373" s="111"/>
      <c r="B373" s="111"/>
      <c r="C373" s="112"/>
      <c r="D373" s="112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</row>
    <row r="374" ht="14.25" customHeight="1">
      <c r="A374" s="111"/>
      <c r="B374" s="111"/>
      <c r="C374" s="112"/>
      <c r="D374" s="112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  <c r="BB374" s="111"/>
      <c r="BC374" s="111"/>
      <c r="BD374" s="111"/>
      <c r="BE374" s="111"/>
      <c r="BF374" s="111"/>
    </row>
    <row r="375" ht="14.25" customHeight="1">
      <c r="A375" s="111"/>
      <c r="B375" s="111"/>
      <c r="C375" s="112"/>
      <c r="D375" s="112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</row>
    <row r="376" ht="14.25" customHeight="1">
      <c r="A376" s="111"/>
      <c r="B376" s="111"/>
      <c r="C376" s="112"/>
      <c r="D376" s="112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1"/>
      <c r="BC376" s="111"/>
      <c r="BD376" s="111"/>
      <c r="BE376" s="111"/>
      <c r="BF376" s="111"/>
    </row>
    <row r="377" ht="14.25" customHeight="1">
      <c r="A377" s="111"/>
      <c r="B377" s="111"/>
      <c r="C377" s="112"/>
      <c r="D377" s="112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  <c r="BB377" s="111"/>
      <c r="BC377" s="111"/>
      <c r="BD377" s="111"/>
      <c r="BE377" s="111"/>
      <c r="BF377" s="111"/>
    </row>
    <row r="378" ht="14.25" customHeight="1">
      <c r="A378" s="111"/>
      <c r="B378" s="111"/>
      <c r="C378" s="112"/>
      <c r="D378" s="112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1"/>
      <c r="BC378" s="111"/>
      <c r="BD378" s="111"/>
      <c r="BE378" s="111"/>
      <c r="BF378" s="111"/>
    </row>
    <row r="379" ht="14.25" customHeight="1">
      <c r="A379" s="111"/>
      <c r="B379" s="111"/>
      <c r="C379" s="112"/>
      <c r="D379" s="112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1"/>
      <c r="BC379" s="111"/>
      <c r="BD379" s="111"/>
      <c r="BE379" s="111"/>
      <c r="BF379" s="111"/>
    </row>
    <row r="380" ht="14.25" customHeight="1">
      <c r="A380" s="111"/>
      <c r="B380" s="111"/>
      <c r="C380" s="112"/>
      <c r="D380" s="112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111"/>
    </row>
    <row r="381" ht="14.25" customHeight="1">
      <c r="A381" s="111"/>
      <c r="B381" s="111"/>
      <c r="C381" s="112"/>
      <c r="D381" s="112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</row>
    <row r="382" ht="14.25" customHeight="1">
      <c r="A382" s="111"/>
      <c r="B382" s="111"/>
      <c r="C382" s="112"/>
      <c r="D382" s="112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</row>
    <row r="383" ht="14.25" customHeight="1">
      <c r="A383" s="111"/>
      <c r="B383" s="111"/>
      <c r="C383" s="112"/>
      <c r="D383" s="112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</row>
    <row r="384" ht="14.25" customHeight="1">
      <c r="A384" s="111"/>
      <c r="B384" s="111"/>
      <c r="C384" s="112"/>
      <c r="D384" s="112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</row>
    <row r="385" ht="14.25" customHeight="1">
      <c r="A385" s="111"/>
      <c r="B385" s="111"/>
      <c r="C385" s="112"/>
      <c r="D385" s="112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</row>
    <row r="386" ht="14.25" customHeight="1">
      <c r="A386" s="111"/>
      <c r="B386" s="111"/>
      <c r="C386" s="112"/>
      <c r="D386" s="112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11"/>
    </row>
    <row r="387" ht="14.25" customHeight="1">
      <c r="A387" s="111"/>
      <c r="B387" s="111"/>
      <c r="C387" s="112"/>
      <c r="D387" s="112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</row>
    <row r="388" ht="14.25" customHeight="1">
      <c r="A388" s="111"/>
      <c r="B388" s="111"/>
      <c r="C388" s="112"/>
      <c r="D388" s="112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  <c r="BB388" s="111"/>
      <c r="BC388" s="111"/>
      <c r="BD388" s="111"/>
      <c r="BE388" s="111"/>
      <c r="BF388" s="111"/>
    </row>
    <row r="389" ht="14.25" customHeight="1">
      <c r="A389" s="111"/>
      <c r="B389" s="111"/>
      <c r="C389" s="112"/>
      <c r="D389" s="112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</row>
    <row r="390" ht="14.25" customHeight="1">
      <c r="A390" s="111"/>
      <c r="B390" s="111"/>
      <c r="C390" s="112"/>
      <c r="D390" s="112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</row>
    <row r="391" ht="14.25" customHeight="1">
      <c r="A391" s="111"/>
      <c r="B391" s="111"/>
      <c r="C391" s="112"/>
      <c r="D391" s="112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  <c r="BB391" s="111"/>
      <c r="BC391" s="111"/>
      <c r="BD391" s="111"/>
      <c r="BE391" s="111"/>
      <c r="BF391" s="111"/>
    </row>
    <row r="392" ht="14.25" customHeight="1">
      <c r="A392" s="111"/>
      <c r="B392" s="111"/>
      <c r="C392" s="112"/>
      <c r="D392" s="112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  <c r="BB392" s="111"/>
      <c r="BC392" s="111"/>
      <c r="BD392" s="111"/>
      <c r="BE392" s="111"/>
      <c r="BF392" s="111"/>
    </row>
    <row r="393" ht="14.25" customHeight="1">
      <c r="A393" s="111"/>
      <c r="B393" s="111"/>
      <c r="C393" s="112"/>
      <c r="D393" s="112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</row>
    <row r="394" ht="14.25" customHeight="1">
      <c r="A394" s="111"/>
      <c r="B394" s="111"/>
      <c r="C394" s="112"/>
      <c r="D394" s="112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</row>
    <row r="395" ht="14.25" customHeight="1">
      <c r="A395" s="111"/>
      <c r="B395" s="111"/>
      <c r="C395" s="112"/>
      <c r="D395" s="112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</row>
    <row r="396" ht="14.25" customHeight="1">
      <c r="A396" s="111"/>
      <c r="B396" s="111"/>
      <c r="C396" s="112"/>
      <c r="D396" s="112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</row>
    <row r="397" ht="14.25" customHeight="1">
      <c r="A397" s="111"/>
      <c r="B397" s="111"/>
      <c r="C397" s="112"/>
      <c r="D397" s="112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</row>
    <row r="398" ht="14.25" customHeight="1">
      <c r="A398" s="111"/>
      <c r="B398" s="111"/>
      <c r="C398" s="112"/>
      <c r="D398" s="112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</row>
    <row r="399" ht="14.25" customHeight="1">
      <c r="A399" s="111"/>
      <c r="B399" s="111"/>
      <c r="C399" s="112"/>
      <c r="D399" s="112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</row>
    <row r="400" ht="14.25" customHeight="1">
      <c r="A400" s="111"/>
      <c r="B400" s="111"/>
      <c r="C400" s="112"/>
      <c r="D400" s="112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</row>
    <row r="401" ht="14.25" customHeight="1">
      <c r="A401" s="111"/>
      <c r="B401" s="111"/>
      <c r="C401" s="112"/>
      <c r="D401" s="112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</row>
    <row r="402" ht="14.25" customHeight="1">
      <c r="A402" s="111"/>
      <c r="B402" s="111"/>
      <c r="C402" s="112"/>
      <c r="D402" s="112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</row>
    <row r="403" ht="14.25" customHeight="1">
      <c r="A403" s="111"/>
      <c r="B403" s="111"/>
      <c r="C403" s="112"/>
      <c r="D403" s="112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</row>
    <row r="404" ht="14.25" customHeight="1">
      <c r="A404" s="111"/>
      <c r="B404" s="111"/>
      <c r="C404" s="112"/>
      <c r="D404" s="112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</row>
    <row r="405" ht="14.25" customHeight="1">
      <c r="A405" s="111"/>
      <c r="B405" s="111"/>
      <c r="C405" s="112"/>
      <c r="D405" s="112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</row>
    <row r="406" ht="14.25" customHeight="1">
      <c r="A406" s="111"/>
      <c r="B406" s="111"/>
      <c r="C406" s="112"/>
      <c r="D406" s="112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</row>
    <row r="407" ht="14.25" customHeight="1">
      <c r="A407" s="111"/>
      <c r="B407" s="111"/>
      <c r="C407" s="112"/>
      <c r="D407" s="112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</row>
    <row r="408" ht="14.25" customHeight="1">
      <c r="A408" s="111"/>
      <c r="B408" s="111"/>
      <c r="C408" s="112"/>
      <c r="D408" s="112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</row>
    <row r="409" ht="14.25" customHeight="1">
      <c r="A409" s="111"/>
      <c r="B409" s="111"/>
      <c r="C409" s="112"/>
      <c r="D409" s="112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</row>
    <row r="410" ht="14.25" customHeight="1">
      <c r="A410" s="111"/>
      <c r="B410" s="111"/>
      <c r="C410" s="112"/>
      <c r="D410" s="112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</row>
    <row r="411" ht="14.25" customHeight="1">
      <c r="A411" s="111"/>
      <c r="B411" s="111"/>
      <c r="C411" s="112"/>
      <c r="D411" s="112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</row>
    <row r="412" ht="14.25" customHeight="1">
      <c r="A412" s="111"/>
      <c r="B412" s="111"/>
      <c r="C412" s="112"/>
      <c r="D412" s="112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</row>
    <row r="413" ht="14.25" customHeight="1">
      <c r="A413" s="111"/>
      <c r="B413" s="111"/>
      <c r="C413" s="112"/>
      <c r="D413" s="112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</row>
    <row r="414" ht="14.25" customHeight="1">
      <c r="A414" s="111"/>
      <c r="B414" s="111"/>
      <c r="C414" s="112"/>
      <c r="D414" s="112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</row>
    <row r="415" ht="14.25" customHeight="1">
      <c r="A415" s="111"/>
      <c r="B415" s="111"/>
      <c r="C415" s="112"/>
      <c r="D415" s="112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</row>
    <row r="416" ht="14.25" customHeight="1">
      <c r="A416" s="111"/>
      <c r="B416" s="111"/>
      <c r="C416" s="112"/>
      <c r="D416" s="112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</row>
    <row r="417" ht="14.25" customHeight="1">
      <c r="A417" s="111"/>
      <c r="B417" s="111"/>
      <c r="C417" s="112"/>
      <c r="D417" s="112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</row>
    <row r="418" ht="14.25" customHeight="1">
      <c r="A418" s="111"/>
      <c r="B418" s="111"/>
      <c r="C418" s="112"/>
      <c r="D418" s="112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</row>
    <row r="419" ht="14.25" customHeight="1">
      <c r="A419" s="111"/>
      <c r="B419" s="111"/>
      <c r="C419" s="112"/>
      <c r="D419" s="112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</row>
    <row r="420" ht="14.25" customHeight="1">
      <c r="A420" s="111"/>
      <c r="B420" s="111"/>
      <c r="C420" s="112"/>
      <c r="D420" s="112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</row>
    <row r="421" ht="14.25" customHeight="1">
      <c r="A421" s="111"/>
      <c r="B421" s="111"/>
      <c r="C421" s="112"/>
      <c r="D421" s="112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</row>
    <row r="422" ht="14.25" customHeight="1">
      <c r="A422" s="111"/>
      <c r="B422" s="111"/>
      <c r="C422" s="112"/>
      <c r="D422" s="112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</row>
    <row r="423" ht="14.25" customHeight="1">
      <c r="A423" s="111"/>
      <c r="B423" s="111"/>
      <c r="C423" s="112"/>
      <c r="D423" s="112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</row>
    <row r="424" ht="14.25" customHeight="1">
      <c r="A424" s="111"/>
      <c r="B424" s="111"/>
      <c r="C424" s="112"/>
      <c r="D424" s="112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</row>
    <row r="425" ht="14.25" customHeight="1">
      <c r="A425" s="111"/>
      <c r="B425" s="111"/>
      <c r="C425" s="112"/>
      <c r="D425" s="112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</row>
    <row r="426" ht="14.25" customHeight="1">
      <c r="A426" s="111"/>
      <c r="B426" s="111"/>
      <c r="C426" s="112"/>
      <c r="D426" s="112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</row>
    <row r="427" ht="14.25" customHeight="1">
      <c r="A427" s="111"/>
      <c r="B427" s="111"/>
      <c r="C427" s="112"/>
      <c r="D427" s="112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</row>
    <row r="428" ht="14.25" customHeight="1">
      <c r="A428" s="111"/>
      <c r="B428" s="111"/>
      <c r="C428" s="112"/>
      <c r="D428" s="112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</row>
    <row r="429" ht="14.25" customHeight="1">
      <c r="A429" s="111"/>
      <c r="B429" s="111"/>
      <c r="C429" s="112"/>
      <c r="D429" s="112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</row>
    <row r="430" ht="14.25" customHeight="1">
      <c r="A430" s="111"/>
      <c r="B430" s="111"/>
      <c r="C430" s="112"/>
      <c r="D430" s="112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</row>
    <row r="431" ht="14.25" customHeight="1">
      <c r="A431" s="111"/>
      <c r="B431" s="111"/>
      <c r="C431" s="112"/>
      <c r="D431" s="112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</row>
    <row r="432" ht="14.25" customHeight="1">
      <c r="A432" s="111"/>
      <c r="B432" s="111"/>
      <c r="C432" s="112"/>
      <c r="D432" s="112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</row>
    <row r="433" ht="14.25" customHeight="1">
      <c r="A433" s="111"/>
      <c r="B433" s="111"/>
      <c r="C433" s="112"/>
      <c r="D433" s="112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</row>
    <row r="434" ht="14.25" customHeight="1">
      <c r="A434" s="111"/>
      <c r="B434" s="111"/>
      <c r="C434" s="112"/>
      <c r="D434" s="112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</row>
    <row r="435" ht="14.25" customHeight="1">
      <c r="A435" s="111"/>
      <c r="B435" s="111"/>
      <c r="C435" s="112"/>
      <c r="D435" s="112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</row>
    <row r="436" ht="14.25" customHeight="1">
      <c r="A436" s="111"/>
      <c r="B436" s="111"/>
      <c r="C436" s="112"/>
      <c r="D436" s="112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</row>
    <row r="437" ht="14.25" customHeight="1">
      <c r="A437" s="111"/>
      <c r="B437" s="111"/>
      <c r="C437" s="112"/>
      <c r="D437" s="112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</row>
    <row r="438" ht="14.25" customHeight="1">
      <c r="A438" s="111"/>
      <c r="B438" s="111"/>
      <c r="C438" s="112"/>
      <c r="D438" s="112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  <c r="AR438" s="111"/>
      <c r="AS438" s="111"/>
      <c r="AT438" s="111"/>
      <c r="AU438" s="111"/>
      <c r="AV438" s="111"/>
      <c r="AW438" s="111"/>
      <c r="AX438" s="111"/>
      <c r="AY438" s="111"/>
      <c r="AZ438" s="111"/>
      <c r="BA438" s="111"/>
      <c r="BB438" s="111"/>
      <c r="BC438" s="111"/>
      <c r="BD438" s="111"/>
      <c r="BE438" s="111"/>
      <c r="BF438" s="111"/>
    </row>
    <row r="439" ht="14.25" customHeight="1">
      <c r="A439" s="111"/>
      <c r="B439" s="111"/>
      <c r="C439" s="112"/>
      <c r="D439" s="112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  <c r="AR439" s="111"/>
      <c r="AS439" s="111"/>
      <c r="AT439" s="111"/>
      <c r="AU439" s="111"/>
      <c r="AV439" s="111"/>
      <c r="AW439" s="111"/>
      <c r="AX439" s="111"/>
      <c r="AY439" s="111"/>
      <c r="AZ439" s="111"/>
      <c r="BA439" s="111"/>
      <c r="BB439" s="111"/>
      <c r="BC439" s="111"/>
      <c r="BD439" s="111"/>
      <c r="BE439" s="111"/>
      <c r="BF439" s="111"/>
    </row>
    <row r="440" ht="14.25" customHeight="1">
      <c r="A440" s="111"/>
      <c r="B440" s="111"/>
      <c r="C440" s="112"/>
      <c r="D440" s="112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</row>
    <row r="441" ht="14.25" customHeight="1">
      <c r="A441" s="111"/>
      <c r="B441" s="111"/>
      <c r="C441" s="112"/>
      <c r="D441" s="112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</row>
    <row r="442" ht="14.25" customHeight="1">
      <c r="A442" s="111"/>
      <c r="B442" s="111"/>
      <c r="C442" s="112"/>
      <c r="D442" s="112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</row>
    <row r="443" ht="14.25" customHeight="1">
      <c r="A443" s="111"/>
      <c r="B443" s="111"/>
      <c r="C443" s="112"/>
      <c r="D443" s="112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</row>
    <row r="444" ht="14.25" customHeight="1">
      <c r="A444" s="111"/>
      <c r="B444" s="111"/>
      <c r="C444" s="112"/>
      <c r="D444" s="112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</row>
    <row r="445" ht="14.25" customHeight="1">
      <c r="A445" s="111"/>
      <c r="B445" s="111"/>
      <c r="C445" s="112"/>
      <c r="D445" s="112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</row>
    <row r="446" ht="14.25" customHeight="1">
      <c r="A446" s="111"/>
      <c r="B446" s="111"/>
      <c r="C446" s="112"/>
      <c r="D446" s="112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</row>
    <row r="447" ht="14.25" customHeight="1">
      <c r="A447" s="111"/>
      <c r="B447" s="111"/>
      <c r="C447" s="112"/>
      <c r="D447" s="112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</row>
    <row r="448" ht="14.25" customHeight="1">
      <c r="A448" s="111"/>
      <c r="B448" s="111"/>
      <c r="C448" s="112"/>
      <c r="D448" s="112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  <c r="AR448" s="111"/>
      <c r="AS448" s="111"/>
      <c r="AT448" s="111"/>
      <c r="AU448" s="111"/>
      <c r="AV448" s="111"/>
      <c r="AW448" s="111"/>
      <c r="AX448" s="111"/>
      <c r="AY448" s="111"/>
      <c r="AZ448" s="111"/>
      <c r="BA448" s="111"/>
      <c r="BB448" s="111"/>
      <c r="BC448" s="111"/>
      <c r="BD448" s="111"/>
      <c r="BE448" s="111"/>
      <c r="BF448" s="111"/>
    </row>
    <row r="449" ht="14.25" customHeight="1">
      <c r="A449" s="111"/>
      <c r="B449" s="111"/>
      <c r="C449" s="112"/>
      <c r="D449" s="112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  <c r="AR449" s="111"/>
      <c r="AS449" s="111"/>
      <c r="AT449" s="111"/>
      <c r="AU449" s="111"/>
      <c r="AV449" s="111"/>
      <c r="AW449" s="111"/>
      <c r="AX449" s="111"/>
      <c r="AY449" s="111"/>
      <c r="AZ449" s="111"/>
      <c r="BA449" s="111"/>
      <c r="BB449" s="111"/>
      <c r="BC449" s="111"/>
      <c r="BD449" s="111"/>
      <c r="BE449" s="111"/>
      <c r="BF449" s="111"/>
    </row>
    <row r="450" ht="14.25" customHeight="1">
      <c r="A450" s="111"/>
      <c r="B450" s="111"/>
      <c r="C450" s="112"/>
      <c r="D450" s="112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  <c r="AR450" s="111"/>
      <c r="AS450" s="111"/>
      <c r="AT450" s="111"/>
      <c r="AU450" s="111"/>
      <c r="AV450" s="111"/>
      <c r="AW450" s="111"/>
      <c r="AX450" s="111"/>
      <c r="AY450" s="111"/>
      <c r="AZ450" s="111"/>
      <c r="BA450" s="111"/>
      <c r="BB450" s="111"/>
      <c r="BC450" s="111"/>
      <c r="BD450" s="111"/>
      <c r="BE450" s="111"/>
      <c r="BF450" s="111"/>
    </row>
    <row r="451" ht="14.25" customHeight="1">
      <c r="A451" s="111"/>
      <c r="B451" s="111"/>
      <c r="C451" s="112"/>
      <c r="D451" s="112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  <c r="AR451" s="111"/>
      <c r="AS451" s="111"/>
      <c r="AT451" s="111"/>
      <c r="AU451" s="111"/>
      <c r="AV451" s="111"/>
      <c r="AW451" s="111"/>
      <c r="AX451" s="111"/>
      <c r="AY451" s="111"/>
      <c r="AZ451" s="111"/>
      <c r="BA451" s="111"/>
      <c r="BB451" s="111"/>
      <c r="BC451" s="111"/>
      <c r="BD451" s="111"/>
      <c r="BE451" s="111"/>
      <c r="BF451" s="111"/>
    </row>
    <row r="452" ht="14.25" customHeight="1">
      <c r="A452" s="111"/>
      <c r="B452" s="111"/>
      <c r="C452" s="112"/>
      <c r="D452" s="112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  <c r="AR452" s="111"/>
      <c r="AS452" s="111"/>
      <c r="AT452" s="111"/>
      <c r="AU452" s="111"/>
      <c r="AV452" s="111"/>
      <c r="AW452" s="111"/>
      <c r="AX452" s="111"/>
      <c r="AY452" s="111"/>
      <c r="AZ452" s="111"/>
      <c r="BA452" s="111"/>
      <c r="BB452" s="111"/>
      <c r="BC452" s="111"/>
      <c r="BD452" s="111"/>
      <c r="BE452" s="111"/>
      <c r="BF452" s="111"/>
    </row>
    <row r="453" ht="14.25" customHeight="1">
      <c r="A453" s="111"/>
      <c r="B453" s="111"/>
      <c r="C453" s="112"/>
      <c r="D453" s="112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  <c r="AR453" s="111"/>
      <c r="AS453" s="111"/>
      <c r="AT453" s="111"/>
      <c r="AU453" s="111"/>
      <c r="AV453" s="111"/>
      <c r="AW453" s="111"/>
      <c r="AX453" s="111"/>
      <c r="AY453" s="111"/>
      <c r="AZ453" s="111"/>
      <c r="BA453" s="111"/>
      <c r="BB453" s="111"/>
      <c r="BC453" s="111"/>
      <c r="BD453" s="111"/>
      <c r="BE453" s="111"/>
      <c r="BF453" s="111"/>
    </row>
    <row r="454" ht="14.25" customHeight="1">
      <c r="A454" s="111"/>
      <c r="B454" s="111"/>
      <c r="C454" s="112"/>
      <c r="D454" s="112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/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</row>
    <row r="455" ht="14.25" customHeight="1">
      <c r="A455" s="111"/>
      <c r="B455" s="111"/>
      <c r="C455" s="112"/>
      <c r="D455" s="112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</row>
    <row r="456" ht="14.25" customHeight="1">
      <c r="A456" s="111"/>
      <c r="B456" s="111"/>
      <c r="C456" s="112"/>
      <c r="D456" s="112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</row>
    <row r="457" ht="14.25" customHeight="1">
      <c r="A457" s="111"/>
      <c r="B457" s="111"/>
      <c r="C457" s="112"/>
      <c r="D457" s="112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  <c r="AR457" s="111"/>
      <c r="AS457" s="111"/>
      <c r="AT457" s="111"/>
      <c r="AU457" s="111"/>
      <c r="AV457" s="111"/>
      <c r="AW457" s="111"/>
      <c r="AX457" s="111"/>
      <c r="AY457" s="111"/>
      <c r="AZ457" s="111"/>
      <c r="BA457" s="111"/>
      <c r="BB457" s="111"/>
      <c r="BC457" s="111"/>
      <c r="BD457" s="111"/>
      <c r="BE457" s="111"/>
      <c r="BF457" s="111"/>
    </row>
    <row r="458" ht="14.25" customHeight="1">
      <c r="A458" s="111"/>
      <c r="B458" s="111"/>
      <c r="C458" s="112"/>
      <c r="D458" s="112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  <c r="AR458" s="111"/>
      <c r="AS458" s="111"/>
      <c r="AT458" s="111"/>
      <c r="AU458" s="111"/>
      <c r="AV458" s="111"/>
      <c r="AW458" s="111"/>
      <c r="AX458" s="111"/>
      <c r="AY458" s="111"/>
      <c r="AZ458" s="111"/>
      <c r="BA458" s="111"/>
      <c r="BB458" s="111"/>
      <c r="BC458" s="111"/>
      <c r="BD458" s="111"/>
      <c r="BE458" s="111"/>
      <c r="BF458" s="111"/>
    </row>
    <row r="459" ht="14.25" customHeight="1">
      <c r="A459" s="111"/>
      <c r="B459" s="111"/>
      <c r="C459" s="112"/>
      <c r="D459" s="112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  <c r="AR459" s="111"/>
      <c r="AS459" s="111"/>
      <c r="AT459" s="111"/>
      <c r="AU459" s="111"/>
      <c r="AV459" s="111"/>
      <c r="AW459" s="111"/>
      <c r="AX459" s="111"/>
      <c r="AY459" s="111"/>
      <c r="AZ459" s="111"/>
      <c r="BA459" s="111"/>
      <c r="BB459" s="111"/>
      <c r="BC459" s="111"/>
      <c r="BD459" s="111"/>
      <c r="BE459" s="111"/>
      <c r="BF459" s="111"/>
    </row>
    <row r="460" ht="14.25" customHeight="1">
      <c r="A460" s="111"/>
      <c r="B460" s="111"/>
      <c r="C460" s="112"/>
      <c r="D460" s="112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  <c r="AR460" s="111"/>
      <c r="AS460" s="111"/>
      <c r="AT460" s="111"/>
      <c r="AU460" s="111"/>
      <c r="AV460" s="111"/>
      <c r="AW460" s="111"/>
      <c r="AX460" s="111"/>
      <c r="AY460" s="111"/>
      <c r="AZ460" s="111"/>
      <c r="BA460" s="111"/>
      <c r="BB460" s="111"/>
      <c r="BC460" s="111"/>
      <c r="BD460" s="111"/>
      <c r="BE460" s="111"/>
      <c r="BF460" s="111"/>
    </row>
    <row r="461" ht="14.25" customHeight="1">
      <c r="A461" s="111"/>
      <c r="B461" s="111"/>
      <c r="C461" s="112"/>
      <c r="D461" s="112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  <c r="AR461" s="111"/>
      <c r="AS461" s="111"/>
      <c r="AT461" s="111"/>
      <c r="AU461" s="111"/>
      <c r="AV461" s="111"/>
      <c r="AW461" s="111"/>
      <c r="AX461" s="111"/>
      <c r="AY461" s="111"/>
      <c r="AZ461" s="111"/>
      <c r="BA461" s="111"/>
      <c r="BB461" s="111"/>
      <c r="BC461" s="111"/>
      <c r="BD461" s="111"/>
      <c r="BE461" s="111"/>
      <c r="BF461" s="111"/>
    </row>
    <row r="462" ht="14.25" customHeight="1">
      <c r="A462" s="111"/>
      <c r="B462" s="111"/>
      <c r="C462" s="112"/>
      <c r="D462" s="112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  <c r="AR462" s="111"/>
      <c r="AS462" s="111"/>
      <c r="AT462" s="111"/>
      <c r="AU462" s="111"/>
      <c r="AV462" s="111"/>
      <c r="AW462" s="111"/>
      <c r="AX462" s="111"/>
      <c r="AY462" s="111"/>
      <c r="AZ462" s="111"/>
      <c r="BA462" s="111"/>
      <c r="BB462" s="111"/>
      <c r="BC462" s="111"/>
      <c r="BD462" s="111"/>
      <c r="BE462" s="111"/>
      <c r="BF462" s="111"/>
    </row>
    <row r="463" ht="14.25" customHeight="1">
      <c r="A463" s="111"/>
      <c r="B463" s="111"/>
      <c r="C463" s="112"/>
      <c r="D463" s="112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  <c r="AR463" s="111"/>
      <c r="AS463" s="111"/>
      <c r="AT463" s="111"/>
      <c r="AU463" s="111"/>
      <c r="AV463" s="111"/>
      <c r="AW463" s="111"/>
      <c r="AX463" s="111"/>
      <c r="AY463" s="111"/>
      <c r="AZ463" s="111"/>
      <c r="BA463" s="111"/>
      <c r="BB463" s="111"/>
      <c r="BC463" s="111"/>
      <c r="BD463" s="111"/>
      <c r="BE463" s="111"/>
      <c r="BF463" s="111"/>
    </row>
    <row r="464" ht="14.25" customHeight="1">
      <c r="A464" s="111"/>
      <c r="B464" s="111"/>
      <c r="C464" s="112"/>
      <c r="D464" s="112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</row>
    <row r="465" ht="14.25" customHeight="1">
      <c r="A465" s="111"/>
      <c r="B465" s="111"/>
      <c r="C465" s="112"/>
      <c r="D465" s="112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</row>
    <row r="466" ht="14.25" customHeight="1">
      <c r="A466" s="111"/>
      <c r="B466" s="111"/>
      <c r="C466" s="112"/>
      <c r="D466" s="112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/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</row>
    <row r="467" ht="14.25" customHeight="1">
      <c r="A467" s="111"/>
      <c r="B467" s="111"/>
      <c r="C467" s="112"/>
      <c r="D467" s="112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</row>
    <row r="468" ht="14.25" customHeight="1">
      <c r="A468" s="111"/>
      <c r="B468" s="111"/>
      <c r="C468" s="112"/>
      <c r="D468" s="112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</row>
    <row r="469" ht="14.25" customHeight="1">
      <c r="A469" s="111"/>
      <c r="B469" s="111"/>
      <c r="C469" s="112"/>
      <c r="D469" s="112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</row>
    <row r="470" ht="14.25" customHeight="1">
      <c r="A470" s="111"/>
      <c r="B470" s="111"/>
      <c r="C470" s="112"/>
      <c r="D470" s="112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</row>
    <row r="471" ht="14.25" customHeight="1">
      <c r="A471" s="111"/>
      <c r="B471" s="111"/>
      <c r="C471" s="112"/>
      <c r="D471" s="112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</row>
    <row r="472" ht="14.25" customHeight="1">
      <c r="A472" s="111"/>
      <c r="B472" s="111"/>
      <c r="C472" s="112"/>
      <c r="D472" s="112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</row>
    <row r="473" ht="14.25" customHeight="1">
      <c r="A473" s="111"/>
      <c r="B473" s="111"/>
      <c r="C473" s="112"/>
      <c r="D473" s="112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</row>
    <row r="474" ht="14.25" customHeight="1">
      <c r="A474" s="111"/>
      <c r="B474" s="111"/>
      <c r="C474" s="112"/>
      <c r="D474" s="112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</row>
    <row r="475" ht="14.25" customHeight="1">
      <c r="A475" s="111"/>
      <c r="B475" s="111"/>
      <c r="C475" s="112"/>
      <c r="D475" s="112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</row>
    <row r="476" ht="14.25" customHeight="1">
      <c r="A476" s="111"/>
      <c r="B476" s="111"/>
      <c r="C476" s="112"/>
      <c r="D476" s="112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</row>
    <row r="477" ht="14.25" customHeight="1">
      <c r="A477" s="111"/>
      <c r="B477" s="111"/>
      <c r="C477" s="112"/>
      <c r="D477" s="112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</row>
    <row r="478" ht="14.25" customHeight="1">
      <c r="A478" s="111"/>
      <c r="B478" s="111"/>
      <c r="C478" s="112"/>
      <c r="D478" s="112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</row>
    <row r="479" ht="14.25" customHeight="1">
      <c r="A479" s="111"/>
      <c r="B479" s="111"/>
      <c r="C479" s="112"/>
      <c r="D479" s="112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</row>
    <row r="480" ht="14.25" customHeight="1">
      <c r="A480" s="111"/>
      <c r="B480" s="111"/>
      <c r="C480" s="112"/>
      <c r="D480" s="112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</row>
    <row r="481" ht="14.25" customHeight="1">
      <c r="A481" s="111"/>
      <c r="B481" s="111"/>
      <c r="C481" s="112"/>
      <c r="D481" s="112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</row>
    <row r="482" ht="14.25" customHeight="1">
      <c r="A482" s="111"/>
      <c r="B482" s="111"/>
      <c r="C482" s="112"/>
      <c r="D482" s="112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</row>
    <row r="483" ht="14.25" customHeight="1">
      <c r="A483" s="111"/>
      <c r="B483" s="111"/>
      <c r="C483" s="112"/>
      <c r="D483" s="112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</row>
    <row r="484" ht="14.25" customHeight="1">
      <c r="A484" s="111"/>
      <c r="B484" s="111"/>
      <c r="C484" s="112"/>
      <c r="D484" s="112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</row>
    <row r="485" ht="14.25" customHeight="1">
      <c r="A485" s="111"/>
      <c r="B485" s="111"/>
      <c r="C485" s="112"/>
      <c r="D485" s="112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</row>
    <row r="486" ht="14.25" customHeight="1">
      <c r="A486" s="111"/>
      <c r="B486" s="111"/>
      <c r="C486" s="112"/>
      <c r="D486" s="112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</row>
    <row r="487" ht="14.25" customHeight="1">
      <c r="A487" s="111"/>
      <c r="B487" s="111"/>
      <c r="C487" s="112"/>
      <c r="D487" s="112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</row>
    <row r="488" ht="14.25" customHeight="1">
      <c r="A488" s="111"/>
      <c r="B488" s="111"/>
      <c r="C488" s="112"/>
      <c r="D488" s="112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</row>
    <row r="489" ht="14.25" customHeight="1">
      <c r="A489" s="111"/>
      <c r="B489" s="111"/>
      <c r="C489" s="112"/>
      <c r="D489" s="112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</row>
    <row r="490" ht="14.25" customHeight="1">
      <c r="A490" s="111"/>
      <c r="B490" s="111"/>
      <c r="C490" s="112"/>
      <c r="D490" s="112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</row>
    <row r="491" ht="14.25" customHeight="1">
      <c r="A491" s="111"/>
      <c r="B491" s="111"/>
      <c r="C491" s="112"/>
      <c r="D491" s="112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</row>
    <row r="492" ht="14.25" customHeight="1">
      <c r="A492" s="111"/>
      <c r="B492" s="111"/>
      <c r="C492" s="112"/>
      <c r="D492" s="112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</row>
    <row r="493" ht="14.25" customHeight="1">
      <c r="A493" s="111"/>
      <c r="B493" s="111"/>
      <c r="C493" s="112"/>
      <c r="D493" s="112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</row>
    <row r="494" ht="14.25" customHeight="1">
      <c r="A494" s="111"/>
      <c r="B494" s="111"/>
      <c r="C494" s="112"/>
      <c r="D494" s="112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</row>
    <row r="495" ht="14.25" customHeight="1">
      <c r="A495" s="111"/>
      <c r="B495" s="111"/>
      <c r="C495" s="112"/>
      <c r="D495" s="112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</row>
    <row r="496" ht="14.25" customHeight="1">
      <c r="A496" s="111"/>
      <c r="B496" s="111"/>
      <c r="C496" s="112"/>
      <c r="D496" s="112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</row>
    <row r="497" ht="14.25" customHeight="1">
      <c r="A497" s="111"/>
      <c r="B497" s="111"/>
      <c r="C497" s="112"/>
      <c r="D497" s="112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</row>
    <row r="498" ht="14.25" customHeight="1">
      <c r="A498" s="111"/>
      <c r="B498" s="111"/>
      <c r="C498" s="112"/>
      <c r="D498" s="112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</row>
    <row r="499" ht="14.25" customHeight="1">
      <c r="A499" s="111"/>
      <c r="B499" s="111"/>
      <c r="C499" s="112"/>
      <c r="D499" s="112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</row>
    <row r="500" ht="14.25" customHeight="1">
      <c r="A500" s="111"/>
      <c r="B500" s="111"/>
      <c r="C500" s="112"/>
      <c r="D500" s="112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</row>
    <row r="501" ht="14.25" customHeight="1">
      <c r="A501" s="111"/>
      <c r="B501" s="111"/>
      <c r="C501" s="112"/>
      <c r="D501" s="112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</row>
    <row r="502" ht="14.25" customHeight="1">
      <c r="A502" s="111"/>
      <c r="B502" s="111"/>
      <c r="C502" s="112"/>
      <c r="D502" s="112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</row>
    <row r="503" ht="14.25" customHeight="1">
      <c r="A503" s="111"/>
      <c r="B503" s="111"/>
      <c r="C503" s="112"/>
      <c r="D503" s="112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</row>
    <row r="504" ht="14.25" customHeight="1">
      <c r="A504" s="111"/>
      <c r="B504" s="111"/>
      <c r="C504" s="112"/>
      <c r="D504" s="112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</row>
    <row r="505" ht="14.25" customHeight="1">
      <c r="A505" s="111"/>
      <c r="B505" s="111"/>
      <c r="C505" s="112"/>
      <c r="D505" s="112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</row>
    <row r="506" ht="14.25" customHeight="1">
      <c r="A506" s="111"/>
      <c r="B506" s="111"/>
      <c r="C506" s="112"/>
      <c r="D506" s="112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</row>
    <row r="507" ht="14.25" customHeight="1">
      <c r="A507" s="111"/>
      <c r="B507" s="111"/>
      <c r="C507" s="112"/>
      <c r="D507" s="112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</row>
    <row r="508" ht="14.25" customHeight="1">
      <c r="A508" s="111"/>
      <c r="B508" s="111"/>
      <c r="C508" s="112"/>
      <c r="D508" s="112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1"/>
      <c r="BE508" s="111"/>
      <c r="BF508" s="111"/>
    </row>
    <row r="509" ht="14.25" customHeight="1">
      <c r="A509" s="111"/>
      <c r="B509" s="111"/>
      <c r="C509" s="112"/>
      <c r="D509" s="112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</row>
    <row r="510" ht="14.25" customHeight="1">
      <c r="A510" s="111"/>
      <c r="B510" s="111"/>
      <c r="C510" s="112"/>
      <c r="D510" s="112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  <c r="AZ510" s="111"/>
      <c r="BA510" s="111"/>
      <c r="BB510" s="111"/>
      <c r="BC510" s="111"/>
      <c r="BD510" s="111"/>
      <c r="BE510" s="111"/>
      <c r="BF510" s="111"/>
    </row>
    <row r="511" ht="14.25" customHeight="1">
      <c r="A511" s="111"/>
      <c r="B511" s="111"/>
      <c r="C511" s="112"/>
      <c r="D511" s="112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  <c r="AZ511" s="111"/>
      <c r="BA511" s="111"/>
      <c r="BB511" s="111"/>
      <c r="BC511" s="111"/>
      <c r="BD511" s="111"/>
      <c r="BE511" s="111"/>
      <c r="BF511" s="111"/>
    </row>
    <row r="512" ht="14.25" customHeight="1">
      <c r="A512" s="111"/>
      <c r="B512" s="111"/>
      <c r="C512" s="112"/>
      <c r="D512" s="112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  <c r="AZ512" s="111"/>
      <c r="BA512" s="111"/>
      <c r="BB512" s="111"/>
      <c r="BC512" s="111"/>
      <c r="BD512" s="111"/>
      <c r="BE512" s="111"/>
      <c r="BF512" s="111"/>
    </row>
    <row r="513" ht="14.25" customHeight="1">
      <c r="A513" s="111"/>
      <c r="B513" s="111"/>
      <c r="C513" s="112"/>
      <c r="D513" s="112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  <c r="AZ513" s="111"/>
      <c r="BA513" s="111"/>
      <c r="BB513" s="111"/>
      <c r="BC513" s="111"/>
      <c r="BD513" s="111"/>
      <c r="BE513" s="111"/>
      <c r="BF513" s="111"/>
    </row>
    <row r="514" ht="14.25" customHeight="1">
      <c r="A514" s="111"/>
      <c r="B514" s="111"/>
      <c r="C514" s="112"/>
      <c r="D514" s="112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  <c r="AZ514" s="111"/>
      <c r="BA514" s="111"/>
      <c r="BB514" s="111"/>
      <c r="BC514" s="111"/>
      <c r="BD514" s="111"/>
      <c r="BE514" s="111"/>
      <c r="BF514" s="111"/>
    </row>
    <row r="515" ht="14.25" customHeight="1">
      <c r="A515" s="111"/>
      <c r="B515" s="111"/>
      <c r="C515" s="112"/>
      <c r="D515" s="112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  <c r="AZ515" s="111"/>
      <c r="BA515" s="111"/>
      <c r="BB515" s="111"/>
      <c r="BC515" s="111"/>
      <c r="BD515" s="111"/>
      <c r="BE515" s="111"/>
      <c r="BF515" s="111"/>
    </row>
    <row r="516" ht="14.25" customHeight="1">
      <c r="A516" s="111"/>
      <c r="B516" s="111"/>
      <c r="C516" s="112"/>
      <c r="D516" s="112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  <c r="AZ516" s="111"/>
      <c r="BA516" s="111"/>
      <c r="BB516" s="111"/>
      <c r="BC516" s="111"/>
      <c r="BD516" s="111"/>
      <c r="BE516" s="111"/>
      <c r="BF516" s="111"/>
    </row>
    <row r="517" ht="14.25" customHeight="1">
      <c r="A517" s="111"/>
      <c r="B517" s="111"/>
      <c r="C517" s="112"/>
      <c r="D517" s="112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  <c r="AZ517" s="111"/>
      <c r="BA517" s="111"/>
      <c r="BB517" s="111"/>
      <c r="BC517" s="111"/>
      <c r="BD517" s="111"/>
      <c r="BE517" s="111"/>
      <c r="BF517" s="111"/>
    </row>
    <row r="518" ht="14.25" customHeight="1">
      <c r="A518" s="111"/>
      <c r="B518" s="111"/>
      <c r="C518" s="112"/>
      <c r="D518" s="112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/>
      <c r="BB518" s="111"/>
      <c r="BC518" s="111"/>
      <c r="BD518" s="111"/>
      <c r="BE518" s="111"/>
      <c r="BF518" s="111"/>
    </row>
    <row r="519" ht="14.25" customHeight="1">
      <c r="A519" s="111"/>
      <c r="B519" s="111"/>
      <c r="C519" s="112"/>
      <c r="D519" s="112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/>
      <c r="BB519" s="111"/>
      <c r="BC519" s="111"/>
      <c r="BD519" s="111"/>
      <c r="BE519" s="111"/>
      <c r="BF519" s="111"/>
    </row>
    <row r="520" ht="14.25" customHeight="1">
      <c r="A520" s="111"/>
      <c r="B520" s="111"/>
      <c r="C520" s="112"/>
      <c r="D520" s="112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  <c r="AZ520" s="111"/>
      <c r="BA520" s="111"/>
      <c r="BB520" s="111"/>
      <c r="BC520" s="111"/>
      <c r="BD520" s="111"/>
      <c r="BE520" s="111"/>
      <c r="BF520" s="111"/>
    </row>
    <row r="521" ht="14.25" customHeight="1">
      <c r="A521" s="111"/>
      <c r="B521" s="111"/>
      <c r="C521" s="112"/>
      <c r="D521" s="112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11"/>
      <c r="BD521" s="111"/>
      <c r="BE521" s="111"/>
      <c r="BF521" s="111"/>
    </row>
    <row r="522" ht="14.25" customHeight="1">
      <c r="A522" s="111"/>
      <c r="B522" s="111"/>
      <c r="C522" s="112"/>
      <c r="D522" s="112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1"/>
      <c r="BA522" s="111"/>
      <c r="BB522" s="111"/>
      <c r="BC522" s="111"/>
      <c r="BD522" s="111"/>
      <c r="BE522" s="111"/>
      <c r="BF522" s="111"/>
    </row>
    <row r="523" ht="14.25" customHeight="1">
      <c r="A523" s="111"/>
      <c r="B523" s="111"/>
      <c r="C523" s="112"/>
      <c r="D523" s="112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1"/>
      <c r="BA523" s="111"/>
      <c r="BB523" s="111"/>
      <c r="BC523" s="111"/>
      <c r="BD523" s="111"/>
      <c r="BE523" s="111"/>
      <c r="BF523" s="111"/>
    </row>
    <row r="524" ht="14.25" customHeight="1">
      <c r="A524" s="111"/>
      <c r="B524" s="111"/>
      <c r="C524" s="112"/>
      <c r="D524" s="112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1"/>
      <c r="BA524" s="111"/>
      <c r="BB524" s="111"/>
      <c r="BC524" s="111"/>
      <c r="BD524" s="111"/>
      <c r="BE524" s="111"/>
      <c r="BF524" s="111"/>
    </row>
    <row r="525" ht="14.25" customHeight="1">
      <c r="A525" s="111"/>
      <c r="B525" s="111"/>
      <c r="C525" s="112"/>
      <c r="D525" s="112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1"/>
      <c r="BA525" s="111"/>
      <c r="BB525" s="111"/>
      <c r="BC525" s="111"/>
      <c r="BD525" s="111"/>
      <c r="BE525" s="111"/>
      <c r="BF525" s="111"/>
    </row>
    <row r="526" ht="14.25" customHeight="1">
      <c r="A526" s="111"/>
      <c r="B526" s="111"/>
      <c r="C526" s="112"/>
      <c r="D526" s="112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  <c r="AZ526" s="111"/>
      <c r="BA526" s="111"/>
      <c r="BB526" s="111"/>
      <c r="BC526" s="111"/>
      <c r="BD526" s="111"/>
      <c r="BE526" s="111"/>
      <c r="BF526" s="111"/>
    </row>
    <row r="527" ht="14.25" customHeight="1">
      <c r="A527" s="111"/>
      <c r="B527" s="111"/>
      <c r="C527" s="112"/>
      <c r="D527" s="112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  <c r="AZ527" s="111"/>
      <c r="BA527" s="111"/>
      <c r="BB527" s="111"/>
      <c r="BC527" s="111"/>
      <c r="BD527" s="111"/>
      <c r="BE527" s="111"/>
      <c r="BF527" s="111"/>
    </row>
    <row r="528" ht="14.25" customHeight="1">
      <c r="A528" s="111"/>
      <c r="B528" s="111"/>
      <c r="C528" s="112"/>
      <c r="D528" s="112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  <c r="AZ528" s="111"/>
      <c r="BA528" s="111"/>
      <c r="BB528" s="111"/>
      <c r="BC528" s="111"/>
      <c r="BD528" s="111"/>
      <c r="BE528" s="111"/>
      <c r="BF528" s="111"/>
    </row>
    <row r="529" ht="14.25" customHeight="1">
      <c r="A529" s="111"/>
      <c r="B529" s="111"/>
      <c r="C529" s="112"/>
      <c r="D529" s="112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  <c r="AZ529" s="111"/>
      <c r="BA529" s="111"/>
      <c r="BB529" s="111"/>
      <c r="BC529" s="111"/>
      <c r="BD529" s="111"/>
      <c r="BE529" s="111"/>
      <c r="BF529" s="111"/>
    </row>
    <row r="530" ht="14.25" customHeight="1">
      <c r="A530" s="111"/>
      <c r="B530" s="111"/>
      <c r="C530" s="112"/>
      <c r="D530" s="112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  <c r="AZ530" s="111"/>
      <c r="BA530" s="111"/>
      <c r="BB530" s="111"/>
      <c r="BC530" s="111"/>
      <c r="BD530" s="111"/>
      <c r="BE530" s="111"/>
      <c r="BF530" s="111"/>
    </row>
    <row r="531" ht="14.25" customHeight="1">
      <c r="A531" s="111"/>
      <c r="B531" s="111"/>
      <c r="C531" s="112"/>
      <c r="D531" s="112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  <c r="AZ531" s="111"/>
      <c r="BA531" s="111"/>
      <c r="BB531" s="111"/>
      <c r="BC531" s="111"/>
      <c r="BD531" s="111"/>
      <c r="BE531" s="111"/>
      <c r="BF531" s="111"/>
    </row>
    <row r="532" ht="14.25" customHeight="1">
      <c r="A532" s="111"/>
      <c r="B532" s="111"/>
      <c r="C532" s="112"/>
      <c r="D532" s="112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  <c r="AZ532" s="111"/>
      <c r="BA532" s="111"/>
      <c r="BB532" s="111"/>
      <c r="BC532" s="111"/>
      <c r="BD532" s="111"/>
      <c r="BE532" s="111"/>
      <c r="BF532" s="111"/>
    </row>
    <row r="533" ht="14.25" customHeight="1">
      <c r="A533" s="111"/>
      <c r="B533" s="111"/>
      <c r="C533" s="112"/>
      <c r="D533" s="112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  <c r="AZ533" s="111"/>
      <c r="BA533" s="111"/>
      <c r="BB533" s="111"/>
      <c r="BC533" s="111"/>
      <c r="BD533" s="111"/>
      <c r="BE533" s="111"/>
      <c r="BF533" s="111"/>
    </row>
    <row r="534" ht="14.25" customHeight="1">
      <c r="A534" s="111"/>
      <c r="B534" s="111"/>
      <c r="C534" s="112"/>
      <c r="D534" s="112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  <c r="AZ534" s="111"/>
      <c r="BA534" s="111"/>
      <c r="BB534" s="111"/>
      <c r="BC534" s="111"/>
      <c r="BD534" s="111"/>
      <c r="BE534" s="111"/>
      <c r="BF534" s="111"/>
    </row>
    <row r="535" ht="14.25" customHeight="1">
      <c r="A535" s="111"/>
      <c r="B535" s="111"/>
      <c r="C535" s="112"/>
      <c r="D535" s="112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  <c r="AZ535" s="111"/>
      <c r="BA535" s="111"/>
      <c r="BB535" s="111"/>
      <c r="BC535" s="111"/>
      <c r="BD535" s="111"/>
      <c r="BE535" s="111"/>
      <c r="BF535" s="111"/>
    </row>
    <row r="536" ht="14.25" customHeight="1">
      <c r="A536" s="111"/>
      <c r="B536" s="111"/>
      <c r="C536" s="112"/>
      <c r="D536" s="112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  <c r="AZ536" s="111"/>
      <c r="BA536" s="111"/>
      <c r="BB536" s="111"/>
      <c r="BC536" s="111"/>
      <c r="BD536" s="111"/>
      <c r="BE536" s="111"/>
      <c r="BF536" s="111"/>
    </row>
    <row r="537" ht="14.25" customHeight="1">
      <c r="A537" s="111"/>
      <c r="B537" s="111"/>
      <c r="C537" s="112"/>
      <c r="D537" s="112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  <c r="AZ537" s="111"/>
      <c r="BA537" s="111"/>
      <c r="BB537" s="111"/>
      <c r="BC537" s="111"/>
      <c r="BD537" s="111"/>
      <c r="BE537" s="111"/>
      <c r="BF537" s="111"/>
    </row>
    <row r="538" ht="14.25" customHeight="1">
      <c r="A538" s="111"/>
      <c r="B538" s="111"/>
      <c r="C538" s="112"/>
      <c r="D538" s="112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  <c r="AR538" s="111"/>
      <c r="AS538" s="111"/>
      <c r="AT538" s="111"/>
      <c r="AU538" s="111"/>
      <c r="AV538" s="111"/>
      <c r="AW538" s="111"/>
      <c r="AX538" s="111"/>
      <c r="AY538" s="111"/>
      <c r="AZ538" s="111"/>
      <c r="BA538" s="111"/>
      <c r="BB538" s="111"/>
      <c r="BC538" s="111"/>
      <c r="BD538" s="111"/>
      <c r="BE538" s="111"/>
      <c r="BF538" s="111"/>
    </row>
    <row r="539" ht="14.25" customHeight="1">
      <c r="A539" s="111"/>
      <c r="B539" s="111"/>
      <c r="C539" s="112"/>
      <c r="D539" s="112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  <c r="AZ539" s="111"/>
      <c r="BA539" s="111"/>
      <c r="BB539" s="111"/>
      <c r="BC539" s="111"/>
      <c r="BD539" s="111"/>
      <c r="BE539" s="111"/>
      <c r="BF539" s="111"/>
    </row>
    <row r="540" ht="14.25" customHeight="1">
      <c r="A540" s="111"/>
      <c r="B540" s="111"/>
      <c r="C540" s="112"/>
      <c r="D540" s="112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  <c r="AZ540" s="111"/>
      <c r="BA540" s="111"/>
      <c r="BB540" s="111"/>
      <c r="BC540" s="111"/>
      <c r="BD540" s="111"/>
      <c r="BE540" s="111"/>
      <c r="BF540" s="111"/>
    </row>
    <row r="541" ht="14.25" customHeight="1">
      <c r="A541" s="111"/>
      <c r="B541" s="111"/>
      <c r="C541" s="112"/>
      <c r="D541" s="112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  <c r="AR541" s="111"/>
      <c r="AS541" s="111"/>
      <c r="AT541" s="111"/>
      <c r="AU541" s="111"/>
      <c r="AV541" s="111"/>
      <c r="AW541" s="111"/>
      <c r="AX541" s="111"/>
      <c r="AY541" s="111"/>
      <c r="AZ541" s="111"/>
      <c r="BA541" s="111"/>
      <c r="BB541" s="111"/>
      <c r="BC541" s="111"/>
      <c r="BD541" s="111"/>
      <c r="BE541" s="111"/>
      <c r="BF541" s="111"/>
    </row>
    <row r="542" ht="14.25" customHeight="1">
      <c r="A542" s="111"/>
      <c r="B542" s="111"/>
      <c r="C542" s="112"/>
      <c r="D542" s="112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  <c r="AZ542" s="111"/>
      <c r="BA542" s="111"/>
      <c r="BB542" s="111"/>
      <c r="BC542" s="111"/>
      <c r="BD542" s="111"/>
      <c r="BE542" s="111"/>
      <c r="BF542" s="111"/>
    </row>
    <row r="543" ht="14.25" customHeight="1">
      <c r="A543" s="111"/>
      <c r="B543" s="111"/>
      <c r="C543" s="112"/>
      <c r="D543" s="112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111"/>
      <c r="BD543" s="111"/>
      <c r="BE543" s="111"/>
      <c r="BF543" s="111"/>
    </row>
    <row r="544" ht="14.25" customHeight="1">
      <c r="A544" s="111"/>
      <c r="B544" s="111"/>
      <c r="C544" s="112"/>
      <c r="D544" s="112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111"/>
    </row>
    <row r="545" ht="14.25" customHeight="1">
      <c r="A545" s="111"/>
      <c r="B545" s="111"/>
      <c r="C545" s="112"/>
      <c r="D545" s="112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  <c r="AR545" s="111"/>
      <c r="AS545" s="111"/>
      <c r="AT545" s="111"/>
      <c r="AU545" s="111"/>
      <c r="AV545" s="111"/>
      <c r="AW545" s="111"/>
      <c r="AX545" s="111"/>
      <c r="AY545" s="111"/>
      <c r="AZ545" s="111"/>
      <c r="BA545" s="111"/>
      <c r="BB545" s="111"/>
      <c r="BC545" s="111"/>
      <c r="BD545" s="111"/>
      <c r="BE545" s="111"/>
      <c r="BF545" s="111"/>
    </row>
    <row r="546" ht="14.25" customHeight="1">
      <c r="A546" s="111"/>
      <c r="B546" s="111"/>
      <c r="C546" s="112"/>
      <c r="D546" s="112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1"/>
      <c r="AY546" s="111"/>
      <c r="AZ546" s="111"/>
      <c r="BA546" s="111"/>
      <c r="BB546" s="111"/>
      <c r="BC546" s="111"/>
      <c r="BD546" s="111"/>
      <c r="BE546" s="111"/>
      <c r="BF546" s="111"/>
    </row>
    <row r="547" ht="14.25" customHeight="1">
      <c r="A547" s="111"/>
      <c r="B547" s="111"/>
      <c r="C547" s="112"/>
      <c r="D547" s="112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  <c r="AR547" s="111"/>
      <c r="AS547" s="111"/>
      <c r="AT547" s="111"/>
      <c r="AU547" s="111"/>
      <c r="AV547" s="111"/>
      <c r="AW547" s="111"/>
      <c r="AX547" s="111"/>
      <c r="AY547" s="111"/>
      <c r="AZ547" s="111"/>
      <c r="BA547" s="111"/>
      <c r="BB547" s="111"/>
      <c r="BC547" s="111"/>
      <c r="BD547" s="111"/>
      <c r="BE547" s="111"/>
      <c r="BF547" s="111"/>
    </row>
    <row r="548" ht="14.25" customHeight="1">
      <c r="A548" s="111"/>
      <c r="B548" s="111"/>
      <c r="C548" s="112"/>
      <c r="D548" s="112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  <c r="AR548" s="111"/>
      <c r="AS548" s="111"/>
      <c r="AT548" s="111"/>
      <c r="AU548" s="111"/>
      <c r="AV548" s="111"/>
      <c r="AW548" s="111"/>
      <c r="AX548" s="111"/>
      <c r="AY548" s="111"/>
      <c r="AZ548" s="111"/>
      <c r="BA548" s="111"/>
      <c r="BB548" s="111"/>
      <c r="BC548" s="111"/>
      <c r="BD548" s="111"/>
      <c r="BE548" s="111"/>
      <c r="BF548" s="111"/>
    </row>
    <row r="549" ht="14.25" customHeight="1">
      <c r="A549" s="111"/>
      <c r="B549" s="111"/>
      <c r="C549" s="112"/>
      <c r="D549" s="112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  <c r="AR549" s="111"/>
      <c r="AS549" s="111"/>
      <c r="AT549" s="111"/>
      <c r="AU549" s="111"/>
      <c r="AV549" s="111"/>
      <c r="AW549" s="111"/>
      <c r="AX549" s="111"/>
      <c r="AY549" s="111"/>
      <c r="AZ549" s="111"/>
      <c r="BA549" s="111"/>
      <c r="BB549" s="111"/>
      <c r="BC549" s="111"/>
      <c r="BD549" s="111"/>
      <c r="BE549" s="111"/>
      <c r="BF549" s="111"/>
    </row>
    <row r="550" ht="14.25" customHeight="1">
      <c r="A550" s="111"/>
      <c r="B550" s="111"/>
      <c r="C550" s="112"/>
      <c r="D550" s="112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  <c r="AR550" s="111"/>
      <c r="AS550" s="111"/>
      <c r="AT550" s="111"/>
      <c r="AU550" s="111"/>
      <c r="AV550" s="111"/>
      <c r="AW550" s="111"/>
      <c r="AX550" s="111"/>
      <c r="AY550" s="111"/>
      <c r="AZ550" s="111"/>
      <c r="BA550" s="111"/>
      <c r="BB550" s="111"/>
      <c r="BC550" s="111"/>
      <c r="BD550" s="111"/>
      <c r="BE550" s="111"/>
      <c r="BF550" s="111"/>
    </row>
    <row r="551" ht="14.25" customHeight="1">
      <c r="A551" s="111"/>
      <c r="B551" s="111"/>
      <c r="C551" s="112"/>
      <c r="D551" s="112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  <c r="AR551" s="111"/>
      <c r="AS551" s="111"/>
      <c r="AT551" s="111"/>
      <c r="AU551" s="111"/>
      <c r="AV551" s="111"/>
      <c r="AW551" s="111"/>
      <c r="AX551" s="111"/>
      <c r="AY551" s="111"/>
      <c r="AZ551" s="111"/>
      <c r="BA551" s="111"/>
      <c r="BB551" s="111"/>
      <c r="BC551" s="111"/>
      <c r="BD551" s="111"/>
      <c r="BE551" s="111"/>
      <c r="BF551" s="111"/>
    </row>
    <row r="552" ht="14.25" customHeight="1">
      <c r="A552" s="111"/>
      <c r="B552" s="111"/>
      <c r="C552" s="112"/>
      <c r="D552" s="112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  <c r="AR552" s="111"/>
      <c r="AS552" s="111"/>
      <c r="AT552" s="111"/>
      <c r="AU552" s="111"/>
      <c r="AV552" s="111"/>
      <c r="AW552" s="111"/>
      <c r="AX552" s="111"/>
      <c r="AY552" s="111"/>
      <c r="AZ552" s="111"/>
      <c r="BA552" s="111"/>
      <c r="BB552" s="111"/>
      <c r="BC552" s="111"/>
      <c r="BD552" s="111"/>
      <c r="BE552" s="111"/>
      <c r="BF552" s="111"/>
    </row>
    <row r="553" ht="14.25" customHeight="1">
      <c r="A553" s="111"/>
      <c r="B553" s="111"/>
      <c r="C553" s="112"/>
      <c r="D553" s="112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  <c r="AR553" s="111"/>
      <c r="AS553" s="111"/>
      <c r="AT553" s="111"/>
      <c r="AU553" s="111"/>
      <c r="AV553" s="111"/>
      <c r="AW553" s="111"/>
      <c r="AX553" s="111"/>
      <c r="AY553" s="111"/>
      <c r="AZ553" s="111"/>
      <c r="BA553" s="111"/>
      <c r="BB553" s="111"/>
      <c r="BC553" s="111"/>
      <c r="BD553" s="111"/>
      <c r="BE553" s="111"/>
      <c r="BF553" s="111"/>
    </row>
    <row r="554" ht="14.25" customHeight="1">
      <c r="A554" s="111"/>
      <c r="B554" s="111"/>
      <c r="C554" s="112"/>
      <c r="D554" s="112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  <c r="AR554" s="111"/>
      <c r="AS554" s="111"/>
      <c r="AT554" s="111"/>
      <c r="AU554" s="111"/>
      <c r="AV554" s="111"/>
      <c r="AW554" s="111"/>
      <c r="AX554" s="111"/>
      <c r="AY554" s="111"/>
      <c r="AZ554" s="111"/>
      <c r="BA554" s="111"/>
      <c r="BB554" s="111"/>
      <c r="BC554" s="111"/>
      <c r="BD554" s="111"/>
      <c r="BE554" s="111"/>
      <c r="BF554" s="111"/>
    </row>
    <row r="555" ht="14.25" customHeight="1">
      <c r="A555" s="111"/>
      <c r="B555" s="111"/>
      <c r="C555" s="112"/>
      <c r="D555" s="112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  <c r="AL555" s="111"/>
      <c r="AM555" s="111"/>
      <c r="AN555" s="111"/>
      <c r="AO555" s="111"/>
      <c r="AP555" s="111"/>
      <c r="AQ555" s="111"/>
      <c r="AR555" s="111"/>
      <c r="AS555" s="111"/>
      <c r="AT555" s="111"/>
      <c r="AU555" s="111"/>
      <c r="AV555" s="111"/>
      <c r="AW555" s="111"/>
      <c r="AX555" s="111"/>
      <c r="AY555" s="111"/>
      <c r="AZ555" s="111"/>
      <c r="BA555" s="111"/>
      <c r="BB555" s="111"/>
      <c r="BC555" s="111"/>
      <c r="BD555" s="111"/>
      <c r="BE555" s="111"/>
      <c r="BF555" s="111"/>
    </row>
    <row r="556" ht="14.25" customHeight="1">
      <c r="A556" s="111"/>
      <c r="B556" s="111"/>
      <c r="C556" s="112"/>
      <c r="D556" s="112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/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/>
      <c r="BB556" s="111"/>
      <c r="BC556" s="111"/>
      <c r="BD556" s="111"/>
      <c r="BE556" s="111"/>
      <c r="BF556" s="111"/>
    </row>
    <row r="557" ht="14.25" customHeight="1">
      <c r="A557" s="111"/>
      <c r="B557" s="111"/>
      <c r="C557" s="112"/>
      <c r="D557" s="112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/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/>
      <c r="BB557" s="111"/>
      <c r="BC557" s="111"/>
      <c r="BD557" s="111"/>
      <c r="BE557" s="111"/>
      <c r="BF557" s="111"/>
    </row>
    <row r="558" ht="14.25" customHeight="1">
      <c r="A558" s="111"/>
      <c r="B558" s="111"/>
      <c r="C558" s="112"/>
      <c r="D558" s="112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  <c r="AL558" s="111"/>
      <c r="AM558" s="111"/>
      <c r="AN558" s="111"/>
      <c r="AO558" s="111"/>
      <c r="AP558" s="111"/>
      <c r="AQ558" s="111"/>
      <c r="AR558" s="111"/>
      <c r="AS558" s="111"/>
      <c r="AT558" s="111"/>
      <c r="AU558" s="111"/>
      <c r="AV558" s="111"/>
      <c r="AW558" s="111"/>
      <c r="AX558" s="111"/>
      <c r="AY558" s="111"/>
      <c r="AZ558" s="111"/>
      <c r="BA558" s="111"/>
      <c r="BB558" s="111"/>
      <c r="BC558" s="111"/>
      <c r="BD558" s="111"/>
      <c r="BE558" s="111"/>
      <c r="BF558" s="111"/>
    </row>
    <row r="559" ht="14.25" customHeight="1">
      <c r="A559" s="111"/>
      <c r="B559" s="111"/>
      <c r="C559" s="112"/>
      <c r="D559" s="112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/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/>
      <c r="BB559" s="111"/>
      <c r="BC559" s="111"/>
      <c r="BD559" s="111"/>
      <c r="BE559" s="111"/>
      <c r="BF559" s="111"/>
    </row>
    <row r="560" ht="14.25" customHeight="1">
      <c r="A560" s="111"/>
      <c r="B560" s="111"/>
      <c r="C560" s="112"/>
      <c r="D560" s="112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  <c r="AL560" s="111"/>
      <c r="AM560" s="111"/>
      <c r="AN560" s="111"/>
      <c r="AO560" s="111"/>
      <c r="AP560" s="111"/>
      <c r="AQ560" s="111"/>
      <c r="AR560" s="111"/>
      <c r="AS560" s="111"/>
      <c r="AT560" s="111"/>
      <c r="AU560" s="111"/>
      <c r="AV560" s="111"/>
      <c r="AW560" s="111"/>
      <c r="AX560" s="111"/>
      <c r="AY560" s="111"/>
      <c r="AZ560" s="111"/>
      <c r="BA560" s="111"/>
      <c r="BB560" s="111"/>
      <c r="BC560" s="111"/>
      <c r="BD560" s="111"/>
      <c r="BE560" s="111"/>
      <c r="BF560" s="111"/>
    </row>
    <row r="561" ht="14.25" customHeight="1">
      <c r="A561" s="111"/>
      <c r="B561" s="111"/>
      <c r="C561" s="112"/>
      <c r="D561" s="112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  <c r="AL561" s="111"/>
      <c r="AM561" s="111"/>
      <c r="AN561" s="111"/>
      <c r="AO561" s="111"/>
      <c r="AP561" s="111"/>
      <c r="AQ561" s="111"/>
      <c r="AR561" s="111"/>
      <c r="AS561" s="111"/>
      <c r="AT561" s="111"/>
      <c r="AU561" s="111"/>
      <c r="AV561" s="111"/>
      <c r="AW561" s="111"/>
      <c r="AX561" s="111"/>
      <c r="AY561" s="111"/>
      <c r="AZ561" s="111"/>
      <c r="BA561" s="111"/>
      <c r="BB561" s="111"/>
      <c r="BC561" s="111"/>
      <c r="BD561" s="111"/>
      <c r="BE561" s="111"/>
      <c r="BF561" s="111"/>
    </row>
    <row r="562" ht="14.25" customHeight="1">
      <c r="A562" s="111"/>
      <c r="B562" s="111"/>
      <c r="C562" s="112"/>
      <c r="D562" s="112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  <c r="AL562" s="111"/>
      <c r="AM562" s="111"/>
      <c r="AN562" s="111"/>
      <c r="AO562" s="111"/>
      <c r="AP562" s="111"/>
      <c r="AQ562" s="111"/>
      <c r="AR562" s="111"/>
      <c r="AS562" s="111"/>
      <c r="AT562" s="111"/>
      <c r="AU562" s="111"/>
      <c r="AV562" s="111"/>
      <c r="AW562" s="111"/>
      <c r="AX562" s="111"/>
      <c r="AY562" s="111"/>
      <c r="AZ562" s="111"/>
      <c r="BA562" s="111"/>
      <c r="BB562" s="111"/>
      <c r="BC562" s="111"/>
      <c r="BD562" s="111"/>
      <c r="BE562" s="111"/>
      <c r="BF562" s="111"/>
    </row>
    <row r="563" ht="14.25" customHeight="1">
      <c r="A563" s="111"/>
      <c r="B563" s="111"/>
      <c r="C563" s="112"/>
      <c r="D563" s="112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  <c r="AL563" s="111"/>
      <c r="AM563" s="111"/>
      <c r="AN563" s="111"/>
      <c r="AO563" s="111"/>
      <c r="AP563" s="111"/>
      <c r="AQ563" s="111"/>
      <c r="AR563" s="111"/>
      <c r="AS563" s="111"/>
      <c r="AT563" s="111"/>
      <c r="AU563" s="111"/>
      <c r="AV563" s="111"/>
      <c r="AW563" s="111"/>
      <c r="AX563" s="111"/>
      <c r="AY563" s="111"/>
      <c r="AZ563" s="111"/>
      <c r="BA563" s="111"/>
      <c r="BB563" s="111"/>
      <c r="BC563" s="111"/>
      <c r="BD563" s="111"/>
      <c r="BE563" s="111"/>
      <c r="BF563" s="111"/>
    </row>
    <row r="564" ht="14.25" customHeight="1">
      <c r="A564" s="111"/>
      <c r="B564" s="111"/>
      <c r="C564" s="112"/>
      <c r="D564" s="112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  <c r="AL564" s="111"/>
      <c r="AM564" s="111"/>
      <c r="AN564" s="111"/>
      <c r="AO564" s="111"/>
      <c r="AP564" s="111"/>
      <c r="AQ564" s="111"/>
      <c r="AR564" s="111"/>
      <c r="AS564" s="111"/>
      <c r="AT564" s="111"/>
      <c r="AU564" s="111"/>
      <c r="AV564" s="111"/>
      <c r="AW564" s="111"/>
      <c r="AX564" s="111"/>
      <c r="AY564" s="111"/>
      <c r="AZ564" s="111"/>
      <c r="BA564" s="111"/>
      <c r="BB564" s="111"/>
      <c r="BC564" s="111"/>
      <c r="BD564" s="111"/>
      <c r="BE564" s="111"/>
      <c r="BF564" s="111"/>
    </row>
    <row r="565" ht="14.25" customHeight="1">
      <c r="A565" s="111"/>
      <c r="B565" s="111"/>
      <c r="C565" s="112"/>
      <c r="D565" s="112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  <c r="AL565" s="111"/>
      <c r="AM565" s="111"/>
      <c r="AN565" s="111"/>
      <c r="AO565" s="111"/>
      <c r="AP565" s="111"/>
      <c r="AQ565" s="111"/>
      <c r="AR565" s="111"/>
      <c r="AS565" s="111"/>
      <c r="AT565" s="111"/>
      <c r="AU565" s="111"/>
      <c r="AV565" s="111"/>
      <c r="AW565" s="111"/>
      <c r="AX565" s="111"/>
      <c r="AY565" s="111"/>
      <c r="AZ565" s="111"/>
      <c r="BA565" s="111"/>
      <c r="BB565" s="111"/>
      <c r="BC565" s="111"/>
      <c r="BD565" s="111"/>
      <c r="BE565" s="111"/>
      <c r="BF565" s="111"/>
    </row>
    <row r="566" ht="14.25" customHeight="1">
      <c r="A566" s="111"/>
      <c r="B566" s="111"/>
      <c r="C566" s="112"/>
      <c r="D566" s="112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  <c r="AL566" s="111"/>
      <c r="AM566" s="111"/>
      <c r="AN566" s="111"/>
      <c r="AO566" s="111"/>
      <c r="AP566" s="111"/>
      <c r="AQ566" s="111"/>
      <c r="AR566" s="111"/>
      <c r="AS566" s="111"/>
      <c r="AT566" s="111"/>
      <c r="AU566" s="111"/>
      <c r="AV566" s="111"/>
      <c r="AW566" s="111"/>
      <c r="AX566" s="111"/>
      <c r="AY566" s="111"/>
      <c r="AZ566" s="111"/>
      <c r="BA566" s="111"/>
      <c r="BB566" s="111"/>
      <c r="BC566" s="111"/>
      <c r="BD566" s="111"/>
      <c r="BE566" s="111"/>
      <c r="BF566" s="111"/>
    </row>
    <row r="567" ht="14.25" customHeight="1">
      <c r="A567" s="111"/>
      <c r="B567" s="111"/>
      <c r="C567" s="112"/>
      <c r="D567" s="112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  <c r="AL567" s="111"/>
      <c r="AM567" s="111"/>
      <c r="AN567" s="111"/>
      <c r="AO567" s="111"/>
      <c r="AP567" s="111"/>
      <c r="AQ567" s="111"/>
      <c r="AR567" s="111"/>
      <c r="AS567" s="111"/>
      <c r="AT567" s="111"/>
      <c r="AU567" s="111"/>
      <c r="AV567" s="111"/>
      <c r="AW567" s="111"/>
      <c r="AX567" s="111"/>
      <c r="AY567" s="111"/>
      <c r="AZ567" s="111"/>
      <c r="BA567" s="111"/>
      <c r="BB567" s="111"/>
      <c r="BC567" s="111"/>
      <c r="BD567" s="111"/>
      <c r="BE567" s="111"/>
      <c r="BF567" s="111"/>
    </row>
    <row r="568" ht="14.25" customHeight="1">
      <c r="A568" s="111"/>
      <c r="B568" s="111"/>
      <c r="C568" s="112"/>
      <c r="D568" s="112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  <c r="AL568" s="111"/>
      <c r="AM568" s="111"/>
      <c r="AN568" s="111"/>
      <c r="AO568" s="111"/>
      <c r="AP568" s="111"/>
      <c r="AQ568" s="111"/>
      <c r="AR568" s="111"/>
      <c r="AS568" s="111"/>
      <c r="AT568" s="111"/>
      <c r="AU568" s="111"/>
      <c r="AV568" s="111"/>
      <c r="AW568" s="111"/>
      <c r="AX568" s="111"/>
      <c r="AY568" s="111"/>
      <c r="AZ568" s="111"/>
      <c r="BA568" s="111"/>
      <c r="BB568" s="111"/>
      <c r="BC568" s="111"/>
      <c r="BD568" s="111"/>
      <c r="BE568" s="111"/>
      <c r="BF568" s="111"/>
    </row>
    <row r="569" ht="14.25" customHeight="1">
      <c r="A569" s="111"/>
      <c r="B569" s="111"/>
      <c r="C569" s="112"/>
      <c r="D569" s="112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  <c r="AL569" s="111"/>
      <c r="AM569" s="111"/>
      <c r="AN569" s="111"/>
      <c r="AO569" s="111"/>
      <c r="AP569" s="111"/>
      <c r="AQ569" s="111"/>
      <c r="AR569" s="111"/>
      <c r="AS569" s="111"/>
      <c r="AT569" s="111"/>
      <c r="AU569" s="111"/>
      <c r="AV569" s="111"/>
      <c r="AW569" s="111"/>
      <c r="AX569" s="111"/>
      <c r="AY569" s="111"/>
      <c r="AZ569" s="111"/>
      <c r="BA569" s="111"/>
      <c r="BB569" s="111"/>
      <c r="BC569" s="111"/>
      <c r="BD569" s="111"/>
      <c r="BE569" s="111"/>
      <c r="BF569" s="111"/>
    </row>
    <row r="570" ht="14.25" customHeight="1">
      <c r="A570" s="111"/>
      <c r="B570" s="111"/>
      <c r="C570" s="112"/>
      <c r="D570" s="112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  <c r="AL570" s="111"/>
      <c r="AM570" s="111"/>
      <c r="AN570" s="111"/>
      <c r="AO570" s="111"/>
      <c r="AP570" s="111"/>
      <c r="AQ570" s="111"/>
      <c r="AR570" s="111"/>
      <c r="AS570" s="111"/>
      <c r="AT570" s="111"/>
      <c r="AU570" s="111"/>
      <c r="AV570" s="111"/>
      <c r="AW570" s="111"/>
      <c r="AX570" s="111"/>
      <c r="AY570" s="111"/>
      <c r="AZ570" s="111"/>
      <c r="BA570" s="111"/>
      <c r="BB570" s="111"/>
      <c r="BC570" s="111"/>
      <c r="BD570" s="111"/>
      <c r="BE570" s="111"/>
      <c r="BF570" s="111"/>
    </row>
    <row r="571" ht="14.25" customHeight="1">
      <c r="A571" s="111"/>
      <c r="B571" s="111"/>
      <c r="C571" s="112"/>
      <c r="D571" s="112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  <c r="AL571" s="111"/>
      <c r="AM571" s="111"/>
      <c r="AN571" s="111"/>
      <c r="AO571" s="111"/>
      <c r="AP571" s="111"/>
      <c r="AQ571" s="111"/>
      <c r="AR571" s="111"/>
      <c r="AS571" s="111"/>
      <c r="AT571" s="111"/>
      <c r="AU571" s="111"/>
      <c r="AV571" s="111"/>
      <c r="AW571" s="111"/>
      <c r="AX571" s="111"/>
      <c r="AY571" s="111"/>
      <c r="AZ571" s="111"/>
      <c r="BA571" s="111"/>
      <c r="BB571" s="111"/>
      <c r="BC571" s="111"/>
      <c r="BD571" s="111"/>
      <c r="BE571" s="111"/>
      <c r="BF571" s="111"/>
    </row>
    <row r="572" ht="14.25" customHeight="1">
      <c r="A572" s="111"/>
      <c r="B572" s="111"/>
      <c r="C572" s="112"/>
      <c r="D572" s="112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  <c r="AL572" s="111"/>
      <c r="AM572" s="111"/>
      <c r="AN572" s="111"/>
      <c r="AO572" s="111"/>
      <c r="AP572" s="111"/>
      <c r="AQ572" s="111"/>
      <c r="AR572" s="111"/>
      <c r="AS572" s="111"/>
      <c r="AT572" s="111"/>
      <c r="AU572" s="111"/>
      <c r="AV572" s="111"/>
      <c r="AW572" s="111"/>
      <c r="AX572" s="111"/>
      <c r="AY572" s="111"/>
      <c r="AZ572" s="111"/>
      <c r="BA572" s="111"/>
      <c r="BB572" s="111"/>
      <c r="BC572" s="111"/>
      <c r="BD572" s="111"/>
      <c r="BE572" s="111"/>
      <c r="BF572" s="111"/>
    </row>
    <row r="573" ht="14.25" customHeight="1">
      <c r="A573" s="111"/>
      <c r="B573" s="111"/>
      <c r="C573" s="112"/>
      <c r="D573" s="112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  <c r="AL573" s="111"/>
      <c r="AM573" s="111"/>
      <c r="AN573" s="111"/>
      <c r="AO573" s="111"/>
      <c r="AP573" s="111"/>
      <c r="AQ573" s="111"/>
      <c r="AR573" s="111"/>
      <c r="AS573" s="111"/>
      <c r="AT573" s="111"/>
      <c r="AU573" s="111"/>
      <c r="AV573" s="111"/>
      <c r="AW573" s="111"/>
      <c r="AX573" s="111"/>
      <c r="AY573" s="111"/>
      <c r="AZ573" s="111"/>
      <c r="BA573" s="111"/>
      <c r="BB573" s="111"/>
      <c r="BC573" s="111"/>
      <c r="BD573" s="111"/>
      <c r="BE573" s="111"/>
      <c r="BF573" s="111"/>
    </row>
    <row r="574" ht="14.25" customHeight="1">
      <c r="A574" s="111"/>
      <c r="B574" s="111"/>
      <c r="C574" s="112"/>
      <c r="D574" s="112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  <c r="AL574" s="111"/>
      <c r="AM574" s="111"/>
      <c r="AN574" s="111"/>
      <c r="AO574" s="111"/>
      <c r="AP574" s="111"/>
      <c r="AQ574" s="111"/>
      <c r="AR574" s="111"/>
      <c r="AS574" s="111"/>
      <c r="AT574" s="111"/>
      <c r="AU574" s="111"/>
      <c r="AV574" s="111"/>
      <c r="AW574" s="111"/>
      <c r="AX574" s="111"/>
      <c r="AY574" s="111"/>
      <c r="AZ574" s="111"/>
      <c r="BA574" s="111"/>
      <c r="BB574" s="111"/>
      <c r="BC574" s="111"/>
      <c r="BD574" s="111"/>
      <c r="BE574" s="111"/>
      <c r="BF574" s="111"/>
    </row>
    <row r="575" ht="14.25" customHeight="1">
      <c r="A575" s="111"/>
      <c r="B575" s="111"/>
      <c r="C575" s="112"/>
      <c r="D575" s="112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  <c r="AL575" s="111"/>
      <c r="AM575" s="111"/>
      <c r="AN575" s="111"/>
      <c r="AO575" s="111"/>
      <c r="AP575" s="111"/>
      <c r="AQ575" s="111"/>
      <c r="AR575" s="111"/>
      <c r="AS575" s="111"/>
      <c r="AT575" s="111"/>
      <c r="AU575" s="111"/>
      <c r="AV575" s="111"/>
      <c r="AW575" s="111"/>
      <c r="AX575" s="111"/>
      <c r="AY575" s="111"/>
      <c r="AZ575" s="111"/>
      <c r="BA575" s="111"/>
      <c r="BB575" s="111"/>
      <c r="BC575" s="111"/>
      <c r="BD575" s="111"/>
      <c r="BE575" s="111"/>
      <c r="BF575" s="111"/>
    </row>
    <row r="576" ht="14.25" customHeight="1">
      <c r="A576" s="111"/>
      <c r="B576" s="111"/>
      <c r="C576" s="112"/>
      <c r="D576" s="112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  <c r="AL576" s="111"/>
      <c r="AM576" s="111"/>
      <c r="AN576" s="111"/>
      <c r="AO576" s="111"/>
      <c r="AP576" s="111"/>
      <c r="AQ576" s="111"/>
      <c r="AR576" s="111"/>
      <c r="AS576" s="111"/>
      <c r="AT576" s="111"/>
      <c r="AU576" s="111"/>
      <c r="AV576" s="111"/>
      <c r="AW576" s="111"/>
      <c r="AX576" s="111"/>
      <c r="AY576" s="111"/>
      <c r="AZ576" s="111"/>
      <c r="BA576" s="111"/>
      <c r="BB576" s="111"/>
      <c r="BC576" s="111"/>
      <c r="BD576" s="111"/>
      <c r="BE576" s="111"/>
      <c r="BF576" s="111"/>
    </row>
    <row r="577" ht="14.25" customHeight="1">
      <c r="A577" s="111"/>
      <c r="B577" s="111"/>
      <c r="C577" s="112"/>
      <c r="D577" s="112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  <c r="AL577" s="111"/>
      <c r="AM577" s="111"/>
      <c r="AN577" s="111"/>
      <c r="AO577" s="111"/>
      <c r="AP577" s="111"/>
      <c r="AQ577" s="111"/>
      <c r="AR577" s="111"/>
      <c r="AS577" s="111"/>
      <c r="AT577" s="111"/>
      <c r="AU577" s="111"/>
      <c r="AV577" s="111"/>
      <c r="AW577" s="111"/>
      <c r="AX577" s="111"/>
      <c r="AY577" s="111"/>
      <c r="AZ577" s="111"/>
      <c r="BA577" s="111"/>
      <c r="BB577" s="111"/>
      <c r="BC577" s="111"/>
      <c r="BD577" s="111"/>
      <c r="BE577" s="111"/>
      <c r="BF577" s="111"/>
    </row>
    <row r="578" ht="14.25" customHeight="1">
      <c r="A578" s="111"/>
      <c r="B578" s="111"/>
      <c r="C578" s="112"/>
      <c r="D578" s="112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  <c r="AL578" s="111"/>
      <c r="AM578" s="111"/>
      <c r="AN578" s="111"/>
      <c r="AO578" s="111"/>
      <c r="AP578" s="111"/>
      <c r="AQ578" s="111"/>
      <c r="AR578" s="111"/>
      <c r="AS578" s="111"/>
      <c r="AT578" s="111"/>
      <c r="AU578" s="111"/>
      <c r="AV578" s="111"/>
      <c r="AW578" s="111"/>
      <c r="AX578" s="111"/>
      <c r="AY578" s="111"/>
      <c r="AZ578" s="111"/>
      <c r="BA578" s="111"/>
      <c r="BB578" s="111"/>
      <c r="BC578" s="111"/>
      <c r="BD578" s="111"/>
      <c r="BE578" s="111"/>
      <c r="BF578" s="111"/>
    </row>
    <row r="579" ht="14.25" customHeight="1">
      <c r="A579" s="111"/>
      <c r="B579" s="111"/>
      <c r="C579" s="112"/>
      <c r="D579" s="112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  <c r="AL579" s="111"/>
      <c r="AM579" s="111"/>
      <c r="AN579" s="111"/>
      <c r="AO579" s="111"/>
      <c r="AP579" s="111"/>
      <c r="AQ579" s="111"/>
      <c r="AR579" s="111"/>
      <c r="AS579" s="111"/>
      <c r="AT579" s="111"/>
      <c r="AU579" s="111"/>
      <c r="AV579" s="111"/>
      <c r="AW579" s="111"/>
      <c r="AX579" s="111"/>
      <c r="AY579" s="111"/>
      <c r="AZ579" s="111"/>
      <c r="BA579" s="111"/>
      <c r="BB579" s="111"/>
      <c r="BC579" s="111"/>
      <c r="BD579" s="111"/>
      <c r="BE579" s="111"/>
      <c r="BF579" s="111"/>
    </row>
    <row r="580" ht="14.25" customHeight="1">
      <c r="A580" s="111"/>
      <c r="B580" s="111"/>
      <c r="C580" s="112"/>
      <c r="D580" s="112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  <c r="AL580" s="111"/>
      <c r="AM580" s="111"/>
      <c r="AN580" s="111"/>
      <c r="AO580" s="111"/>
      <c r="AP580" s="111"/>
      <c r="AQ580" s="111"/>
      <c r="AR580" s="111"/>
      <c r="AS580" s="111"/>
      <c r="AT580" s="111"/>
      <c r="AU580" s="111"/>
      <c r="AV580" s="111"/>
      <c r="AW580" s="111"/>
      <c r="AX580" s="111"/>
      <c r="AY580" s="111"/>
      <c r="AZ580" s="111"/>
      <c r="BA580" s="111"/>
      <c r="BB580" s="111"/>
      <c r="BC580" s="111"/>
      <c r="BD580" s="111"/>
      <c r="BE580" s="111"/>
      <c r="BF580" s="111"/>
    </row>
    <row r="581" ht="14.25" customHeight="1">
      <c r="A581" s="111"/>
      <c r="B581" s="111"/>
      <c r="C581" s="112"/>
      <c r="D581" s="112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  <c r="AM581" s="111"/>
      <c r="AN581" s="111"/>
      <c r="AO581" s="111"/>
      <c r="AP581" s="111"/>
      <c r="AQ581" s="111"/>
      <c r="AR581" s="111"/>
      <c r="AS581" s="111"/>
      <c r="AT581" s="111"/>
      <c r="AU581" s="111"/>
      <c r="AV581" s="111"/>
      <c r="AW581" s="111"/>
      <c r="AX581" s="111"/>
      <c r="AY581" s="111"/>
      <c r="AZ581" s="111"/>
      <c r="BA581" s="111"/>
      <c r="BB581" s="111"/>
      <c r="BC581" s="111"/>
      <c r="BD581" s="111"/>
      <c r="BE581" s="111"/>
      <c r="BF581" s="111"/>
    </row>
    <row r="582" ht="14.25" customHeight="1">
      <c r="A582" s="111"/>
      <c r="B582" s="111"/>
      <c r="C582" s="112"/>
      <c r="D582" s="112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  <c r="AL582" s="111"/>
      <c r="AM582" s="111"/>
      <c r="AN582" s="111"/>
      <c r="AO582" s="111"/>
      <c r="AP582" s="111"/>
      <c r="AQ582" s="111"/>
      <c r="AR582" s="111"/>
      <c r="AS582" s="111"/>
      <c r="AT582" s="111"/>
      <c r="AU582" s="111"/>
      <c r="AV582" s="111"/>
      <c r="AW582" s="111"/>
      <c r="AX582" s="111"/>
      <c r="AY582" s="111"/>
      <c r="AZ582" s="111"/>
      <c r="BA582" s="111"/>
      <c r="BB582" s="111"/>
      <c r="BC582" s="111"/>
      <c r="BD582" s="111"/>
      <c r="BE582" s="111"/>
      <c r="BF582" s="111"/>
    </row>
    <row r="583" ht="14.25" customHeight="1">
      <c r="A583" s="111"/>
      <c r="B583" s="111"/>
      <c r="C583" s="112"/>
      <c r="D583" s="112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  <c r="AR583" s="111"/>
      <c r="AS583" s="111"/>
      <c r="AT583" s="111"/>
      <c r="AU583" s="111"/>
      <c r="AV583" s="111"/>
      <c r="AW583" s="111"/>
      <c r="AX583" s="111"/>
      <c r="AY583" s="111"/>
      <c r="AZ583" s="111"/>
      <c r="BA583" s="111"/>
      <c r="BB583" s="111"/>
      <c r="BC583" s="111"/>
      <c r="BD583" s="111"/>
      <c r="BE583" s="111"/>
      <c r="BF583" s="111"/>
    </row>
    <row r="584" ht="14.25" customHeight="1">
      <c r="A584" s="111"/>
      <c r="B584" s="111"/>
      <c r="C584" s="112"/>
      <c r="D584" s="112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  <c r="AL584" s="111"/>
      <c r="AM584" s="111"/>
      <c r="AN584" s="111"/>
      <c r="AO584" s="111"/>
      <c r="AP584" s="111"/>
      <c r="AQ584" s="111"/>
      <c r="AR584" s="111"/>
      <c r="AS584" s="111"/>
      <c r="AT584" s="111"/>
      <c r="AU584" s="111"/>
      <c r="AV584" s="111"/>
      <c r="AW584" s="111"/>
      <c r="AX584" s="111"/>
      <c r="AY584" s="111"/>
      <c r="AZ584" s="111"/>
      <c r="BA584" s="111"/>
      <c r="BB584" s="111"/>
      <c r="BC584" s="111"/>
      <c r="BD584" s="111"/>
      <c r="BE584" s="111"/>
      <c r="BF584" s="111"/>
    </row>
    <row r="585" ht="14.25" customHeight="1">
      <c r="A585" s="111"/>
      <c r="B585" s="111"/>
      <c r="C585" s="112"/>
      <c r="D585" s="112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  <c r="AL585" s="111"/>
      <c r="AM585" s="111"/>
      <c r="AN585" s="111"/>
      <c r="AO585" s="111"/>
      <c r="AP585" s="111"/>
      <c r="AQ585" s="111"/>
      <c r="AR585" s="111"/>
      <c r="AS585" s="111"/>
      <c r="AT585" s="111"/>
      <c r="AU585" s="111"/>
      <c r="AV585" s="111"/>
      <c r="AW585" s="111"/>
      <c r="AX585" s="111"/>
      <c r="AY585" s="111"/>
      <c r="AZ585" s="111"/>
      <c r="BA585" s="111"/>
      <c r="BB585" s="111"/>
      <c r="BC585" s="111"/>
      <c r="BD585" s="111"/>
      <c r="BE585" s="111"/>
      <c r="BF585" s="111"/>
    </row>
    <row r="586" ht="14.25" customHeight="1">
      <c r="A586" s="111"/>
      <c r="B586" s="111"/>
      <c r="C586" s="112"/>
      <c r="D586" s="112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  <c r="AR586" s="111"/>
      <c r="AS586" s="111"/>
      <c r="AT586" s="111"/>
      <c r="AU586" s="111"/>
      <c r="AV586" s="111"/>
      <c r="AW586" s="111"/>
      <c r="AX586" s="111"/>
      <c r="AY586" s="111"/>
      <c r="AZ586" s="111"/>
      <c r="BA586" s="111"/>
      <c r="BB586" s="111"/>
      <c r="BC586" s="111"/>
      <c r="BD586" s="111"/>
      <c r="BE586" s="111"/>
      <c r="BF586" s="111"/>
    </row>
    <row r="587" ht="14.25" customHeight="1">
      <c r="A587" s="111"/>
      <c r="B587" s="111"/>
      <c r="C587" s="112"/>
      <c r="D587" s="112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  <c r="AL587" s="111"/>
      <c r="AM587" s="111"/>
      <c r="AN587" s="111"/>
      <c r="AO587" s="111"/>
      <c r="AP587" s="111"/>
      <c r="AQ587" s="111"/>
      <c r="AR587" s="111"/>
      <c r="AS587" s="111"/>
      <c r="AT587" s="111"/>
      <c r="AU587" s="111"/>
      <c r="AV587" s="111"/>
      <c r="AW587" s="111"/>
      <c r="AX587" s="111"/>
      <c r="AY587" s="111"/>
      <c r="AZ587" s="111"/>
      <c r="BA587" s="111"/>
      <c r="BB587" s="111"/>
      <c r="BC587" s="111"/>
      <c r="BD587" s="111"/>
      <c r="BE587" s="111"/>
      <c r="BF587" s="111"/>
    </row>
    <row r="588" ht="14.25" customHeight="1">
      <c r="A588" s="111"/>
      <c r="B588" s="111"/>
      <c r="C588" s="112"/>
      <c r="D588" s="112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  <c r="AL588" s="111"/>
      <c r="AM588" s="111"/>
      <c r="AN588" s="111"/>
      <c r="AO588" s="111"/>
      <c r="AP588" s="111"/>
      <c r="AQ588" s="111"/>
      <c r="AR588" s="111"/>
      <c r="AS588" s="111"/>
      <c r="AT588" s="111"/>
      <c r="AU588" s="111"/>
      <c r="AV588" s="111"/>
      <c r="AW588" s="111"/>
      <c r="AX588" s="111"/>
      <c r="AY588" s="111"/>
      <c r="AZ588" s="111"/>
      <c r="BA588" s="111"/>
      <c r="BB588" s="111"/>
      <c r="BC588" s="111"/>
      <c r="BD588" s="111"/>
      <c r="BE588" s="111"/>
      <c r="BF588" s="111"/>
    </row>
    <row r="589" ht="14.25" customHeight="1">
      <c r="A589" s="111"/>
      <c r="B589" s="111"/>
      <c r="C589" s="112"/>
      <c r="D589" s="112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  <c r="AL589" s="111"/>
      <c r="AM589" s="111"/>
      <c r="AN589" s="111"/>
      <c r="AO589" s="111"/>
      <c r="AP589" s="111"/>
      <c r="AQ589" s="111"/>
      <c r="AR589" s="111"/>
      <c r="AS589" s="111"/>
      <c r="AT589" s="111"/>
      <c r="AU589" s="111"/>
      <c r="AV589" s="111"/>
      <c r="AW589" s="111"/>
      <c r="AX589" s="111"/>
      <c r="AY589" s="111"/>
      <c r="AZ589" s="111"/>
      <c r="BA589" s="111"/>
      <c r="BB589" s="111"/>
      <c r="BC589" s="111"/>
      <c r="BD589" s="111"/>
      <c r="BE589" s="111"/>
      <c r="BF589" s="111"/>
    </row>
    <row r="590" ht="14.25" customHeight="1">
      <c r="A590" s="111"/>
      <c r="B590" s="111"/>
      <c r="C590" s="112"/>
      <c r="D590" s="112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  <c r="AL590" s="111"/>
      <c r="AM590" s="111"/>
      <c r="AN590" s="111"/>
      <c r="AO590" s="111"/>
      <c r="AP590" s="111"/>
      <c r="AQ590" s="111"/>
      <c r="AR590" s="111"/>
      <c r="AS590" s="111"/>
      <c r="AT590" s="111"/>
      <c r="AU590" s="111"/>
      <c r="AV590" s="111"/>
      <c r="AW590" s="111"/>
      <c r="AX590" s="111"/>
      <c r="AY590" s="111"/>
      <c r="AZ590" s="111"/>
      <c r="BA590" s="111"/>
      <c r="BB590" s="111"/>
      <c r="BC590" s="111"/>
      <c r="BD590" s="111"/>
      <c r="BE590" s="111"/>
      <c r="BF590" s="111"/>
    </row>
    <row r="591" ht="14.25" customHeight="1">
      <c r="A591" s="111"/>
      <c r="B591" s="111"/>
      <c r="C591" s="112"/>
      <c r="D591" s="112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  <c r="AL591" s="111"/>
      <c r="AM591" s="111"/>
      <c r="AN591" s="111"/>
      <c r="AO591" s="111"/>
      <c r="AP591" s="111"/>
      <c r="AQ591" s="111"/>
      <c r="AR591" s="111"/>
      <c r="AS591" s="111"/>
      <c r="AT591" s="111"/>
      <c r="AU591" s="111"/>
      <c r="AV591" s="111"/>
      <c r="AW591" s="111"/>
      <c r="AX591" s="111"/>
      <c r="AY591" s="111"/>
      <c r="AZ591" s="111"/>
      <c r="BA591" s="111"/>
      <c r="BB591" s="111"/>
      <c r="BC591" s="111"/>
      <c r="BD591" s="111"/>
      <c r="BE591" s="111"/>
      <c r="BF591" s="111"/>
    </row>
    <row r="592" ht="14.25" customHeight="1">
      <c r="A592" s="111"/>
      <c r="B592" s="111"/>
      <c r="C592" s="112"/>
      <c r="D592" s="112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  <c r="AL592" s="111"/>
      <c r="AM592" s="111"/>
      <c r="AN592" s="111"/>
      <c r="AO592" s="111"/>
      <c r="AP592" s="111"/>
      <c r="AQ592" s="111"/>
      <c r="AR592" s="111"/>
      <c r="AS592" s="111"/>
      <c r="AT592" s="111"/>
      <c r="AU592" s="111"/>
      <c r="AV592" s="111"/>
      <c r="AW592" s="111"/>
      <c r="AX592" s="111"/>
      <c r="AY592" s="111"/>
      <c r="AZ592" s="111"/>
      <c r="BA592" s="111"/>
      <c r="BB592" s="111"/>
      <c r="BC592" s="111"/>
      <c r="BD592" s="111"/>
      <c r="BE592" s="111"/>
      <c r="BF592" s="111"/>
    </row>
    <row r="593" ht="14.25" customHeight="1">
      <c r="A593" s="111"/>
      <c r="B593" s="111"/>
      <c r="C593" s="112"/>
      <c r="D593" s="112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  <c r="AL593" s="111"/>
      <c r="AM593" s="111"/>
      <c r="AN593" s="111"/>
      <c r="AO593" s="111"/>
      <c r="AP593" s="111"/>
      <c r="AQ593" s="111"/>
      <c r="AR593" s="111"/>
      <c r="AS593" s="111"/>
      <c r="AT593" s="111"/>
      <c r="AU593" s="111"/>
      <c r="AV593" s="111"/>
      <c r="AW593" s="111"/>
      <c r="AX593" s="111"/>
      <c r="AY593" s="111"/>
      <c r="AZ593" s="111"/>
      <c r="BA593" s="111"/>
      <c r="BB593" s="111"/>
      <c r="BC593" s="111"/>
      <c r="BD593" s="111"/>
      <c r="BE593" s="111"/>
      <c r="BF593" s="111"/>
    </row>
    <row r="594" ht="14.25" customHeight="1">
      <c r="A594" s="111"/>
      <c r="B594" s="111"/>
      <c r="C594" s="112"/>
      <c r="D594" s="112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/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/>
      <c r="BB594" s="111"/>
      <c r="BC594" s="111"/>
      <c r="BD594" s="111"/>
      <c r="BE594" s="111"/>
      <c r="BF594" s="111"/>
    </row>
    <row r="595" ht="14.25" customHeight="1">
      <c r="A595" s="111"/>
      <c r="B595" s="111"/>
      <c r="C595" s="112"/>
      <c r="D595" s="112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/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/>
      <c r="BB595" s="111"/>
      <c r="BC595" s="111"/>
      <c r="BD595" s="111"/>
      <c r="BE595" s="111"/>
      <c r="BF595" s="111"/>
    </row>
    <row r="596" ht="14.25" customHeight="1">
      <c r="A596" s="111"/>
      <c r="B596" s="111"/>
      <c r="C596" s="112"/>
      <c r="D596" s="112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  <c r="AL596" s="111"/>
      <c r="AM596" s="111"/>
      <c r="AN596" s="111"/>
      <c r="AO596" s="111"/>
      <c r="AP596" s="111"/>
      <c r="AQ596" s="111"/>
      <c r="AR596" s="111"/>
      <c r="AS596" s="111"/>
      <c r="AT596" s="111"/>
      <c r="AU596" s="111"/>
      <c r="AV596" s="111"/>
      <c r="AW596" s="111"/>
      <c r="AX596" s="111"/>
      <c r="AY596" s="111"/>
      <c r="AZ596" s="111"/>
      <c r="BA596" s="111"/>
      <c r="BB596" s="111"/>
      <c r="BC596" s="111"/>
      <c r="BD596" s="111"/>
      <c r="BE596" s="111"/>
      <c r="BF596" s="111"/>
    </row>
    <row r="597" ht="14.25" customHeight="1">
      <c r="A597" s="111"/>
      <c r="B597" s="111"/>
      <c r="C597" s="112"/>
      <c r="D597" s="112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/>
      <c r="BB597" s="111"/>
      <c r="BC597" s="111"/>
      <c r="BD597" s="111"/>
      <c r="BE597" s="111"/>
      <c r="BF597" s="111"/>
    </row>
    <row r="598" ht="14.25" customHeight="1">
      <c r="A598" s="111"/>
      <c r="B598" s="111"/>
      <c r="C598" s="112"/>
      <c r="D598" s="112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  <c r="AL598" s="111"/>
      <c r="AM598" s="111"/>
      <c r="AN598" s="111"/>
      <c r="AO598" s="111"/>
      <c r="AP598" s="111"/>
      <c r="AQ598" s="111"/>
      <c r="AR598" s="111"/>
      <c r="AS598" s="111"/>
      <c r="AT598" s="111"/>
      <c r="AU598" s="111"/>
      <c r="AV598" s="111"/>
      <c r="AW598" s="111"/>
      <c r="AX598" s="111"/>
      <c r="AY598" s="111"/>
      <c r="AZ598" s="111"/>
      <c r="BA598" s="111"/>
      <c r="BB598" s="111"/>
      <c r="BC598" s="111"/>
      <c r="BD598" s="111"/>
      <c r="BE598" s="111"/>
      <c r="BF598" s="111"/>
    </row>
    <row r="599" ht="14.25" customHeight="1">
      <c r="A599" s="111"/>
      <c r="B599" s="111"/>
      <c r="C599" s="112"/>
      <c r="D599" s="112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  <c r="AL599" s="111"/>
      <c r="AM599" s="111"/>
      <c r="AN599" s="111"/>
      <c r="AO599" s="111"/>
      <c r="AP599" s="111"/>
      <c r="AQ599" s="111"/>
      <c r="AR599" s="111"/>
      <c r="AS599" s="111"/>
      <c r="AT599" s="111"/>
      <c r="AU599" s="111"/>
      <c r="AV599" s="111"/>
      <c r="AW599" s="111"/>
      <c r="AX599" s="111"/>
      <c r="AY599" s="111"/>
      <c r="AZ599" s="111"/>
      <c r="BA599" s="111"/>
      <c r="BB599" s="111"/>
      <c r="BC599" s="111"/>
      <c r="BD599" s="111"/>
      <c r="BE599" s="111"/>
      <c r="BF599" s="111"/>
    </row>
    <row r="600" ht="14.25" customHeight="1">
      <c r="A600" s="111"/>
      <c r="B600" s="111"/>
      <c r="C600" s="112"/>
      <c r="D600" s="112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  <c r="AM600" s="111"/>
      <c r="AN600" s="111"/>
      <c r="AO600" s="111"/>
      <c r="AP600" s="111"/>
      <c r="AQ600" s="111"/>
      <c r="AR600" s="111"/>
      <c r="AS600" s="111"/>
      <c r="AT600" s="111"/>
      <c r="AU600" s="111"/>
      <c r="AV600" s="111"/>
      <c r="AW600" s="111"/>
      <c r="AX600" s="111"/>
      <c r="AY600" s="111"/>
      <c r="AZ600" s="111"/>
      <c r="BA600" s="111"/>
      <c r="BB600" s="111"/>
      <c r="BC600" s="111"/>
      <c r="BD600" s="111"/>
      <c r="BE600" s="111"/>
      <c r="BF600" s="111"/>
    </row>
    <row r="601" ht="14.25" customHeight="1">
      <c r="A601" s="111"/>
      <c r="B601" s="111"/>
      <c r="C601" s="112"/>
      <c r="D601" s="112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  <c r="AL601" s="111"/>
      <c r="AM601" s="111"/>
      <c r="AN601" s="111"/>
      <c r="AO601" s="111"/>
      <c r="AP601" s="111"/>
      <c r="AQ601" s="111"/>
      <c r="AR601" s="111"/>
      <c r="AS601" s="111"/>
      <c r="AT601" s="111"/>
      <c r="AU601" s="111"/>
      <c r="AV601" s="111"/>
      <c r="AW601" s="111"/>
      <c r="AX601" s="111"/>
      <c r="AY601" s="111"/>
      <c r="AZ601" s="111"/>
      <c r="BA601" s="111"/>
      <c r="BB601" s="111"/>
      <c r="BC601" s="111"/>
      <c r="BD601" s="111"/>
      <c r="BE601" s="111"/>
      <c r="BF601" s="111"/>
    </row>
    <row r="602" ht="14.25" customHeight="1">
      <c r="A602" s="111"/>
      <c r="B602" s="111"/>
      <c r="C602" s="112"/>
      <c r="D602" s="112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  <c r="AL602" s="111"/>
      <c r="AM602" s="111"/>
      <c r="AN602" s="111"/>
      <c r="AO602" s="111"/>
      <c r="AP602" s="111"/>
      <c r="AQ602" s="111"/>
      <c r="AR602" s="111"/>
      <c r="AS602" s="111"/>
      <c r="AT602" s="111"/>
      <c r="AU602" s="111"/>
      <c r="AV602" s="111"/>
      <c r="AW602" s="111"/>
      <c r="AX602" s="111"/>
      <c r="AY602" s="111"/>
      <c r="AZ602" s="111"/>
      <c r="BA602" s="111"/>
      <c r="BB602" s="111"/>
      <c r="BC602" s="111"/>
      <c r="BD602" s="111"/>
      <c r="BE602" s="111"/>
      <c r="BF602" s="111"/>
    </row>
    <row r="603" ht="14.25" customHeight="1">
      <c r="A603" s="111"/>
      <c r="B603" s="111"/>
      <c r="C603" s="112"/>
      <c r="D603" s="112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  <c r="AL603" s="111"/>
      <c r="AM603" s="111"/>
      <c r="AN603" s="111"/>
      <c r="AO603" s="111"/>
      <c r="AP603" s="111"/>
      <c r="AQ603" s="111"/>
      <c r="AR603" s="111"/>
      <c r="AS603" s="111"/>
      <c r="AT603" s="111"/>
      <c r="AU603" s="111"/>
      <c r="AV603" s="111"/>
      <c r="AW603" s="111"/>
      <c r="AX603" s="111"/>
      <c r="AY603" s="111"/>
      <c r="AZ603" s="111"/>
      <c r="BA603" s="111"/>
      <c r="BB603" s="111"/>
      <c r="BC603" s="111"/>
      <c r="BD603" s="111"/>
      <c r="BE603" s="111"/>
      <c r="BF603" s="111"/>
    </row>
    <row r="604" ht="14.25" customHeight="1">
      <c r="A604" s="111"/>
      <c r="B604" s="111"/>
      <c r="C604" s="112"/>
      <c r="D604" s="112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  <c r="AL604" s="111"/>
      <c r="AM604" s="111"/>
      <c r="AN604" s="111"/>
      <c r="AO604" s="111"/>
      <c r="AP604" s="111"/>
      <c r="AQ604" s="111"/>
      <c r="AR604" s="111"/>
      <c r="AS604" s="111"/>
      <c r="AT604" s="111"/>
      <c r="AU604" s="111"/>
      <c r="AV604" s="111"/>
      <c r="AW604" s="111"/>
      <c r="AX604" s="111"/>
      <c r="AY604" s="111"/>
      <c r="AZ604" s="111"/>
      <c r="BA604" s="111"/>
      <c r="BB604" s="111"/>
      <c r="BC604" s="111"/>
      <c r="BD604" s="111"/>
      <c r="BE604" s="111"/>
      <c r="BF604" s="111"/>
    </row>
    <row r="605" ht="14.25" customHeight="1">
      <c r="A605" s="111"/>
      <c r="B605" s="111"/>
      <c r="C605" s="112"/>
      <c r="D605" s="112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  <c r="AL605" s="111"/>
      <c r="AM605" s="111"/>
      <c r="AN605" s="111"/>
      <c r="AO605" s="111"/>
      <c r="AP605" s="111"/>
      <c r="AQ605" s="111"/>
      <c r="AR605" s="111"/>
      <c r="AS605" s="111"/>
      <c r="AT605" s="111"/>
      <c r="AU605" s="111"/>
      <c r="AV605" s="111"/>
      <c r="AW605" s="111"/>
      <c r="AX605" s="111"/>
      <c r="AY605" s="111"/>
      <c r="AZ605" s="111"/>
      <c r="BA605" s="111"/>
      <c r="BB605" s="111"/>
      <c r="BC605" s="111"/>
      <c r="BD605" s="111"/>
      <c r="BE605" s="111"/>
      <c r="BF605" s="111"/>
    </row>
    <row r="606" ht="14.25" customHeight="1">
      <c r="A606" s="111"/>
      <c r="B606" s="111"/>
      <c r="C606" s="112"/>
      <c r="D606" s="112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  <c r="AL606" s="111"/>
      <c r="AM606" s="111"/>
      <c r="AN606" s="111"/>
      <c r="AO606" s="111"/>
      <c r="AP606" s="111"/>
      <c r="AQ606" s="111"/>
      <c r="AR606" s="111"/>
      <c r="AS606" s="111"/>
      <c r="AT606" s="111"/>
      <c r="AU606" s="111"/>
      <c r="AV606" s="111"/>
      <c r="AW606" s="111"/>
      <c r="AX606" s="111"/>
      <c r="AY606" s="111"/>
      <c r="AZ606" s="111"/>
      <c r="BA606" s="111"/>
      <c r="BB606" s="111"/>
      <c r="BC606" s="111"/>
      <c r="BD606" s="111"/>
      <c r="BE606" s="111"/>
      <c r="BF606" s="111"/>
    </row>
    <row r="607" ht="14.25" customHeight="1">
      <c r="A607" s="111"/>
      <c r="B607" s="111"/>
      <c r="C607" s="112"/>
      <c r="D607" s="112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  <c r="AL607" s="111"/>
      <c r="AM607" s="111"/>
      <c r="AN607" s="111"/>
      <c r="AO607" s="111"/>
      <c r="AP607" s="111"/>
      <c r="AQ607" s="111"/>
      <c r="AR607" s="111"/>
      <c r="AS607" s="111"/>
      <c r="AT607" s="111"/>
      <c r="AU607" s="111"/>
      <c r="AV607" s="111"/>
      <c r="AW607" s="111"/>
      <c r="AX607" s="111"/>
      <c r="AY607" s="111"/>
      <c r="AZ607" s="111"/>
      <c r="BA607" s="111"/>
      <c r="BB607" s="111"/>
      <c r="BC607" s="111"/>
      <c r="BD607" s="111"/>
      <c r="BE607" s="111"/>
      <c r="BF607" s="111"/>
    </row>
    <row r="608" ht="14.25" customHeight="1">
      <c r="A608" s="111"/>
      <c r="B608" s="111"/>
      <c r="C608" s="112"/>
      <c r="D608" s="112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  <c r="AL608" s="111"/>
      <c r="AM608" s="111"/>
      <c r="AN608" s="111"/>
      <c r="AO608" s="111"/>
      <c r="AP608" s="111"/>
      <c r="AQ608" s="111"/>
      <c r="AR608" s="111"/>
      <c r="AS608" s="111"/>
      <c r="AT608" s="111"/>
      <c r="AU608" s="111"/>
      <c r="AV608" s="111"/>
      <c r="AW608" s="111"/>
      <c r="AX608" s="111"/>
      <c r="AY608" s="111"/>
      <c r="AZ608" s="111"/>
      <c r="BA608" s="111"/>
      <c r="BB608" s="111"/>
      <c r="BC608" s="111"/>
      <c r="BD608" s="111"/>
      <c r="BE608" s="111"/>
      <c r="BF608" s="111"/>
    </row>
    <row r="609" ht="14.25" customHeight="1">
      <c r="A609" s="111"/>
      <c r="B609" s="111"/>
      <c r="C609" s="112"/>
      <c r="D609" s="112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  <c r="AL609" s="111"/>
      <c r="AM609" s="111"/>
      <c r="AN609" s="111"/>
      <c r="AO609" s="111"/>
      <c r="AP609" s="111"/>
      <c r="AQ609" s="111"/>
      <c r="AR609" s="111"/>
      <c r="AS609" s="111"/>
      <c r="AT609" s="111"/>
      <c r="AU609" s="111"/>
      <c r="AV609" s="111"/>
      <c r="AW609" s="111"/>
      <c r="AX609" s="111"/>
      <c r="AY609" s="111"/>
      <c r="AZ609" s="111"/>
      <c r="BA609" s="111"/>
      <c r="BB609" s="111"/>
      <c r="BC609" s="111"/>
      <c r="BD609" s="111"/>
      <c r="BE609" s="111"/>
      <c r="BF609" s="111"/>
    </row>
    <row r="610" ht="14.25" customHeight="1">
      <c r="A610" s="111"/>
      <c r="B610" s="111"/>
      <c r="C610" s="112"/>
      <c r="D610" s="112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  <c r="AL610" s="111"/>
      <c r="AM610" s="111"/>
      <c r="AN610" s="111"/>
      <c r="AO610" s="111"/>
      <c r="AP610" s="111"/>
      <c r="AQ610" s="111"/>
      <c r="AR610" s="111"/>
      <c r="AS610" s="111"/>
      <c r="AT610" s="111"/>
      <c r="AU610" s="111"/>
      <c r="AV610" s="111"/>
      <c r="AW610" s="111"/>
      <c r="AX610" s="111"/>
      <c r="AY610" s="111"/>
      <c r="AZ610" s="111"/>
      <c r="BA610" s="111"/>
      <c r="BB610" s="111"/>
      <c r="BC610" s="111"/>
      <c r="BD610" s="111"/>
      <c r="BE610" s="111"/>
      <c r="BF610" s="111"/>
    </row>
    <row r="611" ht="14.25" customHeight="1">
      <c r="A611" s="111"/>
      <c r="B611" s="111"/>
      <c r="C611" s="112"/>
      <c r="D611" s="112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  <c r="AL611" s="111"/>
      <c r="AM611" s="111"/>
      <c r="AN611" s="111"/>
      <c r="AO611" s="111"/>
      <c r="AP611" s="111"/>
      <c r="AQ611" s="111"/>
      <c r="AR611" s="111"/>
      <c r="AS611" s="111"/>
      <c r="AT611" s="111"/>
      <c r="AU611" s="111"/>
      <c r="AV611" s="111"/>
      <c r="AW611" s="111"/>
      <c r="AX611" s="111"/>
      <c r="AY611" s="111"/>
      <c r="AZ611" s="111"/>
      <c r="BA611" s="111"/>
      <c r="BB611" s="111"/>
      <c r="BC611" s="111"/>
      <c r="BD611" s="111"/>
      <c r="BE611" s="111"/>
      <c r="BF611" s="111"/>
    </row>
    <row r="612" ht="14.25" customHeight="1">
      <c r="A612" s="111"/>
      <c r="B612" s="111"/>
      <c r="C612" s="112"/>
      <c r="D612" s="112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  <c r="AL612" s="111"/>
      <c r="AM612" s="111"/>
      <c r="AN612" s="111"/>
      <c r="AO612" s="111"/>
      <c r="AP612" s="111"/>
      <c r="AQ612" s="111"/>
      <c r="AR612" s="111"/>
      <c r="AS612" s="111"/>
      <c r="AT612" s="111"/>
      <c r="AU612" s="111"/>
      <c r="AV612" s="111"/>
      <c r="AW612" s="111"/>
      <c r="AX612" s="111"/>
      <c r="AY612" s="111"/>
      <c r="AZ612" s="111"/>
      <c r="BA612" s="111"/>
      <c r="BB612" s="111"/>
      <c r="BC612" s="111"/>
      <c r="BD612" s="111"/>
      <c r="BE612" s="111"/>
      <c r="BF612" s="111"/>
    </row>
    <row r="613" ht="14.25" customHeight="1">
      <c r="A613" s="111"/>
      <c r="B613" s="111"/>
      <c r="C613" s="112"/>
      <c r="D613" s="112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  <c r="AL613" s="111"/>
      <c r="AM613" s="111"/>
      <c r="AN613" s="111"/>
      <c r="AO613" s="111"/>
      <c r="AP613" s="111"/>
      <c r="AQ613" s="111"/>
      <c r="AR613" s="111"/>
      <c r="AS613" s="111"/>
      <c r="AT613" s="111"/>
      <c r="AU613" s="111"/>
      <c r="AV613" s="111"/>
      <c r="AW613" s="111"/>
      <c r="AX613" s="111"/>
      <c r="AY613" s="111"/>
      <c r="AZ613" s="111"/>
      <c r="BA613" s="111"/>
      <c r="BB613" s="111"/>
      <c r="BC613" s="111"/>
      <c r="BD613" s="111"/>
      <c r="BE613" s="111"/>
      <c r="BF613" s="111"/>
    </row>
    <row r="614" ht="14.25" customHeight="1">
      <c r="A614" s="111"/>
      <c r="B614" s="111"/>
      <c r="C614" s="112"/>
      <c r="D614" s="112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  <c r="AL614" s="111"/>
      <c r="AM614" s="111"/>
      <c r="AN614" s="111"/>
      <c r="AO614" s="111"/>
      <c r="AP614" s="111"/>
      <c r="AQ614" s="111"/>
      <c r="AR614" s="111"/>
      <c r="AS614" s="111"/>
      <c r="AT614" s="111"/>
      <c r="AU614" s="111"/>
      <c r="AV614" s="111"/>
      <c r="AW614" s="111"/>
      <c r="AX614" s="111"/>
      <c r="AY614" s="111"/>
      <c r="AZ614" s="111"/>
      <c r="BA614" s="111"/>
      <c r="BB614" s="111"/>
      <c r="BC614" s="111"/>
      <c r="BD614" s="111"/>
      <c r="BE614" s="111"/>
      <c r="BF614" s="111"/>
    </row>
    <row r="615" ht="14.25" customHeight="1">
      <c r="A615" s="111"/>
      <c r="B615" s="111"/>
      <c r="C615" s="112"/>
      <c r="D615" s="112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  <c r="AR615" s="111"/>
      <c r="AS615" s="111"/>
      <c r="AT615" s="111"/>
      <c r="AU615" s="111"/>
      <c r="AV615" s="111"/>
      <c r="AW615" s="111"/>
      <c r="AX615" s="111"/>
      <c r="AY615" s="111"/>
      <c r="AZ615" s="111"/>
      <c r="BA615" s="111"/>
      <c r="BB615" s="111"/>
      <c r="BC615" s="111"/>
      <c r="BD615" s="111"/>
      <c r="BE615" s="111"/>
      <c r="BF615" s="111"/>
    </row>
    <row r="616" ht="14.25" customHeight="1">
      <c r="A616" s="111"/>
      <c r="B616" s="111"/>
      <c r="C616" s="112"/>
      <c r="D616" s="112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  <c r="AR616" s="111"/>
      <c r="AS616" s="111"/>
      <c r="AT616" s="111"/>
      <c r="AU616" s="111"/>
      <c r="AV616" s="111"/>
      <c r="AW616" s="111"/>
      <c r="AX616" s="111"/>
      <c r="AY616" s="111"/>
      <c r="AZ616" s="111"/>
      <c r="BA616" s="111"/>
      <c r="BB616" s="111"/>
      <c r="BC616" s="111"/>
      <c r="BD616" s="111"/>
      <c r="BE616" s="111"/>
      <c r="BF616" s="111"/>
    </row>
    <row r="617" ht="14.25" customHeight="1">
      <c r="A617" s="111"/>
      <c r="B617" s="111"/>
      <c r="C617" s="112"/>
      <c r="D617" s="112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  <c r="AR617" s="111"/>
      <c r="AS617" s="111"/>
      <c r="AT617" s="111"/>
      <c r="AU617" s="111"/>
      <c r="AV617" s="111"/>
      <c r="AW617" s="111"/>
      <c r="AX617" s="111"/>
      <c r="AY617" s="111"/>
      <c r="AZ617" s="111"/>
      <c r="BA617" s="111"/>
      <c r="BB617" s="111"/>
      <c r="BC617" s="111"/>
      <c r="BD617" s="111"/>
      <c r="BE617" s="111"/>
      <c r="BF617" s="111"/>
    </row>
    <row r="618" ht="14.25" customHeight="1">
      <c r="A618" s="111"/>
      <c r="B618" s="111"/>
      <c r="C618" s="112"/>
      <c r="D618" s="112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  <c r="AR618" s="111"/>
      <c r="AS618" s="111"/>
      <c r="AT618" s="111"/>
      <c r="AU618" s="111"/>
      <c r="AV618" s="111"/>
      <c r="AW618" s="111"/>
      <c r="AX618" s="111"/>
      <c r="AY618" s="111"/>
      <c r="AZ618" s="111"/>
      <c r="BA618" s="111"/>
      <c r="BB618" s="111"/>
      <c r="BC618" s="111"/>
      <c r="BD618" s="111"/>
      <c r="BE618" s="111"/>
      <c r="BF618" s="111"/>
    </row>
    <row r="619" ht="14.25" customHeight="1">
      <c r="A619" s="111"/>
      <c r="B619" s="111"/>
      <c r="C619" s="112"/>
      <c r="D619" s="112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  <c r="AR619" s="111"/>
      <c r="AS619" s="111"/>
      <c r="AT619" s="111"/>
      <c r="AU619" s="111"/>
      <c r="AV619" s="111"/>
      <c r="AW619" s="111"/>
      <c r="AX619" s="111"/>
      <c r="AY619" s="111"/>
      <c r="AZ619" s="111"/>
      <c r="BA619" s="111"/>
      <c r="BB619" s="111"/>
      <c r="BC619" s="111"/>
      <c r="BD619" s="111"/>
      <c r="BE619" s="111"/>
      <c r="BF619" s="111"/>
    </row>
    <row r="620" ht="14.25" customHeight="1">
      <c r="A620" s="111"/>
      <c r="B620" s="111"/>
      <c r="C620" s="112"/>
      <c r="D620" s="112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  <c r="AR620" s="111"/>
      <c r="AS620" s="111"/>
      <c r="AT620" s="111"/>
      <c r="AU620" s="111"/>
      <c r="AV620" s="111"/>
      <c r="AW620" s="111"/>
      <c r="AX620" s="111"/>
      <c r="AY620" s="111"/>
      <c r="AZ620" s="111"/>
      <c r="BA620" s="111"/>
      <c r="BB620" s="111"/>
      <c r="BC620" s="111"/>
      <c r="BD620" s="111"/>
      <c r="BE620" s="111"/>
      <c r="BF620" s="111"/>
    </row>
    <row r="621" ht="14.25" customHeight="1">
      <c r="A621" s="111"/>
      <c r="B621" s="111"/>
      <c r="C621" s="112"/>
      <c r="D621" s="112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  <c r="AR621" s="111"/>
      <c r="AS621" s="111"/>
      <c r="AT621" s="111"/>
      <c r="AU621" s="111"/>
      <c r="AV621" s="111"/>
      <c r="AW621" s="111"/>
      <c r="AX621" s="111"/>
      <c r="AY621" s="111"/>
      <c r="AZ621" s="111"/>
      <c r="BA621" s="111"/>
      <c r="BB621" s="111"/>
      <c r="BC621" s="111"/>
      <c r="BD621" s="111"/>
      <c r="BE621" s="111"/>
      <c r="BF621" s="111"/>
    </row>
    <row r="622" ht="14.25" customHeight="1">
      <c r="A622" s="111"/>
      <c r="B622" s="111"/>
      <c r="C622" s="112"/>
      <c r="D622" s="112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  <c r="AL622" s="111"/>
      <c r="AM622" s="111"/>
      <c r="AN622" s="111"/>
      <c r="AO622" s="111"/>
      <c r="AP622" s="111"/>
      <c r="AQ622" s="111"/>
      <c r="AR622" s="111"/>
      <c r="AS622" s="111"/>
      <c r="AT622" s="111"/>
      <c r="AU622" s="111"/>
      <c r="AV622" s="111"/>
      <c r="AW622" s="111"/>
      <c r="AX622" s="111"/>
      <c r="AY622" s="111"/>
      <c r="AZ622" s="111"/>
      <c r="BA622" s="111"/>
      <c r="BB622" s="111"/>
      <c r="BC622" s="111"/>
      <c r="BD622" s="111"/>
      <c r="BE622" s="111"/>
      <c r="BF622" s="111"/>
    </row>
    <row r="623" ht="14.25" customHeight="1">
      <c r="A623" s="111"/>
      <c r="B623" s="111"/>
      <c r="C623" s="112"/>
      <c r="D623" s="112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  <c r="AL623" s="111"/>
      <c r="AM623" s="111"/>
      <c r="AN623" s="111"/>
      <c r="AO623" s="111"/>
      <c r="AP623" s="111"/>
      <c r="AQ623" s="111"/>
      <c r="AR623" s="111"/>
      <c r="AS623" s="111"/>
      <c r="AT623" s="111"/>
      <c r="AU623" s="111"/>
      <c r="AV623" s="111"/>
      <c r="AW623" s="111"/>
      <c r="AX623" s="111"/>
      <c r="AY623" s="111"/>
      <c r="AZ623" s="111"/>
      <c r="BA623" s="111"/>
      <c r="BB623" s="111"/>
      <c r="BC623" s="111"/>
      <c r="BD623" s="111"/>
      <c r="BE623" s="111"/>
      <c r="BF623" s="111"/>
    </row>
    <row r="624" ht="14.25" customHeight="1">
      <c r="A624" s="111"/>
      <c r="B624" s="111"/>
      <c r="C624" s="112"/>
      <c r="D624" s="112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  <c r="AL624" s="111"/>
      <c r="AM624" s="111"/>
      <c r="AN624" s="111"/>
      <c r="AO624" s="111"/>
      <c r="AP624" s="111"/>
      <c r="AQ624" s="111"/>
      <c r="AR624" s="111"/>
      <c r="AS624" s="111"/>
      <c r="AT624" s="111"/>
      <c r="AU624" s="111"/>
      <c r="AV624" s="111"/>
      <c r="AW624" s="111"/>
      <c r="AX624" s="111"/>
      <c r="AY624" s="111"/>
      <c r="AZ624" s="111"/>
      <c r="BA624" s="111"/>
      <c r="BB624" s="111"/>
      <c r="BC624" s="111"/>
      <c r="BD624" s="111"/>
      <c r="BE624" s="111"/>
      <c r="BF624" s="111"/>
    </row>
    <row r="625" ht="14.25" customHeight="1">
      <c r="A625" s="111"/>
      <c r="B625" s="111"/>
      <c r="C625" s="112"/>
      <c r="D625" s="112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  <c r="AR625" s="111"/>
      <c r="AS625" s="111"/>
      <c r="AT625" s="111"/>
      <c r="AU625" s="111"/>
      <c r="AV625" s="111"/>
      <c r="AW625" s="111"/>
      <c r="AX625" s="111"/>
      <c r="AY625" s="111"/>
      <c r="AZ625" s="111"/>
      <c r="BA625" s="111"/>
      <c r="BB625" s="111"/>
      <c r="BC625" s="111"/>
      <c r="BD625" s="111"/>
      <c r="BE625" s="111"/>
      <c r="BF625" s="111"/>
    </row>
    <row r="626" ht="14.25" customHeight="1">
      <c r="A626" s="111"/>
      <c r="B626" s="111"/>
      <c r="C626" s="112"/>
      <c r="D626" s="112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  <c r="AR626" s="111"/>
      <c r="AS626" s="111"/>
      <c r="AT626" s="111"/>
      <c r="AU626" s="111"/>
      <c r="AV626" s="111"/>
      <c r="AW626" s="111"/>
      <c r="AX626" s="111"/>
      <c r="AY626" s="111"/>
      <c r="AZ626" s="111"/>
      <c r="BA626" s="111"/>
      <c r="BB626" s="111"/>
      <c r="BC626" s="111"/>
      <c r="BD626" s="111"/>
      <c r="BE626" s="111"/>
      <c r="BF626" s="111"/>
    </row>
    <row r="627" ht="14.25" customHeight="1">
      <c r="A627" s="111"/>
      <c r="B627" s="111"/>
      <c r="C627" s="112"/>
      <c r="D627" s="112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  <c r="AR627" s="111"/>
      <c r="AS627" s="111"/>
      <c r="AT627" s="111"/>
      <c r="AU627" s="111"/>
      <c r="AV627" s="111"/>
      <c r="AW627" s="111"/>
      <c r="AX627" s="111"/>
      <c r="AY627" s="111"/>
      <c r="AZ627" s="111"/>
      <c r="BA627" s="111"/>
      <c r="BB627" s="111"/>
      <c r="BC627" s="111"/>
      <c r="BD627" s="111"/>
      <c r="BE627" s="111"/>
      <c r="BF627" s="111"/>
    </row>
    <row r="628" ht="14.25" customHeight="1">
      <c r="A628" s="111"/>
      <c r="B628" s="111"/>
      <c r="C628" s="112"/>
      <c r="D628" s="112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  <c r="AR628" s="111"/>
      <c r="AS628" s="111"/>
      <c r="AT628" s="111"/>
      <c r="AU628" s="111"/>
      <c r="AV628" s="111"/>
      <c r="AW628" s="111"/>
      <c r="AX628" s="111"/>
      <c r="AY628" s="111"/>
      <c r="AZ628" s="111"/>
      <c r="BA628" s="111"/>
      <c r="BB628" s="111"/>
      <c r="BC628" s="111"/>
      <c r="BD628" s="111"/>
      <c r="BE628" s="111"/>
      <c r="BF628" s="111"/>
    </row>
    <row r="629" ht="14.25" customHeight="1">
      <c r="A629" s="111"/>
      <c r="B629" s="111"/>
      <c r="C629" s="112"/>
      <c r="D629" s="112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  <c r="AR629" s="111"/>
      <c r="AS629" s="111"/>
      <c r="AT629" s="111"/>
      <c r="AU629" s="111"/>
      <c r="AV629" s="111"/>
      <c r="AW629" s="111"/>
      <c r="AX629" s="111"/>
      <c r="AY629" s="111"/>
      <c r="AZ629" s="111"/>
      <c r="BA629" s="111"/>
      <c r="BB629" s="111"/>
      <c r="BC629" s="111"/>
      <c r="BD629" s="111"/>
      <c r="BE629" s="111"/>
      <c r="BF629" s="111"/>
    </row>
    <row r="630" ht="14.25" customHeight="1">
      <c r="A630" s="111"/>
      <c r="B630" s="111"/>
      <c r="C630" s="112"/>
      <c r="D630" s="112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  <c r="AR630" s="111"/>
      <c r="AS630" s="111"/>
      <c r="AT630" s="111"/>
      <c r="AU630" s="111"/>
      <c r="AV630" s="111"/>
      <c r="AW630" s="111"/>
      <c r="AX630" s="111"/>
      <c r="AY630" s="111"/>
      <c r="AZ630" s="111"/>
      <c r="BA630" s="111"/>
      <c r="BB630" s="111"/>
      <c r="BC630" s="111"/>
      <c r="BD630" s="111"/>
      <c r="BE630" s="111"/>
      <c r="BF630" s="111"/>
    </row>
    <row r="631" ht="14.25" customHeight="1">
      <c r="A631" s="111"/>
      <c r="B631" s="111"/>
      <c r="C631" s="112"/>
      <c r="D631" s="112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  <c r="AR631" s="111"/>
      <c r="AS631" s="111"/>
      <c r="AT631" s="111"/>
      <c r="AU631" s="111"/>
      <c r="AV631" s="111"/>
      <c r="AW631" s="111"/>
      <c r="AX631" s="111"/>
      <c r="AY631" s="111"/>
      <c r="AZ631" s="111"/>
      <c r="BA631" s="111"/>
      <c r="BB631" s="111"/>
      <c r="BC631" s="111"/>
      <c r="BD631" s="111"/>
      <c r="BE631" s="111"/>
      <c r="BF631" s="111"/>
    </row>
    <row r="632" ht="14.25" customHeight="1">
      <c r="A632" s="111"/>
      <c r="B632" s="111"/>
      <c r="C632" s="112"/>
      <c r="D632" s="112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/>
      <c r="BB632" s="111"/>
      <c r="BC632" s="111"/>
      <c r="BD632" s="111"/>
      <c r="BE632" s="111"/>
      <c r="BF632" s="111"/>
    </row>
    <row r="633" ht="14.25" customHeight="1">
      <c r="A633" s="111"/>
      <c r="B633" s="111"/>
      <c r="C633" s="112"/>
      <c r="D633" s="112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/>
      <c r="BB633" s="111"/>
      <c r="BC633" s="111"/>
      <c r="BD633" s="111"/>
      <c r="BE633" s="111"/>
      <c r="BF633" s="111"/>
    </row>
    <row r="634" ht="14.25" customHeight="1">
      <c r="A634" s="111"/>
      <c r="B634" s="111"/>
      <c r="C634" s="112"/>
      <c r="D634" s="112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  <c r="AR634" s="111"/>
      <c r="AS634" s="111"/>
      <c r="AT634" s="111"/>
      <c r="AU634" s="111"/>
      <c r="AV634" s="111"/>
      <c r="AW634" s="111"/>
      <c r="AX634" s="111"/>
      <c r="AY634" s="111"/>
      <c r="AZ634" s="111"/>
      <c r="BA634" s="111"/>
      <c r="BB634" s="111"/>
      <c r="BC634" s="111"/>
      <c r="BD634" s="111"/>
      <c r="BE634" s="111"/>
      <c r="BF634" s="111"/>
    </row>
    <row r="635" ht="14.25" customHeight="1">
      <c r="A635" s="111"/>
      <c r="B635" s="111"/>
      <c r="C635" s="112"/>
      <c r="D635" s="112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/>
      <c r="BB635" s="111"/>
      <c r="BC635" s="111"/>
      <c r="BD635" s="111"/>
      <c r="BE635" s="111"/>
      <c r="BF635" s="111"/>
    </row>
    <row r="636" ht="14.25" customHeight="1">
      <c r="A636" s="111"/>
      <c r="B636" s="111"/>
      <c r="C636" s="112"/>
      <c r="D636" s="112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  <c r="AR636" s="111"/>
      <c r="AS636" s="111"/>
      <c r="AT636" s="111"/>
      <c r="AU636" s="111"/>
      <c r="AV636" s="111"/>
      <c r="AW636" s="111"/>
      <c r="AX636" s="111"/>
      <c r="AY636" s="111"/>
      <c r="AZ636" s="111"/>
      <c r="BA636" s="111"/>
      <c r="BB636" s="111"/>
      <c r="BC636" s="111"/>
      <c r="BD636" s="111"/>
      <c r="BE636" s="111"/>
      <c r="BF636" s="111"/>
    </row>
    <row r="637" ht="14.25" customHeight="1">
      <c r="A637" s="111"/>
      <c r="B637" s="111"/>
      <c r="C637" s="112"/>
      <c r="D637" s="112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  <c r="AR637" s="111"/>
      <c r="AS637" s="111"/>
      <c r="AT637" s="111"/>
      <c r="AU637" s="111"/>
      <c r="AV637" s="111"/>
      <c r="AW637" s="111"/>
      <c r="AX637" s="111"/>
      <c r="AY637" s="111"/>
      <c r="AZ637" s="111"/>
      <c r="BA637" s="111"/>
      <c r="BB637" s="111"/>
      <c r="BC637" s="111"/>
      <c r="BD637" s="111"/>
      <c r="BE637" s="111"/>
      <c r="BF637" s="111"/>
    </row>
    <row r="638" ht="14.25" customHeight="1">
      <c r="A638" s="111"/>
      <c r="B638" s="111"/>
      <c r="C638" s="112"/>
      <c r="D638" s="112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  <c r="AR638" s="111"/>
      <c r="AS638" s="111"/>
      <c r="AT638" s="111"/>
      <c r="AU638" s="111"/>
      <c r="AV638" s="111"/>
      <c r="AW638" s="111"/>
      <c r="AX638" s="111"/>
      <c r="AY638" s="111"/>
      <c r="AZ638" s="111"/>
      <c r="BA638" s="111"/>
      <c r="BB638" s="111"/>
      <c r="BC638" s="111"/>
      <c r="BD638" s="111"/>
      <c r="BE638" s="111"/>
      <c r="BF638" s="111"/>
    </row>
    <row r="639" ht="14.25" customHeight="1">
      <c r="A639" s="111"/>
      <c r="B639" s="111"/>
      <c r="C639" s="112"/>
      <c r="D639" s="112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  <c r="AR639" s="111"/>
      <c r="AS639" s="111"/>
      <c r="AT639" s="111"/>
      <c r="AU639" s="111"/>
      <c r="AV639" s="111"/>
      <c r="AW639" s="111"/>
      <c r="AX639" s="111"/>
      <c r="AY639" s="111"/>
      <c r="AZ639" s="111"/>
      <c r="BA639" s="111"/>
      <c r="BB639" s="111"/>
      <c r="BC639" s="111"/>
      <c r="BD639" s="111"/>
      <c r="BE639" s="111"/>
      <c r="BF639" s="111"/>
    </row>
    <row r="640" ht="14.25" customHeight="1">
      <c r="A640" s="111"/>
      <c r="B640" s="111"/>
      <c r="C640" s="112"/>
      <c r="D640" s="112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  <c r="AL640" s="111"/>
      <c r="AM640" s="111"/>
      <c r="AN640" s="111"/>
      <c r="AO640" s="111"/>
      <c r="AP640" s="111"/>
      <c r="AQ640" s="111"/>
      <c r="AR640" s="111"/>
      <c r="AS640" s="111"/>
      <c r="AT640" s="111"/>
      <c r="AU640" s="111"/>
      <c r="AV640" s="111"/>
      <c r="AW640" s="111"/>
      <c r="AX640" s="111"/>
      <c r="AY640" s="111"/>
      <c r="AZ640" s="111"/>
      <c r="BA640" s="111"/>
      <c r="BB640" s="111"/>
      <c r="BC640" s="111"/>
      <c r="BD640" s="111"/>
      <c r="BE640" s="111"/>
      <c r="BF640" s="111"/>
    </row>
    <row r="641" ht="14.25" customHeight="1">
      <c r="A641" s="111"/>
      <c r="B641" s="111"/>
      <c r="C641" s="112"/>
      <c r="D641" s="112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  <c r="AL641" s="111"/>
      <c r="AM641" s="111"/>
      <c r="AN641" s="111"/>
      <c r="AO641" s="111"/>
      <c r="AP641" s="111"/>
      <c r="AQ641" s="111"/>
      <c r="AR641" s="111"/>
      <c r="AS641" s="111"/>
      <c r="AT641" s="111"/>
      <c r="AU641" s="111"/>
      <c r="AV641" s="111"/>
      <c r="AW641" s="111"/>
      <c r="AX641" s="111"/>
      <c r="AY641" s="111"/>
      <c r="AZ641" s="111"/>
      <c r="BA641" s="111"/>
      <c r="BB641" s="111"/>
      <c r="BC641" s="111"/>
      <c r="BD641" s="111"/>
      <c r="BE641" s="111"/>
      <c r="BF641" s="111"/>
    </row>
    <row r="642" ht="14.25" customHeight="1">
      <c r="A642" s="111"/>
      <c r="B642" s="111"/>
      <c r="C642" s="112"/>
      <c r="D642" s="112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  <c r="AL642" s="111"/>
      <c r="AM642" s="111"/>
      <c r="AN642" s="111"/>
      <c r="AO642" s="111"/>
      <c r="AP642" s="111"/>
      <c r="AQ642" s="111"/>
      <c r="AR642" s="111"/>
      <c r="AS642" s="111"/>
      <c r="AT642" s="111"/>
      <c r="AU642" s="111"/>
      <c r="AV642" s="111"/>
      <c r="AW642" s="111"/>
      <c r="AX642" s="111"/>
      <c r="AY642" s="111"/>
      <c r="AZ642" s="111"/>
      <c r="BA642" s="111"/>
      <c r="BB642" s="111"/>
      <c r="BC642" s="111"/>
      <c r="BD642" s="111"/>
      <c r="BE642" s="111"/>
      <c r="BF642" s="111"/>
    </row>
    <row r="643" ht="14.25" customHeight="1">
      <c r="A643" s="111"/>
      <c r="B643" s="111"/>
      <c r="C643" s="112"/>
      <c r="D643" s="112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  <c r="AL643" s="111"/>
      <c r="AM643" s="111"/>
      <c r="AN643" s="111"/>
      <c r="AO643" s="111"/>
      <c r="AP643" s="111"/>
      <c r="AQ643" s="111"/>
      <c r="AR643" s="111"/>
      <c r="AS643" s="111"/>
      <c r="AT643" s="111"/>
      <c r="AU643" s="111"/>
      <c r="AV643" s="111"/>
      <c r="AW643" s="111"/>
      <c r="AX643" s="111"/>
      <c r="AY643" s="111"/>
      <c r="AZ643" s="111"/>
      <c r="BA643" s="111"/>
      <c r="BB643" s="111"/>
      <c r="BC643" s="111"/>
      <c r="BD643" s="111"/>
      <c r="BE643" s="111"/>
      <c r="BF643" s="111"/>
    </row>
    <row r="644" ht="14.25" customHeight="1">
      <c r="A644" s="111"/>
      <c r="B644" s="111"/>
      <c r="C644" s="112"/>
      <c r="D644" s="112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  <c r="AL644" s="111"/>
      <c r="AM644" s="111"/>
      <c r="AN644" s="111"/>
      <c r="AO644" s="111"/>
      <c r="AP644" s="111"/>
      <c r="AQ644" s="111"/>
      <c r="AR644" s="111"/>
      <c r="AS644" s="111"/>
      <c r="AT644" s="111"/>
      <c r="AU644" s="111"/>
      <c r="AV644" s="111"/>
      <c r="AW644" s="111"/>
      <c r="AX644" s="111"/>
      <c r="AY644" s="111"/>
      <c r="AZ644" s="111"/>
      <c r="BA644" s="111"/>
      <c r="BB644" s="111"/>
      <c r="BC644" s="111"/>
      <c r="BD644" s="111"/>
      <c r="BE644" s="111"/>
      <c r="BF644" s="111"/>
    </row>
    <row r="645" ht="14.25" customHeight="1">
      <c r="A645" s="111"/>
      <c r="B645" s="111"/>
      <c r="C645" s="112"/>
      <c r="D645" s="112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  <c r="AL645" s="111"/>
      <c r="AM645" s="111"/>
      <c r="AN645" s="111"/>
      <c r="AO645" s="111"/>
      <c r="AP645" s="111"/>
      <c r="AQ645" s="111"/>
      <c r="AR645" s="111"/>
      <c r="AS645" s="111"/>
      <c r="AT645" s="111"/>
      <c r="AU645" s="111"/>
      <c r="AV645" s="111"/>
      <c r="AW645" s="111"/>
      <c r="AX645" s="111"/>
      <c r="AY645" s="111"/>
      <c r="AZ645" s="111"/>
      <c r="BA645" s="111"/>
      <c r="BB645" s="111"/>
      <c r="BC645" s="111"/>
      <c r="BD645" s="111"/>
      <c r="BE645" s="111"/>
      <c r="BF645" s="111"/>
    </row>
    <row r="646" ht="14.25" customHeight="1">
      <c r="A646" s="111"/>
      <c r="B646" s="111"/>
      <c r="C646" s="112"/>
      <c r="D646" s="112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  <c r="AL646" s="111"/>
      <c r="AM646" s="111"/>
      <c r="AN646" s="111"/>
      <c r="AO646" s="111"/>
      <c r="AP646" s="111"/>
      <c r="AQ646" s="111"/>
      <c r="AR646" s="111"/>
      <c r="AS646" s="111"/>
      <c r="AT646" s="111"/>
      <c r="AU646" s="111"/>
      <c r="AV646" s="111"/>
      <c r="AW646" s="111"/>
      <c r="AX646" s="111"/>
      <c r="AY646" s="111"/>
      <c r="AZ646" s="111"/>
      <c r="BA646" s="111"/>
      <c r="BB646" s="111"/>
      <c r="BC646" s="111"/>
      <c r="BD646" s="111"/>
      <c r="BE646" s="111"/>
      <c r="BF646" s="111"/>
    </row>
    <row r="647" ht="14.25" customHeight="1">
      <c r="A647" s="111"/>
      <c r="B647" s="111"/>
      <c r="C647" s="112"/>
      <c r="D647" s="112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  <c r="AL647" s="111"/>
      <c r="AM647" s="111"/>
      <c r="AN647" s="111"/>
      <c r="AO647" s="111"/>
      <c r="AP647" s="111"/>
      <c r="AQ647" s="111"/>
      <c r="AR647" s="111"/>
      <c r="AS647" s="111"/>
      <c r="AT647" s="111"/>
      <c r="AU647" s="111"/>
      <c r="AV647" s="111"/>
      <c r="AW647" s="111"/>
      <c r="AX647" s="111"/>
      <c r="AY647" s="111"/>
      <c r="AZ647" s="111"/>
      <c r="BA647" s="111"/>
      <c r="BB647" s="111"/>
      <c r="BC647" s="111"/>
      <c r="BD647" s="111"/>
      <c r="BE647" s="111"/>
      <c r="BF647" s="111"/>
    </row>
    <row r="648" ht="14.25" customHeight="1">
      <c r="A648" s="111"/>
      <c r="B648" s="111"/>
      <c r="C648" s="112"/>
      <c r="D648" s="112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  <c r="AR648" s="111"/>
      <c r="AS648" s="111"/>
      <c r="AT648" s="111"/>
      <c r="AU648" s="111"/>
      <c r="AV648" s="111"/>
      <c r="AW648" s="111"/>
      <c r="AX648" s="111"/>
      <c r="AY648" s="111"/>
      <c r="AZ648" s="111"/>
      <c r="BA648" s="111"/>
      <c r="BB648" s="111"/>
      <c r="BC648" s="111"/>
      <c r="BD648" s="111"/>
      <c r="BE648" s="111"/>
      <c r="BF648" s="111"/>
    </row>
    <row r="649" ht="14.25" customHeight="1">
      <c r="A649" s="111"/>
      <c r="B649" s="111"/>
      <c r="C649" s="112"/>
      <c r="D649" s="112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  <c r="AR649" s="111"/>
      <c r="AS649" s="111"/>
      <c r="AT649" s="111"/>
      <c r="AU649" s="111"/>
      <c r="AV649" s="111"/>
      <c r="AW649" s="111"/>
      <c r="AX649" s="111"/>
      <c r="AY649" s="111"/>
      <c r="AZ649" s="111"/>
      <c r="BA649" s="111"/>
      <c r="BB649" s="111"/>
      <c r="BC649" s="111"/>
      <c r="BD649" s="111"/>
      <c r="BE649" s="111"/>
      <c r="BF649" s="111"/>
    </row>
    <row r="650" ht="14.25" customHeight="1">
      <c r="A650" s="111"/>
      <c r="B650" s="111"/>
      <c r="C650" s="112"/>
      <c r="D650" s="112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  <c r="AL650" s="111"/>
      <c r="AM650" s="111"/>
      <c r="AN650" s="111"/>
      <c r="AO650" s="111"/>
      <c r="AP650" s="111"/>
      <c r="AQ650" s="111"/>
      <c r="AR650" s="111"/>
      <c r="AS650" s="111"/>
      <c r="AT650" s="111"/>
      <c r="AU650" s="111"/>
      <c r="AV650" s="111"/>
      <c r="AW650" s="111"/>
      <c r="AX650" s="111"/>
      <c r="AY650" s="111"/>
      <c r="AZ650" s="111"/>
      <c r="BA650" s="111"/>
      <c r="BB650" s="111"/>
      <c r="BC650" s="111"/>
      <c r="BD650" s="111"/>
      <c r="BE650" s="111"/>
      <c r="BF650" s="111"/>
    </row>
    <row r="651" ht="14.25" customHeight="1">
      <c r="A651" s="111"/>
      <c r="B651" s="111"/>
      <c r="C651" s="112"/>
      <c r="D651" s="112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  <c r="AR651" s="111"/>
      <c r="AS651" s="111"/>
      <c r="AT651" s="111"/>
      <c r="AU651" s="111"/>
      <c r="AV651" s="111"/>
      <c r="AW651" s="111"/>
      <c r="AX651" s="111"/>
      <c r="AY651" s="111"/>
      <c r="AZ651" s="111"/>
      <c r="BA651" s="111"/>
      <c r="BB651" s="111"/>
      <c r="BC651" s="111"/>
      <c r="BD651" s="111"/>
      <c r="BE651" s="111"/>
      <c r="BF651" s="111"/>
    </row>
    <row r="652" ht="14.25" customHeight="1">
      <c r="A652" s="111"/>
      <c r="B652" s="111"/>
      <c r="C652" s="112"/>
      <c r="D652" s="112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  <c r="AL652" s="111"/>
      <c r="AM652" s="111"/>
      <c r="AN652" s="111"/>
      <c r="AO652" s="111"/>
      <c r="AP652" s="111"/>
      <c r="AQ652" s="111"/>
      <c r="AR652" s="111"/>
      <c r="AS652" s="111"/>
      <c r="AT652" s="111"/>
      <c r="AU652" s="111"/>
      <c r="AV652" s="111"/>
      <c r="AW652" s="111"/>
      <c r="AX652" s="111"/>
      <c r="AY652" s="111"/>
      <c r="AZ652" s="111"/>
      <c r="BA652" s="111"/>
      <c r="BB652" s="111"/>
      <c r="BC652" s="111"/>
      <c r="BD652" s="111"/>
      <c r="BE652" s="111"/>
      <c r="BF652" s="111"/>
    </row>
    <row r="653" ht="14.25" customHeight="1">
      <c r="A653" s="111"/>
      <c r="B653" s="111"/>
      <c r="C653" s="112"/>
      <c r="D653" s="112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  <c r="AL653" s="111"/>
      <c r="AM653" s="111"/>
      <c r="AN653" s="111"/>
      <c r="AO653" s="111"/>
      <c r="AP653" s="111"/>
      <c r="AQ653" s="111"/>
      <c r="AR653" s="111"/>
      <c r="AS653" s="111"/>
      <c r="AT653" s="111"/>
      <c r="AU653" s="111"/>
      <c r="AV653" s="111"/>
      <c r="AW653" s="111"/>
      <c r="AX653" s="111"/>
      <c r="AY653" s="111"/>
      <c r="AZ653" s="111"/>
      <c r="BA653" s="111"/>
      <c r="BB653" s="111"/>
      <c r="BC653" s="111"/>
      <c r="BD653" s="111"/>
      <c r="BE653" s="111"/>
      <c r="BF653" s="111"/>
    </row>
    <row r="654" ht="14.25" customHeight="1">
      <c r="A654" s="111"/>
      <c r="B654" s="111"/>
      <c r="C654" s="112"/>
      <c r="D654" s="112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  <c r="AL654" s="111"/>
      <c r="AM654" s="111"/>
      <c r="AN654" s="111"/>
      <c r="AO654" s="111"/>
      <c r="AP654" s="111"/>
      <c r="AQ654" s="111"/>
      <c r="AR654" s="111"/>
      <c r="AS654" s="111"/>
      <c r="AT654" s="111"/>
      <c r="AU654" s="111"/>
      <c r="AV654" s="111"/>
      <c r="AW654" s="111"/>
      <c r="AX654" s="111"/>
      <c r="AY654" s="111"/>
      <c r="AZ654" s="111"/>
      <c r="BA654" s="111"/>
      <c r="BB654" s="111"/>
      <c r="BC654" s="111"/>
      <c r="BD654" s="111"/>
      <c r="BE654" s="111"/>
      <c r="BF654" s="111"/>
    </row>
    <row r="655" ht="14.25" customHeight="1">
      <c r="A655" s="111"/>
      <c r="B655" s="111"/>
      <c r="C655" s="112"/>
      <c r="D655" s="112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  <c r="AL655" s="111"/>
      <c r="AM655" s="111"/>
      <c r="AN655" s="111"/>
      <c r="AO655" s="111"/>
      <c r="AP655" s="111"/>
      <c r="AQ655" s="111"/>
      <c r="AR655" s="111"/>
      <c r="AS655" s="111"/>
      <c r="AT655" s="111"/>
      <c r="AU655" s="111"/>
      <c r="AV655" s="111"/>
      <c r="AW655" s="111"/>
      <c r="AX655" s="111"/>
      <c r="AY655" s="111"/>
      <c r="AZ655" s="111"/>
      <c r="BA655" s="111"/>
      <c r="BB655" s="111"/>
      <c r="BC655" s="111"/>
      <c r="BD655" s="111"/>
      <c r="BE655" s="111"/>
      <c r="BF655" s="111"/>
    </row>
    <row r="656" ht="14.25" customHeight="1">
      <c r="A656" s="111"/>
      <c r="B656" s="111"/>
      <c r="C656" s="112"/>
      <c r="D656" s="112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  <c r="AL656" s="111"/>
      <c r="AM656" s="111"/>
      <c r="AN656" s="111"/>
      <c r="AO656" s="111"/>
      <c r="AP656" s="111"/>
      <c r="AQ656" s="111"/>
      <c r="AR656" s="111"/>
      <c r="AS656" s="111"/>
      <c r="AT656" s="111"/>
      <c r="AU656" s="111"/>
      <c r="AV656" s="111"/>
      <c r="AW656" s="111"/>
      <c r="AX656" s="111"/>
      <c r="AY656" s="111"/>
      <c r="AZ656" s="111"/>
      <c r="BA656" s="111"/>
      <c r="BB656" s="111"/>
      <c r="BC656" s="111"/>
      <c r="BD656" s="111"/>
      <c r="BE656" s="111"/>
      <c r="BF656" s="111"/>
    </row>
    <row r="657" ht="14.25" customHeight="1">
      <c r="A657" s="111"/>
      <c r="B657" s="111"/>
      <c r="C657" s="112"/>
      <c r="D657" s="112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  <c r="AL657" s="111"/>
      <c r="AM657" s="111"/>
      <c r="AN657" s="111"/>
      <c r="AO657" s="111"/>
      <c r="AP657" s="111"/>
      <c r="AQ657" s="111"/>
      <c r="AR657" s="111"/>
      <c r="AS657" s="111"/>
      <c r="AT657" s="111"/>
      <c r="AU657" s="111"/>
      <c r="AV657" s="111"/>
      <c r="AW657" s="111"/>
      <c r="AX657" s="111"/>
      <c r="AY657" s="111"/>
      <c r="AZ657" s="111"/>
      <c r="BA657" s="111"/>
      <c r="BB657" s="111"/>
      <c r="BC657" s="111"/>
      <c r="BD657" s="111"/>
      <c r="BE657" s="111"/>
      <c r="BF657" s="111"/>
    </row>
    <row r="658" ht="14.25" customHeight="1">
      <c r="A658" s="111"/>
      <c r="B658" s="111"/>
      <c r="C658" s="112"/>
      <c r="D658" s="112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  <c r="AL658" s="111"/>
      <c r="AM658" s="111"/>
      <c r="AN658" s="111"/>
      <c r="AO658" s="111"/>
      <c r="AP658" s="111"/>
      <c r="AQ658" s="111"/>
      <c r="AR658" s="111"/>
      <c r="AS658" s="111"/>
      <c r="AT658" s="111"/>
      <c r="AU658" s="111"/>
      <c r="AV658" s="111"/>
      <c r="AW658" s="111"/>
      <c r="AX658" s="111"/>
      <c r="AY658" s="111"/>
      <c r="AZ658" s="111"/>
      <c r="BA658" s="111"/>
      <c r="BB658" s="111"/>
      <c r="BC658" s="111"/>
      <c r="BD658" s="111"/>
      <c r="BE658" s="111"/>
      <c r="BF658" s="111"/>
    </row>
    <row r="659" ht="14.25" customHeight="1">
      <c r="A659" s="111"/>
      <c r="B659" s="111"/>
      <c r="C659" s="112"/>
      <c r="D659" s="112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  <c r="AL659" s="111"/>
      <c r="AM659" s="111"/>
      <c r="AN659" s="111"/>
      <c r="AO659" s="111"/>
      <c r="AP659" s="111"/>
      <c r="AQ659" s="111"/>
      <c r="AR659" s="111"/>
      <c r="AS659" s="111"/>
      <c r="AT659" s="111"/>
      <c r="AU659" s="111"/>
      <c r="AV659" s="111"/>
      <c r="AW659" s="111"/>
      <c r="AX659" s="111"/>
      <c r="AY659" s="111"/>
      <c r="AZ659" s="111"/>
      <c r="BA659" s="111"/>
      <c r="BB659" s="111"/>
      <c r="BC659" s="111"/>
      <c r="BD659" s="111"/>
      <c r="BE659" s="111"/>
      <c r="BF659" s="111"/>
    </row>
    <row r="660" ht="14.25" customHeight="1">
      <c r="A660" s="111"/>
      <c r="B660" s="111"/>
      <c r="C660" s="112"/>
      <c r="D660" s="112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  <c r="AL660" s="111"/>
      <c r="AM660" s="111"/>
      <c r="AN660" s="111"/>
      <c r="AO660" s="111"/>
      <c r="AP660" s="111"/>
      <c r="AQ660" s="111"/>
      <c r="AR660" s="111"/>
      <c r="AS660" s="111"/>
      <c r="AT660" s="111"/>
      <c r="AU660" s="111"/>
      <c r="AV660" s="111"/>
      <c r="AW660" s="111"/>
      <c r="AX660" s="111"/>
      <c r="AY660" s="111"/>
      <c r="AZ660" s="111"/>
      <c r="BA660" s="111"/>
      <c r="BB660" s="111"/>
      <c r="BC660" s="111"/>
      <c r="BD660" s="111"/>
      <c r="BE660" s="111"/>
      <c r="BF660" s="111"/>
    </row>
    <row r="661" ht="14.25" customHeight="1">
      <c r="A661" s="111"/>
      <c r="B661" s="111"/>
      <c r="C661" s="112"/>
      <c r="D661" s="112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  <c r="AL661" s="111"/>
      <c r="AM661" s="111"/>
      <c r="AN661" s="111"/>
      <c r="AO661" s="111"/>
      <c r="AP661" s="111"/>
      <c r="AQ661" s="111"/>
      <c r="AR661" s="111"/>
      <c r="AS661" s="111"/>
      <c r="AT661" s="111"/>
      <c r="AU661" s="111"/>
      <c r="AV661" s="111"/>
      <c r="AW661" s="111"/>
      <c r="AX661" s="111"/>
      <c r="AY661" s="111"/>
      <c r="AZ661" s="111"/>
      <c r="BA661" s="111"/>
      <c r="BB661" s="111"/>
      <c r="BC661" s="111"/>
      <c r="BD661" s="111"/>
      <c r="BE661" s="111"/>
      <c r="BF661" s="111"/>
    </row>
    <row r="662" ht="14.25" customHeight="1">
      <c r="A662" s="111"/>
      <c r="B662" s="111"/>
      <c r="C662" s="112"/>
      <c r="D662" s="112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  <c r="AL662" s="111"/>
      <c r="AM662" s="111"/>
      <c r="AN662" s="111"/>
      <c r="AO662" s="111"/>
      <c r="AP662" s="111"/>
      <c r="AQ662" s="111"/>
      <c r="AR662" s="111"/>
      <c r="AS662" s="111"/>
      <c r="AT662" s="111"/>
      <c r="AU662" s="111"/>
      <c r="AV662" s="111"/>
      <c r="AW662" s="111"/>
      <c r="AX662" s="111"/>
      <c r="AY662" s="111"/>
      <c r="AZ662" s="111"/>
      <c r="BA662" s="111"/>
      <c r="BB662" s="111"/>
      <c r="BC662" s="111"/>
      <c r="BD662" s="111"/>
      <c r="BE662" s="111"/>
      <c r="BF662" s="111"/>
    </row>
    <row r="663" ht="14.25" customHeight="1">
      <c r="A663" s="111"/>
      <c r="B663" s="111"/>
      <c r="C663" s="112"/>
      <c r="D663" s="112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  <c r="AL663" s="111"/>
      <c r="AM663" s="111"/>
      <c r="AN663" s="111"/>
      <c r="AO663" s="111"/>
      <c r="AP663" s="111"/>
      <c r="AQ663" s="111"/>
      <c r="AR663" s="111"/>
      <c r="AS663" s="111"/>
      <c r="AT663" s="111"/>
      <c r="AU663" s="111"/>
      <c r="AV663" s="111"/>
      <c r="AW663" s="111"/>
      <c r="AX663" s="111"/>
      <c r="AY663" s="111"/>
      <c r="AZ663" s="111"/>
      <c r="BA663" s="111"/>
      <c r="BB663" s="111"/>
      <c r="BC663" s="111"/>
      <c r="BD663" s="111"/>
      <c r="BE663" s="111"/>
      <c r="BF663" s="111"/>
    </row>
    <row r="664" ht="14.25" customHeight="1">
      <c r="A664" s="111"/>
      <c r="B664" s="111"/>
      <c r="C664" s="112"/>
      <c r="D664" s="112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  <c r="AL664" s="111"/>
      <c r="AM664" s="111"/>
      <c r="AN664" s="111"/>
      <c r="AO664" s="111"/>
      <c r="AP664" s="111"/>
      <c r="AQ664" s="111"/>
      <c r="AR664" s="111"/>
      <c r="AS664" s="111"/>
      <c r="AT664" s="111"/>
      <c r="AU664" s="111"/>
      <c r="AV664" s="111"/>
      <c r="AW664" s="111"/>
      <c r="AX664" s="111"/>
      <c r="AY664" s="111"/>
      <c r="AZ664" s="111"/>
      <c r="BA664" s="111"/>
      <c r="BB664" s="111"/>
      <c r="BC664" s="111"/>
      <c r="BD664" s="111"/>
      <c r="BE664" s="111"/>
      <c r="BF664" s="111"/>
    </row>
    <row r="665" ht="14.25" customHeight="1">
      <c r="A665" s="111"/>
      <c r="B665" s="111"/>
      <c r="C665" s="112"/>
      <c r="D665" s="112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  <c r="AL665" s="111"/>
      <c r="AM665" s="111"/>
      <c r="AN665" s="111"/>
      <c r="AO665" s="111"/>
      <c r="AP665" s="111"/>
      <c r="AQ665" s="111"/>
      <c r="AR665" s="111"/>
      <c r="AS665" s="111"/>
      <c r="AT665" s="111"/>
      <c r="AU665" s="111"/>
      <c r="AV665" s="111"/>
      <c r="AW665" s="111"/>
      <c r="AX665" s="111"/>
      <c r="AY665" s="111"/>
      <c r="AZ665" s="111"/>
      <c r="BA665" s="111"/>
      <c r="BB665" s="111"/>
      <c r="BC665" s="111"/>
      <c r="BD665" s="111"/>
      <c r="BE665" s="111"/>
      <c r="BF665" s="111"/>
    </row>
    <row r="666" ht="14.25" customHeight="1">
      <c r="A666" s="111"/>
      <c r="B666" s="111"/>
      <c r="C666" s="112"/>
      <c r="D666" s="112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  <c r="AL666" s="111"/>
      <c r="AM666" s="111"/>
      <c r="AN666" s="111"/>
      <c r="AO666" s="111"/>
      <c r="AP666" s="111"/>
      <c r="AQ666" s="111"/>
      <c r="AR666" s="111"/>
      <c r="AS666" s="111"/>
      <c r="AT666" s="111"/>
      <c r="AU666" s="111"/>
      <c r="AV666" s="111"/>
      <c r="AW666" s="111"/>
      <c r="AX666" s="111"/>
      <c r="AY666" s="111"/>
      <c r="AZ666" s="111"/>
      <c r="BA666" s="111"/>
      <c r="BB666" s="111"/>
      <c r="BC666" s="111"/>
      <c r="BD666" s="111"/>
      <c r="BE666" s="111"/>
      <c r="BF666" s="111"/>
    </row>
    <row r="667" ht="14.25" customHeight="1">
      <c r="A667" s="111"/>
      <c r="B667" s="111"/>
      <c r="C667" s="112"/>
      <c r="D667" s="112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  <c r="AL667" s="111"/>
      <c r="AM667" s="111"/>
      <c r="AN667" s="111"/>
      <c r="AO667" s="111"/>
      <c r="AP667" s="111"/>
      <c r="AQ667" s="111"/>
      <c r="AR667" s="111"/>
      <c r="AS667" s="111"/>
      <c r="AT667" s="111"/>
      <c r="AU667" s="111"/>
      <c r="AV667" s="111"/>
      <c r="AW667" s="111"/>
      <c r="AX667" s="111"/>
      <c r="AY667" s="111"/>
      <c r="AZ667" s="111"/>
      <c r="BA667" s="111"/>
      <c r="BB667" s="111"/>
      <c r="BC667" s="111"/>
      <c r="BD667" s="111"/>
      <c r="BE667" s="111"/>
      <c r="BF667" s="111"/>
    </row>
    <row r="668" ht="14.25" customHeight="1">
      <c r="A668" s="111"/>
      <c r="B668" s="111"/>
      <c r="C668" s="112"/>
      <c r="D668" s="112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  <c r="AL668" s="111"/>
      <c r="AM668" s="111"/>
      <c r="AN668" s="111"/>
      <c r="AO668" s="111"/>
      <c r="AP668" s="111"/>
      <c r="AQ668" s="111"/>
      <c r="AR668" s="111"/>
      <c r="AS668" s="111"/>
      <c r="AT668" s="111"/>
      <c r="AU668" s="111"/>
      <c r="AV668" s="111"/>
      <c r="AW668" s="111"/>
      <c r="AX668" s="111"/>
      <c r="AY668" s="111"/>
      <c r="AZ668" s="111"/>
      <c r="BA668" s="111"/>
      <c r="BB668" s="111"/>
      <c r="BC668" s="111"/>
      <c r="BD668" s="111"/>
      <c r="BE668" s="111"/>
      <c r="BF668" s="111"/>
    </row>
    <row r="669" ht="14.25" customHeight="1">
      <c r="A669" s="111"/>
      <c r="B669" s="111"/>
      <c r="C669" s="112"/>
      <c r="D669" s="112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  <c r="AL669" s="111"/>
      <c r="AM669" s="111"/>
      <c r="AN669" s="111"/>
      <c r="AO669" s="111"/>
      <c r="AP669" s="111"/>
      <c r="AQ669" s="111"/>
      <c r="AR669" s="111"/>
      <c r="AS669" s="111"/>
      <c r="AT669" s="111"/>
      <c r="AU669" s="111"/>
      <c r="AV669" s="111"/>
      <c r="AW669" s="111"/>
      <c r="AX669" s="111"/>
      <c r="AY669" s="111"/>
      <c r="AZ669" s="111"/>
      <c r="BA669" s="111"/>
      <c r="BB669" s="111"/>
      <c r="BC669" s="111"/>
      <c r="BD669" s="111"/>
      <c r="BE669" s="111"/>
      <c r="BF669" s="111"/>
    </row>
    <row r="670" ht="14.25" customHeight="1">
      <c r="A670" s="111"/>
      <c r="B670" s="111"/>
      <c r="C670" s="112"/>
      <c r="D670" s="112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/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/>
      <c r="BB670" s="111"/>
      <c r="BC670" s="111"/>
      <c r="BD670" s="111"/>
      <c r="BE670" s="111"/>
      <c r="BF670" s="111"/>
    </row>
    <row r="671" ht="14.25" customHeight="1">
      <c r="A671" s="111"/>
      <c r="B671" s="111"/>
      <c r="C671" s="112"/>
      <c r="D671" s="112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/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/>
      <c r="BB671" s="111"/>
      <c r="BC671" s="111"/>
      <c r="BD671" s="111"/>
      <c r="BE671" s="111"/>
      <c r="BF671" s="111"/>
    </row>
    <row r="672" ht="14.25" customHeight="1">
      <c r="A672" s="111"/>
      <c r="B672" s="111"/>
      <c r="C672" s="112"/>
      <c r="D672" s="112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  <c r="AL672" s="111"/>
      <c r="AM672" s="111"/>
      <c r="AN672" s="111"/>
      <c r="AO672" s="111"/>
      <c r="AP672" s="111"/>
      <c r="AQ672" s="111"/>
      <c r="AR672" s="111"/>
      <c r="AS672" s="111"/>
      <c r="AT672" s="111"/>
      <c r="AU672" s="111"/>
      <c r="AV672" s="111"/>
      <c r="AW672" s="111"/>
      <c r="AX672" s="111"/>
      <c r="AY672" s="111"/>
      <c r="AZ672" s="111"/>
      <c r="BA672" s="111"/>
      <c r="BB672" s="111"/>
      <c r="BC672" s="111"/>
      <c r="BD672" s="111"/>
      <c r="BE672" s="111"/>
      <c r="BF672" s="111"/>
    </row>
    <row r="673" ht="14.25" customHeight="1">
      <c r="A673" s="111"/>
      <c r="B673" s="111"/>
      <c r="C673" s="112"/>
      <c r="D673" s="112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/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/>
      <c r="BB673" s="111"/>
      <c r="BC673" s="111"/>
      <c r="BD673" s="111"/>
      <c r="BE673" s="111"/>
      <c r="BF673" s="111"/>
    </row>
    <row r="674" ht="14.25" customHeight="1">
      <c r="A674" s="111"/>
      <c r="B674" s="111"/>
      <c r="C674" s="112"/>
      <c r="D674" s="112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  <c r="AL674" s="111"/>
      <c r="AM674" s="111"/>
      <c r="AN674" s="111"/>
      <c r="AO674" s="111"/>
      <c r="AP674" s="111"/>
      <c r="AQ674" s="111"/>
      <c r="AR674" s="111"/>
      <c r="AS674" s="111"/>
      <c r="AT674" s="111"/>
      <c r="AU674" s="111"/>
      <c r="AV674" s="111"/>
      <c r="AW674" s="111"/>
      <c r="AX674" s="111"/>
      <c r="AY674" s="111"/>
      <c r="AZ674" s="111"/>
      <c r="BA674" s="111"/>
      <c r="BB674" s="111"/>
      <c r="BC674" s="111"/>
      <c r="BD674" s="111"/>
      <c r="BE674" s="111"/>
      <c r="BF674" s="111"/>
    </row>
    <row r="675" ht="14.25" customHeight="1">
      <c r="A675" s="111"/>
      <c r="B675" s="111"/>
      <c r="C675" s="112"/>
      <c r="D675" s="112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  <c r="AL675" s="111"/>
      <c r="AM675" s="111"/>
      <c r="AN675" s="111"/>
      <c r="AO675" s="111"/>
      <c r="AP675" s="111"/>
      <c r="AQ675" s="111"/>
      <c r="AR675" s="111"/>
      <c r="AS675" s="111"/>
      <c r="AT675" s="111"/>
      <c r="AU675" s="111"/>
      <c r="AV675" s="111"/>
      <c r="AW675" s="111"/>
      <c r="AX675" s="111"/>
      <c r="AY675" s="111"/>
      <c r="AZ675" s="111"/>
      <c r="BA675" s="111"/>
      <c r="BB675" s="111"/>
      <c r="BC675" s="111"/>
      <c r="BD675" s="111"/>
      <c r="BE675" s="111"/>
      <c r="BF675" s="111"/>
    </row>
    <row r="676" ht="14.25" customHeight="1">
      <c r="A676" s="111"/>
      <c r="B676" s="111"/>
      <c r="C676" s="112"/>
      <c r="D676" s="112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  <c r="AL676" s="111"/>
      <c r="AM676" s="111"/>
      <c r="AN676" s="111"/>
      <c r="AO676" s="111"/>
      <c r="AP676" s="111"/>
      <c r="AQ676" s="111"/>
      <c r="AR676" s="111"/>
      <c r="AS676" s="111"/>
      <c r="AT676" s="111"/>
      <c r="AU676" s="111"/>
      <c r="AV676" s="111"/>
      <c r="AW676" s="111"/>
      <c r="AX676" s="111"/>
      <c r="AY676" s="111"/>
      <c r="AZ676" s="111"/>
      <c r="BA676" s="111"/>
      <c r="BB676" s="111"/>
      <c r="BC676" s="111"/>
      <c r="BD676" s="111"/>
      <c r="BE676" s="111"/>
      <c r="BF676" s="111"/>
    </row>
    <row r="677" ht="14.25" customHeight="1">
      <c r="A677" s="111"/>
      <c r="B677" s="111"/>
      <c r="C677" s="112"/>
      <c r="D677" s="112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  <c r="AL677" s="111"/>
      <c r="AM677" s="111"/>
      <c r="AN677" s="111"/>
      <c r="AO677" s="111"/>
      <c r="AP677" s="111"/>
      <c r="AQ677" s="111"/>
      <c r="AR677" s="111"/>
      <c r="AS677" s="111"/>
      <c r="AT677" s="111"/>
      <c r="AU677" s="111"/>
      <c r="AV677" s="111"/>
      <c r="AW677" s="111"/>
      <c r="AX677" s="111"/>
      <c r="AY677" s="111"/>
      <c r="AZ677" s="111"/>
      <c r="BA677" s="111"/>
      <c r="BB677" s="111"/>
      <c r="BC677" s="111"/>
      <c r="BD677" s="111"/>
      <c r="BE677" s="111"/>
      <c r="BF677" s="111"/>
    </row>
    <row r="678" ht="14.25" customHeight="1">
      <c r="A678" s="111"/>
      <c r="B678" s="111"/>
      <c r="C678" s="112"/>
      <c r="D678" s="112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  <c r="AL678" s="111"/>
      <c r="AM678" s="111"/>
      <c r="AN678" s="111"/>
      <c r="AO678" s="111"/>
      <c r="AP678" s="111"/>
      <c r="AQ678" s="111"/>
      <c r="AR678" s="111"/>
      <c r="AS678" s="111"/>
      <c r="AT678" s="111"/>
      <c r="AU678" s="111"/>
      <c r="AV678" s="111"/>
      <c r="AW678" s="111"/>
      <c r="AX678" s="111"/>
      <c r="AY678" s="111"/>
      <c r="AZ678" s="111"/>
      <c r="BA678" s="111"/>
      <c r="BB678" s="111"/>
      <c r="BC678" s="111"/>
      <c r="BD678" s="111"/>
      <c r="BE678" s="111"/>
      <c r="BF678" s="111"/>
    </row>
    <row r="679" ht="14.25" customHeight="1">
      <c r="A679" s="111"/>
      <c r="B679" s="111"/>
      <c r="C679" s="112"/>
      <c r="D679" s="112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  <c r="AL679" s="111"/>
      <c r="AM679" s="111"/>
      <c r="AN679" s="111"/>
      <c r="AO679" s="111"/>
      <c r="AP679" s="111"/>
      <c r="AQ679" s="111"/>
      <c r="AR679" s="111"/>
      <c r="AS679" s="111"/>
      <c r="AT679" s="111"/>
      <c r="AU679" s="111"/>
      <c r="AV679" s="111"/>
      <c r="AW679" s="111"/>
      <c r="AX679" s="111"/>
      <c r="AY679" s="111"/>
      <c r="AZ679" s="111"/>
      <c r="BA679" s="111"/>
      <c r="BB679" s="111"/>
      <c r="BC679" s="111"/>
      <c r="BD679" s="111"/>
      <c r="BE679" s="111"/>
      <c r="BF679" s="111"/>
    </row>
    <row r="680" ht="14.25" customHeight="1">
      <c r="A680" s="111"/>
      <c r="B680" s="111"/>
      <c r="C680" s="112"/>
      <c r="D680" s="112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  <c r="AL680" s="111"/>
      <c r="AM680" s="111"/>
      <c r="AN680" s="111"/>
      <c r="AO680" s="111"/>
      <c r="AP680" s="111"/>
      <c r="AQ680" s="111"/>
      <c r="AR680" s="111"/>
      <c r="AS680" s="111"/>
      <c r="AT680" s="111"/>
      <c r="AU680" s="111"/>
      <c r="AV680" s="111"/>
      <c r="AW680" s="111"/>
      <c r="AX680" s="111"/>
      <c r="AY680" s="111"/>
      <c r="AZ680" s="111"/>
      <c r="BA680" s="111"/>
      <c r="BB680" s="111"/>
      <c r="BC680" s="111"/>
      <c r="BD680" s="111"/>
      <c r="BE680" s="111"/>
      <c r="BF680" s="111"/>
    </row>
    <row r="681" ht="14.25" customHeight="1">
      <c r="A681" s="111"/>
      <c r="B681" s="111"/>
      <c r="C681" s="112"/>
      <c r="D681" s="112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  <c r="AL681" s="111"/>
      <c r="AM681" s="111"/>
      <c r="AN681" s="111"/>
      <c r="AO681" s="111"/>
      <c r="AP681" s="111"/>
      <c r="AQ681" s="111"/>
      <c r="AR681" s="111"/>
      <c r="AS681" s="111"/>
      <c r="AT681" s="111"/>
      <c r="AU681" s="111"/>
      <c r="AV681" s="111"/>
      <c r="AW681" s="111"/>
      <c r="AX681" s="111"/>
      <c r="AY681" s="111"/>
      <c r="AZ681" s="111"/>
      <c r="BA681" s="111"/>
      <c r="BB681" s="111"/>
      <c r="BC681" s="111"/>
      <c r="BD681" s="111"/>
      <c r="BE681" s="111"/>
      <c r="BF681" s="111"/>
    </row>
    <row r="682" ht="14.25" customHeight="1">
      <c r="A682" s="111"/>
      <c r="B682" s="111"/>
      <c r="C682" s="112"/>
      <c r="D682" s="112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  <c r="AL682" s="111"/>
      <c r="AM682" s="111"/>
      <c r="AN682" s="111"/>
      <c r="AO682" s="111"/>
      <c r="AP682" s="111"/>
      <c r="AQ682" s="111"/>
      <c r="AR682" s="111"/>
      <c r="AS682" s="111"/>
      <c r="AT682" s="111"/>
      <c r="AU682" s="111"/>
      <c r="AV682" s="111"/>
      <c r="AW682" s="111"/>
      <c r="AX682" s="111"/>
      <c r="AY682" s="111"/>
      <c r="AZ682" s="111"/>
      <c r="BA682" s="111"/>
      <c r="BB682" s="111"/>
      <c r="BC682" s="111"/>
      <c r="BD682" s="111"/>
      <c r="BE682" s="111"/>
      <c r="BF682" s="111"/>
    </row>
    <row r="683" ht="14.25" customHeight="1">
      <c r="A683" s="111"/>
      <c r="B683" s="111"/>
      <c r="C683" s="112"/>
      <c r="D683" s="112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  <c r="AL683" s="111"/>
      <c r="AM683" s="111"/>
      <c r="AN683" s="111"/>
      <c r="AO683" s="111"/>
      <c r="AP683" s="111"/>
      <c r="AQ683" s="111"/>
      <c r="AR683" s="111"/>
      <c r="AS683" s="111"/>
      <c r="AT683" s="111"/>
      <c r="AU683" s="111"/>
      <c r="AV683" s="111"/>
      <c r="AW683" s="111"/>
      <c r="AX683" s="111"/>
      <c r="AY683" s="111"/>
      <c r="AZ683" s="111"/>
      <c r="BA683" s="111"/>
      <c r="BB683" s="111"/>
      <c r="BC683" s="111"/>
      <c r="BD683" s="111"/>
      <c r="BE683" s="111"/>
      <c r="BF683" s="111"/>
    </row>
    <row r="684" ht="14.25" customHeight="1">
      <c r="A684" s="111"/>
      <c r="B684" s="111"/>
      <c r="C684" s="112"/>
      <c r="D684" s="112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  <c r="AJ684" s="111"/>
      <c r="AK684" s="111"/>
      <c r="AL684" s="111"/>
      <c r="AM684" s="111"/>
      <c r="AN684" s="111"/>
      <c r="AO684" s="111"/>
      <c r="AP684" s="111"/>
      <c r="AQ684" s="111"/>
      <c r="AR684" s="111"/>
      <c r="AS684" s="111"/>
      <c r="AT684" s="111"/>
      <c r="AU684" s="111"/>
      <c r="AV684" s="111"/>
      <c r="AW684" s="111"/>
      <c r="AX684" s="111"/>
      <c r="AY684" s="111"/>
      <c r="AZ684" s="111"/>
      <c r="BA684" s="111"/>
      <c r="BB684" s="111"/>
      <c r="BC684" s="111"/>
      <c r="BD684" s="111"/>
      <c r="BE684" s="111"/>
      <c r="BF684" s="111"/>
    </row>
    <row r="685" ht="14.25" customHeight="1">
      <c r="A685" s="111"/>
      <c r="B685" s="111"/>
      <c r="C685" s="112"/>
      <c r="D685" s="112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  <c r="AJ685" s="111"/>
      <c r="AK685" s="111"/>
      <c r="AL685" s="111"/>
      <c r="AM685" s="111"/>
      <c r="AN685" s="111"/>
      <c r="AO685" s="111"/>
      <c r="AP685" s="111"/>
      <c r="AQ685" s="111"/>
      <c r="AR685" s="111"/>
      <c r="AS685" s="111"/>
      <c r="AT685" s="111"/>
      <c r="AU685" s="111"/>
      <c r="AV685" s="111"/>
      <c r="AW685" s="111"/>
      <c r="AX685" s="111"/>
      <c r="AY685" s="111"/>
      <c r="AZ685" s="111"/>
      <c r="BA685" s="111"/>
      <c r="BB685" s="111"/>
      <c r="BC685" s="111"/>
      <c r="BD685" s="111"/>
      <c r="BE685" s="111"/>
      <c r="BF685" s="111"/>
    </row>
    <row r="686" ht="14.25" customHeight="1">
      <c r="A686" s="111"/>
      <c r="B686" s="111"/>
      <c r="C686" s="112"/>
      <c r="D686" s="112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  <c r="AL686" s="111"/>
      <c r="AM686" s="111"/>
      <c r="AN686" s="111"/>
      <c r="AO686" s="111"/>
      <c r="AP686" s="111"/>
      <c r="AQ686" s="111"/>
      <c r="AR686" s="111"/>
      <c r="AS686" s="111"/>
      <c r="AT686" s="111"/>
      <c r="AU686" s="111"/>
      <c r="AV686" s="111"/>
      <c r="AW686" s="111"/>
      <c r="AX686" s="111"/>
      <c r="AY686" s="111"/>
      <c r="AZ686" s="111"/>
      <c r="BA686" s="111"/>
      <c r="BB686" s="111"/>
      <c r="BC686" s="111"/>
      <c r="BD686" s="111"/>
      <c r="BE686" s="111"/>
      <c r="BF686" s="111"/>
    </row>
    <row r="687" ht="14.25" customHeight="1">
      <c r="A687" s="111"/>
      <c r="B687" s="111"/>
      <c r="C687" s="112"/>
      <c r="D687" s="112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  <c r="AL687" s="111"/>
      <c r="AM687" s="111"/>
      <c r="AN687" s="111"/>
      <c r="AO687" s="111"/>
      <c r="AP687" s="111"/>
      <c r="AQ687" s="111"/>
      <c r="AR687" s="111"/>
      <c r="AS687" s="111"/>
      <c r="AT687" s="111"/>
      <c r="AU687" s="111"/>
      <c r="AV687" s="111"/>
      <c r="AW687" s="111"/>
      <c r="AX687" s="111"/>
      <c r="AY687" s="111"/>
      <c r="AZ687" s="111"/>
      <c r="BA687" s="111"/>
      <c r="BB687" s="111"/>
      <c r="BC687" s="111"/>
      <c r="BD687" s="111"/>
      <c r="BE687" s="111"/>
      <c r="BF687" s="111"/>
    </row>
    <row r="688" ht="14.25" customHeight="1">
      <c r="A688" s="111"/>
      <c r="B688" s="111"/>
      <c r="C688" s="112"/>
      <c r="D688" s="112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  <c r="AM688" s="111"/>
      <c r="AN688" s="111"/>
      <c r="AO688" s="111"/>
      <c r="AP688" s="111"/>
      <c r="AQ688" s="111"/>
      <c r="AR688" s="111"/>
      <c r="AS688" s="111"/>
      <c r="AT688" s="111"/>
      <c r="AU688" s="111"/>
      <c r="AV688" s="111"/>
      <c r="AW688" s="111"/>
      <c r="AX688" s="111"/>
      <c r="AY688" s="111"/>
      <c r="AZ688" s="111"/>
      <c r="BA688" s="111"/>
      <c r="BB688" s="111"/>
      <c r="BC688" s="111"/>
      <c r="BD688" s="111"/>
      <c r="BE688" s="111"/>
      <c r="BF688" s="111"/>
    </row>
    <row r="689" ht="14.25" customHeight="1">
      <c r="A689" s="111"/>
      <c r="B689" s="111"/>
      <c r="C689" s="112"/>
      <c r="D689" s="112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  <c r="AL689" s="111"/>
      <c r="AM689" s="111"/>
      <c r="AN689" s="111"/>
      <c r="AO689" s="111"/>
      <c r="AP689" s="111"/>
      <c r="AQ689" s="111"/>
      <c r="AR689" s="111"/>
      <c r="AS689" s="111"/>
      <c r="AT689" s="111"/>
      <c r="AU689" s="111"/>
      <c r="AV689" s="111"/>
      <c r="AW689" s="111"/>
      <c r="AX689" s="111"/>
      <c r="AY689" s="111"/>
      <c r="AZ689" s="111"/>
      <c r="BA689" s="111"/>
      <c r="BB689" s="111"/>
      <c r="BC689" s="111"/>
      <c r="BD689" s="111"/>
      <c r="BE689" s="111"/>
      <c r="BF689" s="111"/>
    </row>
    <row r="690" ht="14.25" customHeight="1">
      <c r="A690" s="111"/>
      <c r="B690" s="111"/>
      <c r="C690" s="112"/>
      <c r="D690" s="112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  <c r="AL690" s="111"/>
      <c r="AM690" s="111"/>
      <c r="AN690" s="111"/>
      <c r="AO690" s="111"/>
      <c r="AP690" s="111"/>
      <c r="AQ690" s="111"/>
      <c r="AR690" s="111"/>
      <c r="AS690" s="111"/>
      <c r="AT690" s="111"/>
      <c r="AU690" s="111"/>
      <c r="AV690" s="111"/>
      <c r="AW690" s="111"/>
      <c r="AX690" s="111"/>
      <c r="AY690" s="111"/>
      <c r="AZ690" s="111"/>
      <c r="BA690" s="111"/>
      <c r="BB690" s="111"/>
      <c r="BC690" s="111"/>
      <c r="BD690" s="111"/>
      <c r="BE690" s="111"/>
      <c r="BF690" s="111"/>
    </row>
    <row r="691" ht="14.25" customHeight="1">
      <c r="A691" s="111"/>
      <c r="B691" s="111"/>
      <c r="C691" s="112"/>
      <c r="D691" s="112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  <c r="AL691" s="111"/>
      <c r="AM691" s="111"/>
      <c r="AN691" s="111"/>
      <c r="AO691" s="111"/>
      <c r="AP691" s="111"/>
      <c r="AQ691" s="111"/>
      <c r="AR691" s="111"/>
      <c r="AS691" s="111"/>
      <c r="AT691" s="111"/>
      <c r="AU691" s="111"/>
      <c r="AV691" s="111"/>
      <c r="AW691" s="111"/>
      <c r="AX691" s="111"/>
      <c r="AY691" s="111"/>
      <c r="AZ691" s="111"/>
      <c r="BA691" s="111"/>
      <c r="BB691" s="111"/>
      <c r="BC691" s="111"/>
      <c r="BD691" s="111"/>
      <c r="BE691" s="111"/>
      <c r="BF691" s="111"/>
    </row>
    <row r="692" ht="14.25" customHeight="1">
      <c r="A692" s="111"/>
      <c r="B692" s="111"/>
      <c r="C692" s="112"/>
      <c r="D692" s="112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  <c r="AL692" s="111"/>
      <c r="AM692" s="111"/>
      <c r="AN692" s="111"/>
      <c r="AO692" s="111"/>
      <c r="AP692" s="111"/>
      <c r="AQ692" s="111"/>
      <c r="AR692" s="111"/>
      <c r="AS692" s="111"/>
      <c r="AT692" s="111"/>
      <c r="AU692" s="111"/>
      <c r="AV692" s="111"/>
      <c r="AW692" s="111"/>
      <c r="AX692" s="111"/>
      <c r="AY692" s="111"/>
      <c r="AZ692" s="111"/>
      <c r="BA692" s="111"/>
      <c r="BB692" s="111"/>
      <c r="BC692" s="111"/>
      <c r="BD692" s="111"/>
      <c r="BE692" s="111"/>
      <c r="BF692" s="111"/>
    </row>
    <row r="693" ht="14.25" customHeight="1">
      <c r="A693" s="111"/>
      <c r="B693" s="111"/>
      <c r="C693" s="112"/>
      <c r="D693" s="112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  <c r="AL693" s="111"/>
      <c r="AM693" s="111"/>
      <c r="AN693" s="111"/>
      <c r="AO693" s="111"/>
      <c r="AP693" s="111"/>
      <c r="AQ693" s="111"/>
      <c r="AR693" s="111"/>
      <c r="AS693" s="111"/>
      <c r="AT693" s="111"/>
      <c r="AU693" s="111"/>
      <c r="AV693" s="111"/>
      <c r="AW693" s="111"/>
      <c r="AX693" s="111"/>
      <c r="AY693" s="111"/>
      <c r="AZ693" s="111"/>
      <c r="BA693" s="111"/>
      <c r="BB693" s="111"/>
      <c r="BC693" s="111"/>
      <c r="BD693" s="111"/>
      <c r="BE693" s="111"/>
      <c r="BF693" s="111"/>
    </row>
    <row r="694" ht="14.25" customHeight="1">
      <c r="A694" s="111"/>
      <c r="B694" s="111"/>
      <c r="C694" s="112"/>
      <c r="D694" s="112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  <c r="AL694" s="111"/>
      <c r="AM694" s="111"/>
      <c r="AN694" s="111"/>
      <c r="AO694" s="111"/>
      <c r="AP694" s="111"/>
      <c r="AQ694" s="111"/>
      <c r="AR694" s="111"/>
      <c r="AS694" s="111"/>
      <c r="AT694" s="111"/>
      <c r="AU694" s="111"/>
      <c r="AV694" s="111"/>
      <c r="AW694" s="111"/>
      <c r="AX694" s="111"/>
      <c r="AY694" s="111"/>
      <c r="AZ694" s="111"/>
      <c r="BA694" s="111"/>
      <c r="BB694" s="111"/>
      <c r="BC694" s="111"/>
      <c r="BD694" s="111"/>
      <c r="BE694" s="111"/>
      <c r="BF694" s="111"/>
    </row>
    <row r="695" ht="14.25" customHeight="1">
      <c r="A695" s="111"/>
      <c r="B695" s="111"/>
      <c r="C695" s="112"/>
      <c r="D695" s="112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  <c r="AL695" s="111"/>
      <c r="AM695" s="111"/>
      <c r="AN695" s="111"/>
      <c r="AO695" s="111"/>
      <c r="AP695" s="111"/>
      <c r="AQ695" s="111"/>
      <c r="AR695" s="111"/>
      <c r="AS695" s="111"/>
      <c r="AT695" s="111"/>
      <c r="AU695" s="111"/>
      <c r="AV695" s="111"/>
      <c r="AW695" s="111"/>
      <c r="AX695" s="111"/>
      <c r="AY695" s="111"/>
      <c r="AZ695" s="111"/>
      <c r="BA695" s="111"/>
      <c r="BB695" s="111"/>
      <c r="BC695" s="111"/>
      <c r="BD695" s="111"/>
      <c r="BE695" s="111"/>
      <c r="BF695" s="111"/>
    </row>
    <row r="696" ht="14.25" customHeight="1">
      <c r="A696" s="111"/>
      <c r="B696" s="111"/>
      <c r="C696" s="112"/>
      <c r="D696" s="112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  <c r="AL696" s="111"/>
      <c r="AM696" s="111"/>
      <c r="AN696" s="111"/>
      <c r="AO696" s="111"/>
      <c r="AP696" s="111"/>
      <c r="AQ696" s="111"/>
      <c r="AR696" s="111"/>
      <c r="AS696" s="111"/>
      <c r="AT696" s="111"/>
      <c r="AU696" s="111"/>
      <c r="AV696" s="111"/>
      <c r="AW696" s="111"/>
      <c r="AX696" s="111"/>
      <c r="AY696" s="111"/>
      <c r="AZ696" s="111"/>
      <c r="BA696" s="111"/>
      <c r="BB696" s="111"/>
      <c r="BC696" s="111"/>
      <c r="BD696" s="111"/>
      <c r="BE696" s="111"/>
      <c r="BF696" s="111"/>
    </row>
    <row r="697" ht="14.25" customHeight="1">
      <c r="A697" s="111"/>
      <c r="B697" s="111"/>
      <c r="C697" s="112"/>
      <c r="D697" s="112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  <c r="AL697" s="111"/>
      <c r="AM697" s="111"/>
      <c r="AN697" s="111"/>
      <c r="AO697" s="111"/>
      <c r="AP697" s="111"/>
      <c r="AQ697" s="111"/>
      <c r="AR697" s="111"/>
      <c r="AS697" s="111"/>
      <c r="AT697" s="111"/>
      <c r="AU697" s="111"/>
      <c r="AV697" s="111"/>
      <c r="AW697" s="111"/>
      <c r="AX697" s="111"/>
      <c r="AY697" s="111"/>
      <c r="AZ697" s="111"/>
      <c r="BA697" s="111"/>
      <c r="BB697" s="111"/>
      <c r="BC697" s="111"/>
      <c r="BD697" s="111"/>
      <c r="BE697" s="111"/>
      <c r="BF697" s="111"/>
    </row>
    <row r="698" ht="14.25" customHeight="1">
      <c r="A698" s="111"/>
      <c r="B698" s="111"/>
      <c r="C698" s="112"/>
      <c r="D698" s="112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  <c r="AL698" s="111"/>
      <c r="AM698" s="111"/>
      <c r="AN698" s="111"/>
      <c r="AO698" s="111"/>
      <c r="AP698" s="111"/>
      <c r="AQ698" s="111"/>
      <c r="AR698" s="111"/>
      <c r="AS698" s="111"/>
      <c r="AT698" s="111"/>
      <c r="AU698" s="111"/>
      <c r="AV698" s="111"/>
      <c r="AW698" s="111"/>
      <c r="AX698" s="111"/>
      <c r="AY698" s="111"/>
      <c r="AZ698" s="111"/>
      <c r="BA698" s="111"/>
      <c r="BB698" s="111"/>
      <c r="BC698" s="111"/>
      <c r="BD698" s="111"/>
      <c r="BE698" s="111"/>
      <c r="BF698" s="111"/>
    </row>
    <row r="699" ht="14.25" customHeight="1">
      <c r="A699" s="111"/>
      <c r="B699" s="111"/>
      <c r="C699" s="112"/>
      <c r="D699" s="112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  <c r="AL699" s="111"/>
      <c r="AM699" s="111"/>
      <c r="AN699" s="111"/>
      <c r="AO699" s="111"/>
      <c r="AP699" s="111"/>
      <c r="AQ699" s="111"/>
      <c r="AR699" s="111"/>
      <c r="AS699" s="111"/>
      <c r="AT699" s="111"/>
      <c r="AU699" s="111"/>
      <c r="AV699" s="111"/>
      <c r="AW699" s="111"/>
      <c r="AX699" s="111"/>
      <c r="AY699" s="111"/>
      <c r="AZ699" s="111"/>
      <c r="BA699" s="111"/>
      <c r="BB699" s="111"/>
      <c r="BC699" s="111"/>
      <c r="BD699" s="111"/>
      <c r="BE699" s="111"/>
      <c r="BF699" s="111"/>
    </row>
    <row r="700" ht="14.25" customHeight="1">
      <c r="A700" s="111"/>
      <c r="B700" s="111"/>
      <c r="C700" s="112"/>
      <c r="D700" s="112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  <c r="AL700" s="111"/>
      <c r="AM700" s="111"/>
      <c r="AN700" s="111"/>
      <c r="AO700" s="111"/>
      <c r="AP700" s="111"/>
      <c r="AQ700" s="111"/>
      <c r="AR700" s="111"/>
      <c r="AS700" s="111"/>
      <c r="AT700" s="111"/>
      <c r="AU700" s="111"/>
      <c r="AV700" s="111"/>
      <c r="AW700" s="111"/>
      <c r="AX700" s="111"/>
      <c r="AY700" s="111"/>
      <c r="AZ700" s="111"/>
      <c r="BA700" s="111"/>
      <c r="BB700" s="111"/>
      <c r="BC700" s="111"/>
      <c r="BD700" s="111"/>
      <c r="BE700" s="111"/>
      <c r="BF700" s="111"/>
    </row>
    <row r="701" ht="14.25" customHeight="1">
      <c r="A701" s="111"/>
      <c r="B701" s="111"/>
      <c r="C701" s="112"/>
      <c r="D701" s="112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  <c r="AL701" s="111"/>
      <c r="AM701" s="111"/>
      <c r="AN701" s="111"/>
      <c r="AO701" s="111"/>
      <c r="AP701" s="111"/>
      <c r="AQ701" s="111"/>
      <c r="AR701" s="111"/>
      <c r="AS701" s="111"/>
      <c r="AT701" s="111"/>
      <c r="AU701" s="111"/>
      <c r="AV701" s="111"/>
      <c r="AW701" s="111"/>
      <c r="AX701" s="111"/>
      <c r="AY701" s="111"/>
      <c r="AZ701" s="111"/>
      <c r="BA701" s="111"/>
      <c r="BB701" s="111"/>
      <c r="BC701" s="111"/>
      <c r="BD701" s="111"/>
      <c r="BE701" s="111"/>
      <c r="BF701" s="111"/>
    </row>
    <row r="702" ht="14.25" customHeight="1">
      <c r="A702" s="111"/>
      <c r="B702" s="111"/>
      <c r="C702" s="112"/>
      <c r="D702" s="112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  <c r="AL702" s="111"/>
      <c r="AM702" s="111"/>
      <c r="AN702" s="111"/>
      <c r="AO702" s="111"/>
      <c r="AP702" s="111"/>
      <c r="AQ702" s="111"/>
      <c r="AR702" s="111"/>
      <c r="AS702" s="111"/>
      <c r="AT702" s="111"/>
      <c r="AU702" s="111"/>
      <c r="AV702" s="111"/>
      <c r="AW702" s="111"/>
      <c r="AX702" s="111"/>
      <c r="AY702" s="111"/>
      <c r="AZ702" s="111"/>
      <c r="BA702" s="111"/>
      <c r="BB702" s="111"/>
      <c r="BC702" s="111"/>
      <c r="BD702" s="111"/>
      <c r="BE702" s="111"/>
      <c r="BF702" s="111"/>
    </row>
    <row r="703" ht="14.25" customHeight="1">
      <c r="A703" s="111"/>
      <c r="B703" s="111"/>
      <c r="C703" s="112"/>
      <c r="D703" s="112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  <c r="AL703" s="111"/>
      <c r="AM703" s="111"/>
      <c r="AN703" s="111"/>
      <c r="AO703" s="111"/>
      <c r="AP703" s="111"/>
      <c r="AQ703" s="111"/>
      <c r="AR703" s="111"/>
      <c r="AS703" s="111"/>
      <c r="AT703" s="111"/>
      <c r="AU703" s="111"/>
      <c r="AV703" s="111"/>
      <c r="AW703" s="111"/>
      <c r="AX703" s="111"/>
      <c r="AY703" s="111"/>
      <c r="AZ703" s="111"/>
      <c r="BA703" s="111"/>
      <c r="BB703" s="111"/>
      <c r="BC703" s="111"/>
      <c r="BD703" s="111"/>
      <c r="BE703" s="111"/>
      <c r="BF703" s="111"/>
    </row>
    <row r="704" ht="14.25" customHeight="1">
      <c r="A704" s="111"/>
      <c r="B704" s="111"/>
      <c r="C704" s="112"/>
      <c r="D704" s="112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  <c r="AL704" s="111"/>
      <c r="AM704" s="111"/>
      <c r="AN704" s="111"/>
      <c r="AO704" s="111"/>
      <c r="AP704" s="111"/>
      <c r="AQ704" s="111"/>
      <c r="AR704" s="111"/>
      <c r="AS704" s="111"/>
      <c r="AT704" s="111"/>
      <c r="AU704" s="111"/>
      <c r="AV704" s="111"/>
      <c r="AW704" s="111"/>
      <c r="AX704" s="111"/>
      <c r="AY704" s="111"/>
      <c r="AZ704" s="111"/>
      <c r="BA704" s="111"/>
      <c r="BB704" s="111"/>
      <c r="BC704" s="111"/>
      <c r="BD704" s="111"/>
      <c r="BE704" s="111"/>
      <c r="BF704" s="111"/>
    </row>
    <row r="705" ht="14.25" customHeight="1">
      <c r="A705" s="111"/>
      <c r="B705" s="111"/>
      <c r="C705" s="112"/>
      <c r="D705" s="112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  <c r="AJ705" s="111"/>
      <c r="AK705" s="111"/>
      <c r="AL705" s="111"/>
      <c r="AM705" s="111"/>
      <c r="AN705" s="111"/>
      <c r="AO705" s="111"/>
      <c r="AP705" s="111"/>
      <c r="AQ705" s="111"/>
      <c r="AR705" s="111"/>
      <c r="AS705" s="111"/>
      <c r="AT705" s="111"/>
      <c r="AU705" s="111"/>
      <c r="AV705" s="111"/>
      <c r="AW705" s="111"/>
      <c r="AX705" s="111"/>
      <c r="AY705" s="111"/>
      <c r="AZ705" s="111"/>
      <c r="BA705" s="111"/>
      <c r="BB705" s="111"/>
      <c r="BC705" s="111"/>
      <c r="BD705" s="111"/>
      <c r="BE705" s="111"/>
      <c r="BF705" s="111"/>
    </row>
    <row r="706" ht="14.25" customHeight="1">
      <c r="A706" s="111"/>
      <c r="B706" s="111"/>
      <c r="C706" s="112"/>
      <c r="D706" s="112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  <c r="AL706" s="111"/>
      <c r="AM706" s="111"/>
      <c r="AN706" s="111"/>
      <c r="AO706" s="111"/>
      <c r="AP706" s="111"/>
      <c r="AQ706" s="111"/>
      <c r="AR706" s="111"/>
      <c r="AS706" s="111"/>
      <c r="AT706" s="111"/>
      <c r="AU706" s="111"/>
      <c r="AV706" s="111"/>
      <c r="AW706" s="111"/>
      <c r="AX706" s="111"/>
      <c r="AY706" s="111"/>
      <c r="AZ706" s="111"/>
      <c r="BA706" s="111"/>
      <c r="BB706" s="111"/>
      <c r="BC706" s="111"/>
      <c r="BD706" s="111"/>
      <c r="BE706" s="111"/>
      <c r="BF706" s="111"/>
    </row>
    <row r="707" ht="14.25" customHeight="1">
      <c r="A707" s="111"/>
      <c r="B707" s="111"/>
      <c r="C707" s="112"/>
      <c r="D707" s="112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  <c r="AL707" s="111"/>
      <c r="AM707" s="111"/>
      <c r="AN707" s="111"/>
      <c r="AO707" s="111"/>
      <c r="AP707" s="111"/>
      <c r="AQ707" s="111"/>
      <c r="AR707" s="111"/>
      <c r="AS707" s="111"/>
      <c r="AT707" s="111"/>
      <c r="AU707" s="111"/>
      <c r="AV707" s="111"/>
      <c r="AW707" s="111"/>
      <c r="AX707" s="111"/>
      <c r="AY707" s="111"/>
      <c r="AZ707" s="111"/>
      <c r="BA707" s="111"/>
      <c r="BB707" s="111"/>
      <c r="BC707" s="111"/>
      <c r="BD707" s="111"/>
      <c r="BE707" s="111"/>
      <c r="BF707" s="111"/>
    </row>
    <row r="708" ht="14.25" customHeight="1">
      <c r="A708" s="111"/>
      <c r="B708" s="111"/>
      <c r="C708" s="112"/>
      <c r="D708" s="112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/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/>
      <c r="BB708" s="111"/>
      <c r="BC708" s="111"/>
      <c r="BD708" s="111"/>
      <c r="BE708" s="111"/>
      <c r="BF708" s="111"/>
    </row>
    <row r="709" ht="14.25" customHeight="1">
      <c r="A709" s="111"/>
      <c r="B709" s="111"/>
      <c r="C709" s="112"/>
      <c r="D709" s="112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/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/>
      <c r="BB709" s="111"/>
      <c r="BC709" s="111"/>
      <c r="BD709" s="111"/>
      <c r="BE709" s="111"/>
      <c r="BF709" s="111"/>
    </row>
    <row r="710" ht="14.25" customHeight="1">
      <c r="A710" s="111"/>
      <c r="B710" s="111"/>
      <c r="C710" s="112"/>
      <c r="D710" s="112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  <c r="AL710" s="111"/>
      <c r="AM710" s="111"/>
      <c r="AN710" s="111"/>
      <c r="AO710" s="111"/>
      <c r="AP710" s="111"/>
      <c r="AQ710" s="111"/>
      <c r="AR710" s="111"/>
      <c r="AS710" s="111"/>
      <c r="AT710" s="111"/>
      <c r="AU710" s="111"/>
      <c r="AV710" s="111"/>
      <c r="AW710" s="111"/>
      <c r="AX710" s="111"/>
      <c r="AY710" s="111"/>
      <c r="AZ710" s="111"/>
      <c r="BA710" s="111"/>
      <c r="BB710" s="111"/>
      <c r="BC710" s="111"/>
      <c r="BD710" s="111"/>
      <c r="BE710" s="111"/>
      <c r="BF710" s="111"/>
    </row>
    <row r="711" ht="14.25" customHeight="1">
      <c r="A711" s="111"/>
      <c r="B711" s="111"/>
      <c r="C711" s="112"/>
      <c r="D711" s="112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/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/>
      <c r="BB711" s="111"/>
      <c r="BC711" s="111"/>
      <c r="BD711" s="111"/>
      <c r="BE711" s="111"/>
      <c r="BF711" s="111"/>
    </row>
    <row r="712" ht="14.25" customHeight="1">
      <c r="A712" s="111"/>
      <c r="B712" s="111"/>
      <c r="C712" s="112"/>
      <c r="D712" s="112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  <c r="AM712" s="111"/>
      <c r="AN712" s="111"/>
      <c r="AO712" s="111"/>
      <c r="AP712" s="111"/>
      <c r="AQ712" s="111"/>
      <c r="AR712" s="111"/>
      <c r="AS712" s="111"/>
      <c r="AT712" s="111"/>
      <c r="AU712" s="111"/>
      <c r="AV712" s="111"/>
      <c r="AW712" s="111"/>
      <c r="AX712" s="111"/>
      <c r="AY712" s="111"/>
      <c r="AZ712" s="111"/>
      <c r="BA712" s="111"/>
      <c r="BB712" s="111"/>
      <c r="BC712" s="111"/>
      <c r="BD712" s="111"/>
      <c r="BE712" s="111"/>
      <c r="BF712" s="111"/>
    </row>
    <row r="713" ht="14.25" customHeight="1">
      <c r="A713" s="111"/>
      <c r="B713" s="111"/>
      <c r="C713" s="112"/>
      <c r="D713" s="112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  <c r="AL713" s="111"/>
      <c r="AM713" s="111"/>
      <c r="AN713" s="111"/>
      <c r="AO713" s="111"/>
      <c r="AP713" s="111"/>
      <c r="AQ713" s="111"/>
      <c r="AR713" s="111"/>
      <c r="AS713" s="111"/>
      <c r="AT713" s="111"/>
      <c r="AU713" s="111"/>
      <c r="AV713" s="111"/>
      <c r="AW713" s="111"/>
      <c r="AX713" s="111"/>
      <c r="AY713" s="111"/>
      <c r="AZ713" s="111"/>
      <c r="BA713" s="111"/>
      <c r="BB713" s="111"/>
      <c r="BC713" s="111"/>
      <c r="BD713" s="111"/>
      <c r="BE713" s="111"/>
      <c r="BF713" s="111"/>
    </row>
    <row r="714" ht="14.25" customHeight="1">
      <c r="A714" s="111"/>
      <c r="B714" s="111"/>
      <c r="C714" s="112"/>
      <c r="D714" s="112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  <c r="AL714" s="111"/>
      <c r="AM714" s="111"/>
      <c r="AN714" s="111"/>
      <c r="AO714" s="111"/>
      <c r="AP714" s="111"/>
      <c r="AQ714" s="111"/>
      <c r="AR714" s="111"/>
      <c r="AS714" s="111"/>
      <c r="AT714" s="111"/>
      <c r="AU714" s="111"/>
      <c r="AV714" s="111"/>
      <c r="AW714" s="111"/>
      <c r="AX714" s="111"/>
      <c r="AY714" s="111"/>
      <c r="AZ714" s="111"/>
      <c r="BA714" s="111"/>
      <c r="BB714" s="111"/>
      <c r="BC714" s="111"/>
      <c r="BD714" s="111"/>
      <c r="BE714" s="111"/>
      <c r="BF714" s="111"/>
    </row>
    <row r="715" ht="14.25" customHeight="1">
      <c r="A715" s="111"/>
      <c r="B715" s="111"/>
      <c r="C715" s="112"/>
      <c r="D715" s="112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  <c r="AL715" s="111"/>
      <c r="AM715" s="111"/>
      <c r="AN715" s="111"/>
      <c r="AO715" s="111"/>
      <c r="AP715" s="111"/>
      <c r="AQ715" s="111"/>
      <c r="AR715" s="111"/>
      <c r="AS715" s="111"/>
      <c r="AT715" s="111"/>
      <c r="AU715" s="111"/>
      <c r="AV715" s="111"/>
      <c r="AW715" s="111"/>
      <c r="AX715" s="111"/>
      <c r="AY715" s="111"/>
      <c r="AZ715" s="111"/>
      <c r="BA715" s="111"/>
      <c r="BB715" s="111"/>
      <c r="BC715" s="111"/>
      <c r="BD715" s="111"/>
      <c r="BE715" s="111"/>
      <c r="BF715" s="111"/>
    </row>
    <row r="716" ht="14.25" customHeight="1">
      <c r="A716" s="111"/>
      <c r="B716" s="111"/>
      <c r="C716" s="112"/>
      <c r="D716" s="112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  <c r="AL716" s="111"/>
      <c r="AM716" s="111"/>
      <c r="AN716" s="111"/>
      <c r="AO716" s="111"/>
      <c r="AP716" s="111"/>
      <c r="AQ716" s="111"/>
      <c r="AR716" s="111"/>
      <c r="AS716" s="111"/>
      <c r="AT716" s="111"/>
      <c r="AU716" s="111"/>
      <c r="AV716" s="111"/>
      <c r="AW716" s="111"/>
      <c r="AX716" s="111"/>
      <c r="AY716" s="111"/>
      <c r="AZ716" s="111"/>
      <c r="BA716" s="111"/>
      <c r="BB716" s="111"/>
      <c r="BC716" s="111"/>
      <c r="BD716" s="111"/>
      <c r="BE716" s="111"/>
      <c r="BF716" s="111"/>
    </row>
    <row r="717" ht="14.25" customHeight="1">
      <c r="A717" s="111"/>
      <c r="B717" s="111"/>
      <c r="C717" s="112"/>
      <c r="D717" s="112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  <c r="AL717" s="111"/>
      <c r="AM717" s="111"/>
      <c r="AN717" s="111"/>
      <c r="AO717" s="111"/>
      <c r="AP717" s="111"/>
      <c r="AQ717" s="111"/>
      <c r="AR717" s="111"/>
      <c r="AS717" s="111"/>
      <c r="AT717" s="111"/>
      <c r="AU717" s="111"/>
      <c r="AV717" s="111"/>
      <c r="AW717" s="111"/>
      <c r="AX717" s="111"/>
      <c r="AY717" s="111"/>
      <c r="AZ717" s="111"/>
      <c r="BA717" s="111"/>
      <c r="BB717" s="111"/>
      <c r="BC717" s="111"/>
      <c r="BD717" s="111"/>
      <c r="BE717" s="111"/>
      <c r="BF717" s="111"/>
    </row>
    <row r="718" ht="14.25" customHeight="1">
      <c r="A718" s="111"/>
      <c r="B718" s="111"/>
      <c r="C718" s="112"/>
      <c r="D718" s="112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  <c r="AL718" s="111"/>
      <c r="AM718" s="111"/>
      <c r="AN718" s="111"/>
      <c r="AO718" s="111"/>
      <c r="AP718" s="111"/>
      <c r="AQ718" s="111"/>
      <c r="AR718" s="111"/>
      <c r="AS718" s="111"/>
      <c r="AT718" s="111"/>
      <c r="AU718" s="111"/>
      <c r="AV718" s="111"/>
      <c r="AW718" s="111"/>
      <c r="AX718" s="111"/>
      <c r="AY718" s="111"/>
      <c r="AZ718" s="111"/>
      <c r="BA718" s="111"/>
      <c r="BB718" s="111"/>
      <c r="BC718" s="111"/>
      <c r="BD718" s="111"/>
      <c r="BE718" s="111"/>
      <c r="BF718" s="111"/>
    </row>
    <row r="719" ht="14.25" customHeight="1">
      <c r="A719" s="111"/>
      <c r="B719" s="111"/>
      <c r="C719" s="112"/>
      <c r="D719" s="112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  <c r="AL719" s="111"/>
      <c r="AM719" s="111"/>
      <c r="AN719" s="111"/>
      <c r="AO719" s="111"/>
      <c r="AP719" s="111"/>
      <c r="AQ719" s="111"/>
      <c r="AR719" s="111"/>
      <c r="AS719" s="111"/>
      <c r="AT719" s="111"/>
      <c r="AU719" s="111"/>
      <c r="AV719" s="111"/>
      <c r="AW719" s="111"/>
      <c r="AX719" s="111"/>
      <c r="AY719" s="111"/>
      <c r="AZ719" s="111"/>
      <c r="BA719" s="111"/>
      <c r="BB719" s="111"/>
      <c r="BC719" s="111"/>
      <c r="BD719" s="111"/>
      <c r="BE719" s="111"/>
      <c r="BF719" s="111"/>
    </row>
    <row r="720" ht="14.25" customHeight="1">
      <c r="A720" s="111"/>
      <c r="B720" s="111"/>
      <c r="C720" s="112"/>
      <c r="D720" s="112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  <c r="AL720" s="111"/>
      <c r="AM720" s="111"/>
      <c r="AN720" s="111"/>
      <c r="AO720" s="111"/>
      <c r="AP720" s="111"/>
      <c r="AQ720" s="111"/>
      <c r="AR720" s="111"/>
      <c r="AS720" s="111"/>
      <c r="AT720" s="111"/>
      <c r="AU720" s="111"/>
      <c r="AV720" s="111"/>
      <c r="AW720" s="111"/>
      <c r="AX720" s="111"/>
      <c r="AY720" s="111"/>
      <c r="AZ720" s="111"/>
      <c r="BA720" s="111"/>
      <c r="BB720" s="111"/>
      <c r="BC720" s="111"/>
      <c r="BD720" s="111"/>
      <c r="BE720" s="111"/>
      <c r="BF720" s="111"/>
    </row>
    <row r="721" ht="14.25" customHeight="1">
      <c r="A721" s="111"/>
      <c r="B721" s="111"/>
      <c r="C721" s="112"/>
      <c r="D721" s="112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  <c r="AL721" s="111"/>
      <c r="AM721" s="111"/>
      <c r="AN721" s="111"/>
      <c r="AO721" s="111"/>
      <c r="AP721" s="111"/>
      <c r="AQ721" s="111"/>
      <c r="AR721" s="111"/>
      <c r="AS721" s="111"/>
      <c r="AT721" s="111"/>
      <c r="AU721" s="111"/>
      <c r="AV721" s="111"/>
      <c r="AW721" s="111"/>
      <c r="AX721" s="111"/>
      <c r="AY721" s="111"/>
      <c r="AZ721" s="111"/>
      <c r="BA721" s="111"/>
      <c r="BB721" s="111"/>
      <c r="BC721" s="111"/>
      <c r="BD721" s="111"/>
      <c r="BE721" s="111"/>
      <c r="BF721" s="111"/>
    </row>
    <row r="722" ht="14.25" customHeight="1">
      <c r="A722" s="111"/>
      <c r="B722" s="111"/>
      <c r="C722" s="112"/>
      <c r="D722" s="112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  <c r="AL722" s="111"/>
      <c r="AM722" s="111"/>
      <c r="AN722" s="111"/>
      <c r="AO722" s="111"/>
      <c r="AP722" s="111"/>
      <c r="AQ722" s="111"/>
      <c r="AR722" s="111"/>
      <c r="AS722" s="111"/>
      <c r="AT722" s="111"/>
      <c r="AU722" s="111"/>
      <c r="AV722" s="111"/>
      <c r="AW722" s="111"/>
      <c r="AX722" s="111"/>
      <c r="AY722" s="111"/>
      <c r="AZ722" s="111"/>
      <c r="BA722" s="111"/>
      <c r="BB722" s="111"/>
      <c r="BC722" s="111"/>
      <c r="BD722" s="111"/>
      <c r="BE722" s="111"/>
      <c r="BF722" s="111"/>
    </row>
    <row r="723" ht="14.25" customHeight="1">
      <c r="A723" s="111"/>
      <c r="B723" s="111"/>
      <c r="C723" s="112"/>
      <c r="D723" s="112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  <c r="AL723" s="111"/>
      <c r="AM723" s="111"/>
      <c r="AN723" s="111"/>
      <c r="AO723" s="111"/>
      <c r="AP723" s="111"/>
      <c r="AQ723" s="111"/>
      <c r="AR723" s="111"/>
      <c r="AS723" s="111"/>
      <c r="AT723" s="111"/>
      <c r="AU723" s="111"/>
      <c r="AV723" s="111"/>
      <c r="AW723" s="111"/>
      <c r="AX723" s="111"/>
      <c r="AY723" s="111"/>
      <c r="AZ723" s="111"/>
      <c r="BA723" s="111"/>
      <c r="BB723" s="111"/>
      <c r="BC723" s="111"/>
      <c r="BD723" s="111"/>
      <c r="BE723" s="111"/>
      <c r="BF723" s="111"/>
    </row>
    <row r="724" ht="14.25" customHeight="1">
      <c r="A724" s="111"/>
      <c r="B724" s="111"/>
      <c r="C724" s="112"/>
      <c r="D724" s="112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  <c r="AL724" s="111"/>
      <c r="AM724" s="111"/>
      <c r="AN724" s="111"/>
      <c r="AO724" s="111"/>
      <c r="AP724" s="111"/>
      <c r="AQ724" s="111"/>
      <c r="AR724" s="111"/>
      <c r="AS724" s="111"/>
      <c r="AT724" s="111"/>
      <c r="AU724" s="111"/>
      <c r="AV724" s="111"/>
      <c r="AW724" s="111"/>
      <c r="AX724" s="111"/>
      <c r="AY724" s="111"/>
      <c r="AZ724" s="111"/>
      <c r="BA724" s="111"/>
      <c r="BB724" s="111"/>
      <c r="BC724" s="111"/>
      <c r="BD724" s="111"/>
      <c r="BE724" s="111"/>
      <c r="BF724" s="111"/>
    </row>
    <row r="725" ht="14.25" customHeight="1">
      <c r="A725" s="111"/>
      <c r="B725" s="111"/>
      <c r="C725" s="112"/>
      <c r="D725" s="112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  <c r="AL725" s="111"/>
      <c r="AM725" s="111"/>
      <c r="AN725" s="111"/>
      <c r="AO725" s="111"/>
      <c r="AP725" s="111"/>
      <c r="AQ725" s="111"/>
      <c r="AR725" s="111"/>
      <c r="AS725" s="111"/>
      <c r="AT725" s="111"/>
      <c r="AU725" s="111"/>
      <c r="AV725" s="111"/>
      <c r="AW725" s="111"/>
      <c r="AX725" s="111"/>
      <c r="AY725" s="111"/>
      <c r="AZ725" s="111"/>
      <c r="BA725" s="111"/>
      <c r="BB725" s="111"/>
      <c r="BC725" s="111"/>
      <c r="BD725" s="111"/>
      <c r="BE725" s="111"/>
      <c r="BF725" s="111"/>
    </row>
    <row r="726" ht="14.25" customHeight="1">
      <c r="A726" s="111"/>
      <c r="B726" s="111"/>
      <c r="C726" s="112"/>
      <c r="D726" s="112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  <c r="AL726" s="111"/>
      <c r="AM726" s="111"/>
      <c r="AN726" s="111"/>
      <c r="AO726" s="111"/>
      <c r="AP726" s="111"/>
      <c r="AQ726" s="111"/>
      <c r="AR726" s="111"/>
      <c r="AS726" s="111"/>
      <c r="AT726" s="111"/>
      <c r="AU726" s="111"/>
      <c r="AV726" s="111"/>
      <c r="AW726" s="111"/>
      <c r="AX726" s="111"/>
      <c r="AY726" s="111"/>
      <c r="AZ726" s="111"/>
      <c r="BA726" s="111"/>
      <c r="BB726" s="111"/>
      <c r="BC726" s="111"/>
      <c r="BD726" s="111"/>
      <c r="BE726" s="111"/>
      <c r="BF726" s="111"/>
    </row>
    <row r="727" ht="14.25" customHeight="1">
      <c r="A727" s="111"/>
      <c r="B727" s="111"/>
      <c r="C727" s="112"/>
      <c r="D727" s="112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  <c r="AL727" s="111"/>
      <c r="AM727" s="111"/>
      <c r="AN727" s="111"/>
      <c r="AO727" s="111"/>
      <c r="AP727" s="111"/>
      <c r="AQ727" s="111"/>
      <c r="AR727" s="111"/>
      <c r="AS727" s="111"/>
      <c r="AT727" s="111"/>
      <c r="AU727" s="111"/>
      <c r="AV727" s="111"/>
      <c r="AW727" s="111"/>
      <c r="AX727" s="111"/>
      <c r="AY727" s="111"/>
      <c r="AZ727" s="111"/>
      <c r="BA727" s="111"/>
      <c r="BB727" s="111"/>
      <c r="BC727" s="111"/>
      <c r="BD727" s="111"/>
      <c r="BE727" s="111"/>
      <c r="BF727" s="111"/>
    </row>
    <row r="728" ht="14.25" customHeight="1">
      <c r="A728" s="111"/>
      <c r="B728" s="111"/>
      <c r="C728" s="112"/>
      <c r="D728" s="112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  <c r="AL728" s="111"/>
      <c r="AM728" s="111"/>
      <c r="AN728" s="111"/>
      <c r="AO728" s="111"/>
      <c r="AP728" s="111"/>
      <c r="AQ728" s="111"/>
      <c r="AR728" s="111"/>
      <c r="AS728" s="111"/>
      <c r="AT728" s="111"/>
      <c r="AU728" s="111"/>
      <c r="AV728" s="111"/>
      <c r="AW728" s="111"/>
      <c r="AX728" s="111"/>
      <c r="AY728" s="111"/>
      <c r="AZ728" s="111"/>
      <c r="BA728" s="111"/>
      <c r="BB728" s="111"/>
      <c r="BC728" s="111"/>
      <c r="BD728" s="111"/>
      <c r="BE728" s="111"/>
      <c r="BF728" s="111"/>
    </row>
    <row r="729" ht="14.25" customHeight="1">
      <c r="A729" s="111"/>
      <c r="B729" s="111"/>
      <c r="C729" s="112"/>
      <c r="D729" s="112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  <c r="AL729" s="111"/>
      <c r="AM729" s="111"/>
      <c r="AN729" s="111"/>
      <c r="AO729" s="111"/>
      <c r="AP729" s="111"/>
      <c r="AQ729" s="111"/>
      <c r="AR729" s="111"/>
      <c r="AS729" s="111"/>
      <c r="AT729" s="111"/>
      <c r="AU729" s="111"/>
      <c r="AV729" s="111"/>
      <c r="AW729" s="111"/>
      <c r="AX729" s="111"/>
      <c r="AY729" s="111"/>
      <c r="AZ729" s="111"/>
      <c r="BA729" s="111"/>
      <c r="BB729" s="111"/>
      <c r="BC729" s="111"/>
      <c r="BD729" s="111"/>
      <c r="BE729" s="111"/>
      <c r="BF729" s="111"/>
    </row>
    <row r="730" ht="14.25" customHeight="1">
      <c r="A730" s="111"/>
      <c r="B730" s="111"/>
      <c r="C730" s="112"/>
      <c r="D730" s="112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  <c r="AL730" s="111"/>
      <c r="AM730" s="111"/>
      <c r="AN730" s="111"/>
      <c r="AO730" s="111"/>
      <c r="AP730" s="111"/>
      <c r="AQ730" s="111"/>
      <c r="AR730" s="111"/>
      <c r="AS730" s="111"/>
      <c r="AT730" s="111"/>
      <c r="AU730" s="111"/>
      <c r="AV730" s="111"/>
      <c r="AW730" s="111"/>
      <c r="AX730" s="111"/>
      <c r="AY730" s="111"/>
      <c r="AZ730" s="111"/>
      <c r="BA730" s="111"/>
      <c r="BB730" s="111"/>
      <c r="BC730" s="111"/>
      <c r="BD730" s="111"/>
      <c r="BE730" s="111"/>
      <c r="BF730" s="111"/>
    </row>
    <row r="731" ht="14.25" customHeight="1">
      <c r="A731" s="111"/>
      <c r="B731" s="111"/>
      <c r="C731" s="112"/>
      <c r="D731" s="112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  <c r="AL731" s="111"/>
      <c r="AM731" s="111"/>
      <c r="AN731" s="111"/>
      <c r="AO731" s="111"/>
      <c r="AP731" s="111"/>
      <c r="AQ731" s="111"/>
      <c r="AR731" s="111"/>
      <c r="AS731" s="111"/>
      <c r="AT731" s="111"/>
      <c r="AU731" s="111"/>
      <c r="AV731" s="111"/>
      <c r="AW731" s="111"/>
      <c r="AX731" s="111"/>
      <c r="AY731" s="111"/>
      <c r="AZ731" s="111"/>
      <c r="BA731" s="111"/>
      <c r="BB731" s="111"/>
      <c r="BC731" s="111"/>
      <c r="BD731" s="111"/>
      <c r="BE731" s="111"/>
      <c r="BF731" s="111"/>
    </row>
    <row r="732" ht="14.25" customHeight="1">
      <c r="A732" s="111"/>
      <c r="B732" s="111"/>
      <c r="C732" s="112"/>
      <c r="D732" s="112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  <c r="AL732" s="111"/>
      <c r="AM732" s="111"/>
      <c r="AN732" s="111"/>
      <c r="AO732" s="111"/>
      <c r="AP732" s="111"/>
      <c r="AQ732" s="111"/>
      <c r="AR732" s="111"/>
      <c r="AS732" s="111"/>
      <c r="AT732" s="111"/>
      <c r="AU732" s="111"/>
      <c r="AV732" s="111"/>
      <c r="AW732" s="111"/>
      <c r="AX732" s="111"/>
      <c r="AY732" s="111"/>
      <c r="AZ732" s="111"/>
      <c r="BA732" s="111"/>
      <c r="BB732" s="111"/>
      <c r="BC732" s="111"/>
      <c r="BD732" s="111"/>
      <c r="BE732" s="111"/>
      <c r="BF732" s="111"/>
    </row>
    <row r="733" ht="14.25" customHeight="1">
      <c r="A733" s="111"/>
      <c r="B733" s="111"/>
      <c r="C733" s="112"/>
      <c r="D733" s="112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  <c r="AL733" s="111"/>
      <c r="AM733" s="111"/>
      <c r="AN733" s="111"/>
      <c r="AO733" s="111"/>
      <c r="AP733" s="111"/>
      <c r="AQ733" s="111"/>
      <c r="AR733" s="111"/>
      <c r="AS733" s="111"/>
      <c r="AT733" s="111"/>
      <c r="AU733" s="111"/>
      <c r="AV733" s="111"/>
      <c r="AW733" s="111"/>
      <c r="AX733" s="111"/>
      <c r="AY733" s="111"/>
      <c r="AZ733" s="111"/>
      <c r="BA733" s="111"/>
      <c r="BB733" s="111"/>
      <c r="BC733" s="111"/>
      <c r="BD733" s="111"/>
      <c r="BE733" s="111"/>
      <c r="BF733" s="111"/>
    </row>
    <row r="734" ht="14.25" customHeight="1">
      <c r="A734" s="111"/>
      <c r="B734" s="111"/>
      <c r="C734" s="112"/>
      <c r="D734" s="112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  <c r="AL734" s="111"/>
      <c r="AM734" s="111"/>
      <c r="AN734" s="111"/>
      <c r="AO734" s="111"/>
      <c r="AP734" s="111"/>
      <c r="AQ734" s="111"/>
      <c r="AR734" s="111"/>
      <c r="AS734" s="111"/>
      <c r="AT734" s="111"/>
      <c r="AU734" s="111"/>
      <c r="AV734" s="111"/>
      <c r="AW734" s="111"/>
      <c r="AX734" s="111"/>
      <c r="AY734" s="111"/>
      <c r="AZ734" s="111"/>
      <c r="BA734" s="111"/>
      <c r="BB734" s="111"/>
      <c r="BC734" s="111"/>
      <c r="BD734" s="111"/>
      <c r="BE734" s="111"/>
      <c r="BF734" s="111"/>
    </row>
    <row r="735" ht="14.25" customHeight="1">
      <c r="A735" s="111"/>
      <c r="B735" s="111"/>
      <c r="C735" s="112"/>
      <c r="D735" s="112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  <c r="AL735" s="111"/>
      <c r="AM735" s="111"/>
      <c r="AN735" s="111"/>
      <c r="AO735" s="111"/>
      <c r="AP735" s="111"/>
      <c r="AQ735" s="111"/>
      <c r="AR735" s="111"/>
      <c r="AS735" s="111"/>
      <c r="AT735" s="111"/>
      <c r="AU735" s="111"/>
      <c r="AV735" s="111"/>
      <c r="AW735" s="111"/>
      <c r="AX735" s="111"/>
      <c r="AY735" s="111"/>
      <c r="AZ735" s="111"/>
      <c r="BA735" s="111"/>
      <c r="BB735" s="111"/>
      <c r="BC735" s="111"/>
      <c r="BD735" s="111"/>
      <c r="BE735" s="111"/>
      <c r="BF735" s="111"/>
    </row>
    <row r="736" ht="14.25" customHeight="1">
      <c r="A736" s="111"/>
      <c r="B736" s="111"/>
      <c r="C736" s="112"/>
      <c r="D736" s="112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  <c r="AL736" s="111"/>
      <c r="AM736" s="111"/>
      <c r="AN736" s="111"/>
      <c r="AO736" s="111"/>
      <c r="AP736" s="111"/>
      <c r="AQ736" s="111"/>
      <c r="AR736" s="111"/>
      <c r="AS736" s="111"/>
      <c r="AT736" s="111"/>
      <c r="AU736" s="111"/>
      <c r="AV736" s="111"/>
      <c r="AW736" s="111"/>
      <c r="AX736" s="111"/>
      <c r="AY736" s="111"/>
      <c r="AZ736" s="111"/>
      <c r="BA736" s="111"/>
      <c r="BB736" s="111"/>
      <c r="BC736" s="111"/>
      <c r="BD736" s="111"/>
      <c r="BE736" s="111"/>
      <c r="BF736" s="111"/>
    </row>
    <row r="737" ht="14.25" customHeight="1">
      <c r="A737" s="111"/>
      <c r="B737" s="111"/>
      <c r="C737" s="112"/>
      <c r="D737" s="112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  <c r="AL737" s="111"/>
      <c r="AM737" s="111"/>
      <c r="AN737" s="111"/>
      <c r="AO737" s="111"/>
      <c r="AP737" s="111"/>
      <c r="AQ737" s="111"/>
      <c r="AR737" s="111"/>
      <c r="AS737" s="111"/>
      <c r="AT737" s="111"/>
      <c r="AU737" s="111"/>
      <c r="AV737" s="111"/>
      <c r="AW737" s="111"/>
      <c r="AX737" s="111"/>
      <c r="AY737" s="111"/>
      <c r="AZ737" s="111"/>
      <c r="BA737" s="111"/>
      <c r="BB737" s="111"/>
      <c r="BC737" s="111"/>
      <c r="BD737" s="111"/>
      <c r="BE737" s="111"/>
      <c r="BF737" s="111"/>
    </row>
    <row r="738" ht="14.25" customHeight="1">
      <c r="A738" s="111"/>
      <c r="B738" s="111"/>
      <c r="C738" s="112"/>
      <c r="D738" s="112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  <c r="AL738" s="111"/>
      <c r="AM738" s="111"/>
      <c r="AN738" s="111"/>
      <c r="AO738" s="111"/>
      <c r="AP738" s="111"/>
      <c r="AQ738" s="111"/>
      <c r="AR738" s="111"/>
      <c r="AS738" s="111"/>
      <c r="AT738" s="111"/>
      <c r="AU738" s="111"/>
      <c r="AV738" s="111"/>
      <c r="AW738" s="111"/>
      <c r="AX738" s="111"/>
      <c r="AY738" s="111"/>
      <c r="AZ738" s="111"/>
      <c r="BA738" s="111"/>
      <c r="BB738" s="111"/>
      <c r="BC738" s="111"/>
      <c r="BD738" s="111"/>
      <c r="BE738" s="111"/>
      <c r="BF738" s="111"/>
    </row>
    <row r="739" ht="14.25" customHeight="1">
      <c r="A739" s="111"/>
      <c r="B739" s="111"/>
      <c r="C739" s="112"/>
      <c r="D739" s="112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  <c r="AL739" s="111"/>
      <c r="AM739" s="111"/>
      <c r="AN739" s="111"/>
      <c r="AO739" s="111"/>
      <c r="AP739" s="111"/>
      <c r="AQ739" s="111"/>
      <c r="AR739" s="111"/>
      <c r="AS739" s="111"/>
      <c r="AT739" s="111"/>
      <c r="AU739" s="111"/>
      <c r="AV739" s="111"/>
      <c r="AW739" s="111"/>
      <c r="AX739" s="111"/>
      <c r="AY739" s="111"/>
      <c r="AZ739" s="111"/>
      <c r="BA739" s="111"/>
      <c r="BB739" s="111"/>
      <c r="BC739" s="111"/>
      <c r="BD739" s="111"/>
      <c r="BE739" s="111"/>
      <c r="BF739" s="111"/>
    </row>
    <row r="740" ht="14.25" customHeight="1">
      <c r="A740" s="111"/>
      <c r="B740" s="111"/>
      <c r="C740" s="112"/>
      <c r="D740" s="112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  <c r="AL740" s="111"/>
      <c r="AM740" s="111"/>
      <c r="AN740" s="111"/>
      <c r="AO740" s="111"/>
      <c r="AP740" s="111"/>
      <c r="AQ740" s="111"/>
      <c r="AR740" s="111"/>
      <c r="AS740" s="111"/>
      <c r="AT740" s="111"/>
      <c r="AU740" s="111"/>
      <c r="AV740" s="111"/>
      <c r="AW740" s="111"/>
      <c r="AX740" s="111"/>
      <c r="AY740" s="111"/>
      <c r="AZ740" s="111"/>
      <c r="BA740" s="111"/>
      <c r="BB740" s="111"/>
      <c r="BC740" s="111"/>
      <c r="BD740" s="111"/>
      <c r="BE740" s="111"/>
      <c r="BF740" s="111"/>
    </row>
    <row r="741" ht="14.25" customHeight="1">
      <c r="A741" s="111"/>
      <c r="B741" s="111"/>
      <c r="C741" s="112"/>
      <c r="D741" s="112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  <c r="AL741" s="111"/>
      <c r="AM741" s="111"/>
      <c r="AN741" s="111"/>
      <c r="AO741" s="111"/>
      <c r="AP741" s="111"/>
      <c r="AQ741" s="111"/>
      <c r="AR741" s="111"/>
      <c r="AS741" s="111"/>
      <c r="AT741" s="111"/>
      <c r="AU741" s="111"/>
      <c r="AV741" s="111"/>
      <c r="AW741" s="111"/>
      <c r="AX741" s="111"/>
      <c r="AY741" s="111"/>
      <c r="AZ741" s="111"/>
      <c r="BA741" s="111"/>
      <c r="BB741" s="111"/>
      <c r="BC741" s="111"/>
      <c r="BD741" s="111"/>
      <c r="BE741" s="111"/>
      <c r="BF741" s="111"/>
    </row>
    <row r="742" ht="14.25" customHeight="1">
      <c r="A742" s="111"/>
      <c r="B742" s="111"/>
      <c r="C742" s="112"/>
      <c r="D742" s="112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  <c r="AL742" s="111"/>
      <c r="AM742" s="111"/>
      <c r="AN742" s="111"/>
      <c r="AO742" s="111"/>
      <c r="AP742" s="111"/>
      <c r="AQ742" s="111"/>
      <c r="AR742" s="111"/>
      <c r="AS742" s="111"/>
      <c r="AT742" s="111"/>
      <c r="AU742" s="111"/>
      <c r="AV742" s="111"/>
      <c r="AW742" s="111"/>
      <c r="AX742" s="111"/>
      <c r="AY742" s="111"/>
      <c r="AZ742" s="111"/>
      <c r="BA742" s="111"/>
      <c r="BB742" s="111"/>
      <c r="BC742" s="111"/>
      <c r="BD742" s="111"/>
      <c r="BE742" s="111"/>
      <c r="BF742" s="111"/>
    </row>
    <row r="743" ht="14.25" customHeight="1">
      <c r="A743" s="111"/>
      <c r="B743" s="111"/>
      <c r="C743" s="112"/>
      <c r="D743" s="112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  <c r="AL743" s="111"/>
      <c r="AM743" s="111"/>
      <c r="AN743" s="111"/>
      <c r="AO743" s="111"/>
      <c r="AP743" s="111"/>
      <c r="AQ743" s="111"/>
      <c r="AR743" s="111"/>
      <c r="AS743" s="111"/>
      <c r="AT743" s="111"/>
      <c r="AU743" s="111"/>
      <c r="AV743" s="111"/>
      <c r="AW743" s="111"/>
      <c r="AX743" s="111"/>
      <c r="AY743" s="111"/>
      <c r="AZ743" s="111"/>
      <c r="BA743" s="111"/>
      <c r="BB743" s="111"/>
      <c r="BC743" s="111"/>
      <c r="BD743" s="111"/>
      <c r="BE743" s="111"/>
      <c r="BF743" s="111"/>
    </row>
    <row r="744" ht="14.25" customHeight="1">
      <c r="A744" s="111"/>
      <c r="B744" s="111"/>
      <c r="C744" s="112"/>
      <c r="D744" s="112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  <c r="AL744" s="111"/>
      <c r="AM744" s="111"/>
      <c r="AN744" s="111"/>
      <c r="AO744" s="111"/>
      <c r="AP744" s="111"/>
      <c r="AQ744" s="111"/>
      <c r="AR744" s="111"/>
      <c r="AS744" s="111"/>
      <c r="AT744" s="111"/>
      <c r="AU744" s="111"/>
      <c r="AV744" s="111"/>
      <c r="AW744" s="111"/>
      <c r="AX744" s="111"/>
      <c r="AY744" s="111"/>
      <c r="AZ744" s="111"/>
      <c r="BA744" s="111"/>
      <c r="BB744" s="111"/>
      <c r="BC744" s="111"/>
      <c r="BD744" s="111"/>
      <c r="BE744" s="111"/>
      <c r="BF744" s="111"/>
    </row>
    <row r="745" ht="14.25" customHeight="1">
      <c r="A745" s="111"/>
      <c r="B745" s="111"/>
      <c r="C745" s="112"/>
      <c r="D745" s="112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  <c r="AL745" s="111"/>
      <c r="AM745" s="111"/>
      <c r="AN745" s="111"/>
      <c r="AO745" s="111"/>
      <c r="AP745" s="111"/>
      <c r="AQ745" s="111"/>
      <c r="AR745" s="111"/>
      <c r="AS745" s="111"/>
      <c r="AT745" s="111"/>
      <c r="AU745" s="111"/>
      <c r="AV745" s="111"/>
      <c r="AW745" s="111"/>
      <c r="AX745" s="111"/>
      <c r="AY745" s="111"/>
      <c r="AZ745" s="111"/>
      <c r="BA745" s="111"/>
      <c r="BB745" s="111"/>
      <c r="BC745" s="111"/>
      <c r="BD745" s="111"/>
      <c r="BE745" s="111"/>
      <c r="BF745" s="111"/>
    </row>
    <row r="746" ht="14.25" customHeight="1">
      <c r="A746" s="111"/>
      <c r="B746" s="111"/>
      <c r="C746" s="112"/>
      <c r="D746" s="112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/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/>
      <c r="BB746" s="111"/>
      <c r="BC746" s="111"/>
      <c r="BD746" s="111"/>
      <c r="BE746" s="111"/>
      <c r="BF746" s="111"/>
    </row>
    <row r="747" ht="14.25" customHeight="1">
      <c r="A747" s="111"/>
      <c r="B747" s="111"/>
      <c r="C747" s="112"/>
      <c r="D747" s="112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/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/>
      <c r="BB747" s="111"/>
      <c r="BC747" s="111"/>
      <c r="BD747" s="111"/>
      <c r="BE747" s="111"/>
      <c r="BF747" s="111"/>
    </row>
    <row r="748" ht="14.25" customHeight="1">
      <c r="A748" s="111"/>
      <c r="B748" s="111"/>
      <c r="C748" s="112"/>
      <c r="D748" s="112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  <c r="AL748" s="111"/>
      <c r="AM748" s="111"/>
      <c r="AN748" s="111"/>
      <c r="AO748" s="111"/>
      <c r="AP748" s="111"/>
      <c r="AQ748" s="111"/>
      <c r="AR748" s="111"/>
      <c r="AS748" s="111"/>
      <c r="AT748" s="111"/>
      <c r="AU748" s="111"/>
      <c r="AV748" s="111"/>
      <c r="AW748" s="111"/>
      <c r="AX748" s="111"/>
      <c r="AY748" s="111"/>
      <c r="AZ748" s="111"/>
      <c r="BA748" s="111"/>
      <c r="BB748" s="111"/>
      <c r="BC748" s="111"/>
      <c r="BD748" s="111"/>
      <c r="BE748" s="111"/>
      <c r="BF748" s="111"/>
    </row>
    <row r="749" ht="14.25" customHeight="1">
      <c r="A749" s="111"/>
      <c r="B749" s="111"/>
      <c r="C749" s="112"/>
      <c r="D749" s="112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/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/>
      <c r="BB749" s="111"/>
      <c r="BC749" s="111"/>
      <c r="BD749" s="111"/>
      <c r="BE749" s="111"/>
      <c r="BF749" s="111"/>
    </row>
    <row r="750" ht="14.25" customHeight="1">
      <c r="A750" s="111"/>
      <c r="B750" s="111"/>
      <c r="C750" s="112"/>
      <c r="D750" s="112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  <c r="AL750" s="111"/>
      <c r="AM750" s="111"/>
      <c r="AN750" s="111"/>
      <c r="AO750" s="111"/>
      <c r="AP750" s="111"/>
      <c r="AQ750" s="111"/>
      <c r="AR750" s="111"/>
      <c r="AS750" s="111"/>
      <c r="AT750" s="111"/>
      <c r="AU750" s="111"/>
      <c r="AV750" s="111"/>
      <c r="AW750" s="111"/>
      <c r="AX750" s="111"/>
      <c r="AY750" s="111"/>
      <c r="AZ750" s="111"/>
      <c r="BA750" s="111"/>
      <c r="BB750" s="111"/>
      <c r="BC750" s="111"/>
      <c r="BD750" s="111"/>
      <c r="BE750" s="111"/>
      <c r="BF750" s="111"/>
    </row>
    <row r="751" ht="14.25" customHeight="1">
      <c r="A751" s="111"/>
      <c r="B751" s="111"/>
      <c r="C751" s="112"/>
      <c r="D751" s="112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  <c r="AL751" s="111"/>
      <c r="AM751" s="111"/>
      <c r="AN751" s="111"/>
      <c r="AO751" s="111"/>
      <c r="AP751" s="111"/>
      <c r="AQ751" s="111"/>
      <c r="AR751" s="111"/>
      <c r="AS751" s="111"/>
      <c r="AT751" s="111"/>
      <c r="AU751" s="111"/>
      <c r="AV751" s="111"/>
      <c r="AW751" s="111"/>
      <c r="AX751" s="111"/>
      <c r="AY751" s="111"/>
      <c r="AZ751" s="111"/>
      <c r="BA751" s="111"/>
      <c r="BB751" s="111"/>
      <c r="BC751" s="111"/>
      <c r="BD751" s="111"/>
      <c r="BE751" s="111"/>
      <c r="BF751" s="111"/>
    </row>
    <row r="752" ht="14.25" customHeight="1">
      <c r="A752" s="111"/>
      <c r="B752" s="111"/>
      <c r="C752" s="112"/>
      <c r="D752" s="112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  <c r="AL752" s="111"/>
      <c r="AM752" s="111"/>
      <c r="AN752" s="111"/>
      <c r="AO752" s="111"/>
      <c r="AP752" s="111"/>
      <c r="AQ752" s="111"/>
      <c r="AR752" s="111"/>
      <c r="AS752" s="111"/>
      <c r="AT752" s="111"/>
      <c r="AU752" s="111"/>
      <c r="AV752" s="111"/>
      <c r="AW752" s="111"/>
      <c r="AX752" s="111"/>
      <c r="AY752" s="111"/>
      <c r="AZ752" s="111"/>
      <c r="BA752" s="111"/>
      <c r="BB752" s="111"/>
      <c r="BC752" s="111"/>
      <c r="BD752" s="111"/>
      <c r="BE752" s="111"/>
      <c r="BF752" s="111"/>
    </row>
    <row r="753" ht="14.25" customHeight="1">
      <c r="A753" s="111"/>
      <c r="B753" s="111"/>
      <c r="C753" s="112"/>
      <c r="D753" s="112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  <c r="AL753" s="111"/>
      <c r="AM753" s="111"/>
      <c r="AN753" s="111"/>
      <c r="AO753" s="111"/>
      <c r="AP753" s="111"/>
      <c r="AQ753" s="111"/>
      <c r="AR753" s="111"/>
      <c r="AS753" s="111"/>
      <c r="AT753" s="111"/>
      <c r="AU753" s="111"/>
      <c r="AV753" s="111"/>
      <c r="AW753" s="111"/>
      <c r="AX753" s="111"/>
      <c r="AY753" s="111"/>
      <c r="AZ753" s="111"/>
      <c r="BA753" s="111"/>
      <c r="BB753" s="111"/>
      <c r="BC753" s="111"/>
      <c r="BD753" s="111"/>
      <c r="BE753" s="111"/>
      <c r="BF753" s="111"/>
    </row>
    <row r="754" ht="14.25" customHeight="1">
      <c r="A754" s="111"/>
      <c r="B754" s="111"/>
      <c r="C754" s="112"/>
      <c r="D754" s="112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  <c r="AL754" s="111"/>
      <c r="AM754" s="111"/>
      <c r="AN754" s="111"/>
      <c r="AO754" s="111"/>
      <c r="AP754" s="111"/>
      <c r="AQ754" s="111"/>
      <c r="AR754" s="111"/>
      <c r="AS754" s="111"/>
      <c r="AT754" s="111"/>
      <c r="AU754" s="111"/>
      <c r="AV754" s="111"/>
      <c r="AW754" s="111"/>
      <c r="AX754" s="111"/>
      <c r="AY754" s="111"/>
      <c r="AZ754" s="111"/>
      <c r="BA754" s="111"/>
      <c r="BB754" s="111"/>
      <c r="BC754" s="111"/>
      <c r="BD754" s="111"/>
      <c r="BE754" s="111"/>
      <c r="BF754" s="111"/>
    </row>
    <row r="755" ht="14.25" customHeight="1">
      <c r="A755" s="111"/>
      <c r="B755" s="111"/>
      <c r="C755" s="112"/>
      <c r="D755" s="112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  <c r="AL755" s="111"/>
      <c r="AM755" s="111"/>
      <c r="AN755" s="111"/>
      <c r="AO755" s="111"/>
      <c r="AP755" s="111"/>
      <c r="AQ755" s="111"/>
      <c r="AR755" s="111"/>
      <c r="AS755" s="111"/>
      <c r="AT755" s="111"/>
      <c r="AU755" s="111"/>
      <c r="AV755" s="111"/>
      <c r="AW755" s="111"/>
      <c r="AX755" s="111"/>
      <c r="AY755" s="111"/>
      <c r="AZ755" s="111"/>
      <c r="BA755" s="111"/>
      <c r="BB755" s="111"/>
      <c r="BC755" s="111"/>
      <c r="BD755" s="111"/>
      <c r="BE755" s="111"/>
      <c r="BF755" s="111"/>
    </row>
    <row r="756" ht="14.25" customHeight="1">
      <c r="A756" s="111"/>
      <c r="B756" s="111"/>
      <c r="C756" s="112"/>
      <c r="D756" s="112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  <c r="AL756" s="111"/>
      <c r="AM756" s="111"/>
      <c r="AN756" s="111"/>
      <c r="AO756" s="111"/>
      <c r="AP756" s="111"/>
      <c r="AQ756" s="111"/>
      <c r="AR756" s="111"/>
      <c r="AS756" s="111"/>
      <c r="AT756" s="111"/>
      <c r="AU756" s="111"/>
      <c r="AV756" s="111"/>
      <c r="AW756" s="111"/>
      <c r="AX756" s="111"/>
      <c r="AY756" s="111"/>
      <c r="AZ756" s="111"/>
      <c r="BA756" s="111"/>
      <c r="BB756" s="111"/>
      <c r="BC756" s="111"/>
      <c r="BD756" s="111"/>
      <c r="BE756" s="111"/>
      <c r="BF756" s="111"/>
    </row>
    <row r="757" ht="14.25" customHeight="1">
      <c r="A757" s="111"/>
      <c r="B757" s="111"/>
      <c r="C757" s="112"/>
      <c r="D757" s="112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  <c r="AL757" s="111"/>
      <c r="AM757" s="111"/>
      <c r="AN757" s="111"/>
      <c r="AO757" s="111"/>
      <c r="AP757" s="111"/>
      <c r="AQ757" s="111"/>
      <c r="AR757" s="111"/>
      <c r="AS757" s="111"/>
      <c r="AT757" s="111"/>
      <c r="AU757" s="111"/>
      <c r="AV757" s="111"/>
      <c r="AW757" s="111"/>
      <c r="AX757" s="111"/>
      <c r="AY757" s="111"/>
      <c r="AZ757" s="111"/>
      <c r="BA757" s="111"/>
      <c r="BB757" s="111"/>
      <c r="BC757" s="111"/>
      <c r="BD757" s="111"/>
      <c r="BE757" s="111"/>
      <c r="BF757" s="111"/>
    </row>
    <row r="758" ht="14.25" customHeight="1">
      <c r="A758" s="111"/>
      <c r="B758" s="111"/>
      <c r="C758" s="112"/>
      <c r="D758" s="112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  <c r="AL758" s="111"/>
      <c r="AM758" s="111"/>
      <c r="AN758" s="111"/>
      <c r="AO758" s="111"/>
      <c r="AP758" s="111"/>
      <c r="AQ758" s="111"/>
      <c r="AR758" s="111"/>
      <c r="AS758" s="111"/>
      <c r="AT758" s="111"/>
      <c r="AU758" s="111"/>
      <c r="AV758" s="111"/>
      <c r="AW758" s="111"/>
      <c r="AX758" s="111"/>
      <c r="AY758" s="111"/>
      <c r="AZ758" s="111"/>
      <c r="BA758" s="111"/>
      <c r="BB758" s="111"/>
      <c r="BC758" s="111"/>
      <c r="BD758" s="111"/>
      <c r="BE758" s="111"/>
      <c r="BF758" s="111"/>
    </row>
    <row r="759" ht="14.25" customHeight="1">
      <c r="A759" s="111"/>
      <c r="B759" s="111"/>
      <c r="C759" s="112"/>
      <c r="D759" s="112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  <c r="AL759" s="111"/>
      <c r="AM759" s="111"/>
      <c r="AN759" s="111"/>
      <c r="AO759" s="111"/>
      <c r="AP759" s="111"/>
      <c r="AQ759" s="111"/>
      <c r="AR759" s="111"/>
      <c r="AS759" s="111"/>
      <c r="AT759" s="111"/>
      <c r="AU759" s="111"/>
      <c r="AV759" s="111"/>
      <c r="AW759" s="111"/>
      <c r="AX759" s="111"/>
      <c r="AY759" s="111"/>
      <c r="AZ759" s="111"/>
      <c r="BA759" s="111"/>
      <c r="BB759" s="111"/>
      <c r="BC759" s="111"/>
      <c r="BD759" s="111"/>
      <c r="BE759" s="111"/>
      <c r="BF759" s="111"/>
    </row>
    <row r="760" ht="14.25" customHeight="1">
      <c r="A760" s="111"/>
      <c r="B760" s="111"/>
      <c r="C760" s="112"/>
      <c r="D760" s="112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  <c r="AM760" s="111"/>
      <c r="AN760" s="111"/>
      <c r="AO760" s="111"/>
      <c r="AP760" s="111"/>
      <c r="AQ760" s="111"/>
      <c r="AR760" s="111"/>
      <c r="AS760" s="111"/>
      <c r="AT760" s="111"/>
      <c r="AU760" s="111"/>
      <c r="AV760" s="111"/>
      <c r="AW760" s="111"/>
      <c r="AX760" s="111"/>
      <c r="AY760" s="111"/>
      <c r="AZ760" s="111"/>
      <c r="BA760" s="111"/>
      <c r="BB760" s="111"/>
      <c r="BC760" s="111"/>
      <c r="BD760" s="111"/>
      <c r="BE760" s="111"/>
      <c r="BF760" s="111"/>
    </row>
    <row r="761" ht="14.25" customHeight="1">
      <c r="A761" s="111"/>
      <c r="B761" s="111"/>
      <c r="C761" s="112"/>
      <c r="D761" s="112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  <c r="AJ761" s="111"/>
      <c r="AK761" s="111"/>
      <c r="AL761" s="111"/>
      <c r="AM761" s="111"/>
      <c r="AN761" s="111"/>
      <c r="AO761" s="111"/>
      <c r="AP761" s="111"/>
      <c r="AQ761" s="111"/>
      <c r="AR761" s="111"/>
      <c r="AS761" s="111"/>
      <c r="AT761" s="111"/>
      <c r="AU761" s="111"/>
      <c r="AV761" s="111"/>
      <c r="AW761" s="111"/>
      <c r="AX761" s="111"/>
      <c r="AY761" s="111"/>
      <c r="AZ761" s="111"/>
      <c r="BA761" s="111"/>
      <c r="BB761" s="111"/>
      <c r="BC761" s="111"/>
      <c r="BD761" s="111"/>
      <c r="BE761" s="111"/>
      <c r="BF761" s="111"/>
    </row>
    <row r="762" ht="14.25" customHeight="1">
      <c r="A762" s="111"/>
      <c r="B762" s="111"/>
      <c r="C762" s="112"/>
      <c r="D762" s="112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  <c r="AL762" s="111"/>
      <c r="AM762" s="111"/>
      <c r="AN762" s="111"/>
      <c r="AO762" s="111"/>
      <c r="AP762" s="111"/>
      <c r="AQ762" s="111"/>
      <c r="AR762" s="111"/>
      <c r="AS762" s="111"/>
      <c r="AT762" s="111"/>
      <c r="AU762" s="111"/>
      <c r="AV762" s="111"/>
      <c r="AW762" s="111"/>
      <c r="AX762" s="111"/>
      <c r="AY762" s="111"/>
      <c r="AZ762" s="111"/>
      <c r="BA762" s="111"/>
      <c r="BB762" s="111"/>
      <c r="BC762" s="111"/>
      <c r="BD762" s="111"/>
      <c r="BE762" s="111"/>
      <c r="BF762" s="111"/>
    </row>
    <row r="763" ht="14.25" customHeight="1">
      <c r="A763" s="111"/>
      <c r="B763" s="111"/>
      <c r="C763" s="112"/>
      <c r="D763" s="112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  <c r="AL763" s="111"/>
      <c r="AM763" s="111"/>
      <c r="AN763" s="111"/>
      <c r="AO763" s="111"/>
      <c r="AP763" s="111"/>
      <c r="AQ763" s="111"/>
      <c r="AR763" s="111"/>
      <c r="AS763" s="111"/>
      <c r="AT763" s="111"/>
      <c r="AU763" s="111"/>
      <c r="AV763" s="111"/>
      <c r="AW763" s="111"/>
      <c r="AX763" s="111"/>
      <c r="AY763" s="111"/>
      <c r="AZ763" s="111"/>
      <c r="BA763" s="111"/>
      <c r="BB763" s="111"/>
      <c r="BC763" s="111"/>
      <c r="BD763" s="111"/>
      <c r="BE763" s="111"/>
      <c r="BF763" s="111"/>
    </row>
    <row r="764" ht="14.25" customHeight="1">
      <c r="A764" s="111"/>
      <c r="B764" s="111"/>
      <c r="C764" s="112"/>
      <c r="D764" s="112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  <c r="AL764" s="111"/>
      <c r="AM764" s="111"/>
      <c r="AN764" s="111"/>
      <c r="AO764" s="111"/>
      <c r="AP764" s="111"/>
      <c r="AQ764" s="111"/>
      <c r="AR764" s="111"/>
      <c r="AS764" s="111"/>
      <c r="AT764" s="111"/>
      <c r="AU764" s="111"/>
      <c r="AV764" s="111"/>
      <c r="AW764" s="111"/>
      <c r="AX764" s="111"/>
      <c r="AY764" s="111"/>
      <c r="AZ764" s="111"/>
      <c r="BA764" s="111"/>
      <c r="BB764" s="111"/>
      <c r="BC764" s="111"/>
      <c r="BD764" s="111"/>
      <c r="BE764" s="111"/>
      <c r="BF764" s="111"/>
    </row>
    <row r="765" ht="14.25" customHeight="1">
      <c r="A765" s="111"/>
      <c r="B765" s="111"/>
      <c r="C765" s="112"/>
      <c r="D765" s="112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  <c r="AL765" s="111"/>
      <c r="AM765" s="111"/>
      <c r="AN765" s="111"/>
      <c r="AO765" s="111"/>
      <c r="AP765" s="111"/>
      <c r="AQ765" s="111"/>
      <c r="AR765" s="111"/>
      <c r="AS765" s="111"/>
      <c r="AT765" s="111"/>
      <c r="AU765" s="111"/>
      <c r="AV765" s="111"/>
      <c r="AW765" s="111"/>
      <c r="AX765" s="111"/>
      <c r="AY765" s="111"/>
      <c r="AZ765" s="111"/>
      <c r="BA765" s="111"/>
      <c r="BB765" s="111"/>
      <c r="BC765" s="111"/>
      <c r="BD765" s="111"/>
      <c r="BE765" s="111"/>
      <c r="BF765" s="111"/>
    </row>
    <row r="766" ht="14.25" customHeight="1">
      <c r="A766" s="111"/>
      <c r="B766" s="111"/>
      <c r="C766" s="112"/>
      <c r="D766" s="112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  <c r="AL766" s="111"/>
      <c r="AM766" s="111"/>
      <c r="AN766" s="111"/>
      <c r="AO766" s="111"/>
      <c r="AP766" s="111"/>
      <c r="AQ766" s="111"/>
      <c r="AR766" s="111"/>
      <c r="AS766" s="111"/>
      <c r="AT766" s="111"/>
      <c r="AU766" s="111"/>
      <c r="AV766" s="111"/>
      <c r="AW766" s="111"/>
      <c r="AX766" s="111"/>
      <c r="AY766" s="111"/>
      <c r="AZ766" s="111"/>
      <c r="BA766" s="111"/>
      <c r="BB766" s="111"/>
      <c r="BC766" s="111"/>
      <c r="BD766" s="111"/>
      <c r="BE766" s="111"/>
      <c r="BF766" s="111"/>
    </row>
    <row r="767" ht="14.25" customHeight="1">
      <c r="A767" s="111"/>
      <c r="B767" s="111"/>
      <c r="C767" s="112"/>
      <c r="D767" s="112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  <c r="AL767" s="111"/>
      <c r="AM767" s="111"/>
      <c r="AN767" s="111"/>
      <c r="AO767" s="111"/>
      <c r="AP767" s="111"/>
      <c r="AQ767" s="111"/>
      <c r="AR767" s="111"/>
      <c r="AS767" s="111"/>
      <c r="AT767" s="111"/>
      <c r="AU767" s="111"/>
      <c r="AV767" s="111"/>
      <c r="AW767" s="111"/>
      <c r="AX767" s="111"/>
      <c r="AY767" s="111"/>
      <c r="AZ767" s="111"/>
      <c r="BA767" s="111"/>
      <c r="BB767" s="111"/>
      <c r="BC767" s="111"/>
      <c r="BD767" s="111"/>
      <c r="BE767" s="111"/>
      <c r="BF767" s="111"/>
    </row>
    <row r="768" ht="14.25" customHeight="1">
      <c r="A768" s="111"/>
      <c r="B768" s="111"/>
      <c r="C768" s="112"/>
      <c r="D768" s="112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  <c r="AL768" s="111"/>
      <c r="AM768" s="111"/>
      <c r="AN768" s="111"/>
      <c r="AO768" s="111"/>
      <c r="AP768" s="111"/>
      <c r="AQ768" s="111"/>
      <c r="AR768" s="111"/>
      <c r="AS768" s="111"/>
      <c r="AT768" s="111"/>
      <c r="AU768" s="111"/>
      <c r="AV768" s="111"/>
      <c r="AW768" s="111"/>
      <c r="AX768" s="111"/>
      <c r="AY768" s="111"/>
      <c r="AZ768" s="111"/>
      <c r="BA768" s="111"/>
      <c r="BB768" s="111"/>
      <c r="BC768" s="111"/>
      <c r="BD768" s="111"/>
      <c r="BE768" s="111"/>
      <c r="BF768" s="111"/>
    </row>
    <row r="769" ht="14.25" customHeight="1">
      <c r="A769" s="111"/>
      <c r="B769" s="111"/>
      <c r="C769" s="112"/>
      <c r="D769" s="112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  <c r="AM769" s="111"/>
      <c r="AN769" s="111"/>
      <c r="AO769" s="111"/>
      <c r="AP769" s="111"/>
      <c r="AQ769" s="111"/>
      <c r="AR769" s="111"/>
      <c r="AS769" s="111"/>
      <c r="AT769" s="111"/>
      <c r="AU769" s="111"/>
      <c r="AV769" s="111"/>
      <c r="AW769" s="111"/>
      <c r="AX769" s="111"/>
      <c r="AY769" s="111"/>
      <c r="AZ769" s="111"/>
      <c r="BA769" s="111"/>
      <c r="BB769" s="111"/>
      <c r="BC769" s="111"/>
      <c r="BD769" s="111"/>
      <c r="BE769" s="111"/>
      <c r="BF769" s="111"/>
    </row>
    <row r="770" ht="14.25" customHeight="1">
      <c r="A770" s="111"/>
      <c r="B770" s="111"/>
      <c r="C770" s="112"/>
      <c r="D770" s="112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  <c r="AL770" s="111"/>
      <c r="AM770" s="111"/>
      <c r="AN770" s="111"/>
      <c r="AO770" s="111"/>
      <c r="AP770" s="111"/>
      <c r="AQ770" s="111"/>
      <c r="AR770" s="111"/>
      <c r="AS770" s="111"/>
      <c r="AT770" s="111"/>
      <c r="AU770" s="111"/>
      <c r="AV770" s="111"/>
      <c r="AW770" s="111"/>
      <c r="AX770" s="111"/>
      <c r="AY770" s="111"/>
      <c r="AZ770" s="111"/>
      <c r="BA770" s="111"/>
      <c r="BB770" s="111"/>
      <c r="BC770" s="111"/>
      <c r="BD770" s="111"/>
      <c r="BE770" s="111"/>
      <c r="BF770" s="111"/>
    </row>
    <row r="771" ht="14.25" customHeight="1">
      <c r="A771" s="111"/>
      <c r="B771" s="111"/>
      <c r="C771" s="112"/>
      <c r="D771" s="112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  <c r="AL771" s="111"/>
      <c r="AM771" s="111"/>
      <c r="AN771" s="111"/>
      <c r="AO771" s="111"/>
      <c r="AP771" s="111"/>
      <c r="AQ771" s="111"/>
      <c r="AR771" s="111"/>
      <c r="AS771" s="111"/>
      <c r="AT771" s="111"/>
      <c r="AU771" s="111"/>
      <c r="AV771" s="111"/>
      <c r="AW771" s="111"/>
      <c r="AX771" s="111"/>
      <c r="AY771" s="111"/>
      <c r="AZ771" s="111"/>
      <c r="BA771" s="111"/>
      <c r="BB771" s="111"/>
      <c r="BC771" s="111"/>
      <c r="BD771" s="111"/>
      <c r="BE771" s="111"/>
      <c r="BF771" s="111"/>
    </row>
    <row r="772" ht="14.25" customHeight="1">
      <c r="A772" s="111"/>
      <c r="B772" s="111"/>
      <c r="C772" s="112"/>
      <c r="D772" s="112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  <c r="AL772" s="111"/>
      <c r="AM772" s="111"/>
      <c r="AN772" s="111"/>
      <c r="AO772" s="111"/>
      <c r="AP772" s="111"/>
      <c r="AQ772" s="111"/>
      <c r="AR772" s="111"/>
      <c r="AS772" s="111"/>
      <c r="AT772" s="111"/>
      <c r="AU772" s="111"/>
      <c r="AV772" s="111"/>
      <c r="AW772" s="111"/>
      <c r="AX772" s="111"/>
      <c r="AY772" s="111"/>
      <c r="AZ772" s="111"/>
      <c r="BA772" s="111"/>
      <c r="BB772" s="111"/>
      <c r="BC772" s="111"/>
      <c r="BD772" s="111"/>
      <c r="BE772" s="111"/>
      <c r="BF772" s="111"/>
    </row>
    <row r="773" ht="14.25" customHeight="1">
      <c r="A773" s="111"/>
      <c r="B773" s="111"/>
      <c r="C773" s="112"/>
      <c r="D773" s="112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  <c r="AL773" s="111"/>
      <c r="AM773" s="111"/>
      <c r="AN773" s="111"/>
      <c r="AO773" s="111"/>
      <c r="AP773" s="111"/>
      <c r="AQ773" s="111"/>
      <c r="AR773" s="111"/>
      <c r="AS773" s="111"/>
      <c r="AT773" s="111"/>
      <c r="AU773" s="111"/>
      <c r="AV773" s="111"/>
      <c r="AW773" s="111"/>
      <c r="AX773" s="111"/>
      <c r="AY773" s="111"/>
      <c r="AZ773" s="111"/>
      <c r="BA773" s="111"/>
      <c r="BB773" s="111"/>
      <c r="BC773" s="111"/>
      <c r="BD773" s="111"/>
      <c r="BE773" s="111"/>
      <c r="BF773" s="111"/>
    </row>
    <row r="774" ht="14.25" customHeight="1">
      <c r="A774" s="111"/>
      <c r="B774" s="111"/>
      <c r="C774" s="112"/>
      <c r="D774" s="112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  <c r="AL774" s="111"/>
      <c r="AM774" s="111"/>
      <c r="AN774" s="111"/>
      <c r="AO774" s="111"/>
      <c r="AP774" s="111"/>
      <c r="AQ774" s="111"/>
      <c r="AR774" s="111"/>
      <c r="AS774" s="111"/>
      <c r="AT774" s="111"/>
      <c r="AU774" s="111"/>
      <c r="AV774" s="111"/>
      <c r="AW774" s="111"/>
      <c r="AX774" s="111"/>
      <c r="AY774" s="111"/>
      <c r="AZ774" s="111"/>
      <c r="BA774" s="111"/>
      <c r="BB774" s="111"/>
      <c r="BC774" s="111"/>
      <c r="BD774" s="111"/>
      <c r="BE774" s="111"/>
      <c r="BF774" s="111"/>
    </row>
    <row r="775" ht="14.25" customHeight="1">
      <c r="A775" s="111"/>
      <c r="B775" s="111"/>
      <c r="C775" s="112"/>
      <c r="D775" s="112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  <c r="AL775" s="111"/>
      <c r="AM775" s="111"/>
      <c r="AN775" s="111"/>
      <c r="AO775" s="111"/>
      <c r="AP775" s="111"/>
      <c r="AQ775" s="111"/>
      <c r="AR775" s="111"/>
      <c r="AS775" s="111"/>
      <c r="AT775" s="111"/>
      <c r="AU775" s="111"/>
      <c r="AV775" s="111"/>
      <c r="AW775" s="111"/>
      <c r="AX775" s="111"/>
      <c r="AY775" s="111"/>
      <c r="AZ775" s="111"/>
      <c r="BA775" s="111"/>
      <c r="BB775" s="111"/>
      <c r="BC775" s="111"/>
      <c r="BD775" s="111"/>
      <c r="BE775" s="111"/>
      <c r="BF775" s="111"/>
    </row>
    <row r="776" ht="14.25" customHeight="1">
      <c r="A776" s="111"/>
      <c r="B776" s="111"/>
      <c r="C776" s="112"/>
      <c r="D776" s="112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  <c r="AL776" s="111"/>
      <c r="AM776" s="111"/>
      <c r="AN776" s="111"/>
      <c r="AO776" s="111"/>
      <c r="AP776" s="111"/>
      <c r="AQ776" s="111"/>
      <c r="AR776" s="111"/>
      <c r="AS776" s="111"/>
      <c r="AT776" s="111"/>
      <c r="AU776" s="111"/>
      <c r="AV776" s="111"/>
      <c r="AW776" s="111"/>
      <c r="AX776" s="111"/>
      <c r="AY776" s="111"/>
      <c r="AZ776" s="111"/>
      <c r="BA776" s="111"/>
      <c r="BB776" s="111"/>
      <c r="BC776" s="111"/>
      <c r="BD776" s="111"/>
      <c r="BE776" s="111"/>
      <c r="BF776" s="111"/>
    </row>
    <row r="777" ht="14.25" customHeight="1">
      <c r="A777" s="111"/>
      <c r="B777" s="111"/>
      <c r="C777" s="112"/>
      <c r="D777" s="112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  <c r="AL777" s="111"/>
      <c r="AM777" s="111"/>
      <c r="AN777" s="111"/>
      <c r="AO777" s="111"/>
      <c r="AP777" s="111"/>
      <c r="AQ777" s="111"/>
      <c r="AR777" s="111"/>
      <c r="AS777" s="111"/>
      <c r="AT777" s="111"/>
      <c r="AU777" s="111"/>
      <c r="AV777" s="111"/>
      <c r="AW777" s="111"/>
      <c r="AX777" s="111"/>
      <c r="AY777" s="111"/>
      <c r="AZ777" s="111"/>
      <c r="BA777" s="111"/>
      <c r="BB777" s="111"/>
      <c r="BC777" s="111"/>
      <c r="BD777" s="111"/>
      <c r="BE777" s="111"/>
      <c r="BF777" s="111"/>
    </row>
    <row r="778" ht="14.25" customHeight="1">
      <c r="A778" s="111"/>
      <c r="B778" s="111"/>
      <c r="C778" s="112"/>
      <c r="D778" s="112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  <c r="AL778" s="111"/>
      <c r="AM778" s="111"/>
      <c r="AN778" s="111"/>
      <c r="AO778" s="111"/>
      <c r="AP778" s="111"/>
      <c r="AQ778" s="111"/>
      <c r="AR778" s="111"/>
      <c r="AS778" s="111"/>
      <c r="AT778" s="111"/>
      <c r="AU778" s="111"/>
      <c r="AV778" s="111"/>
      <c r="AW778" s="111"/>
      <c r="AX778" s="111"/>
      <c r="AY778" s="111"/>
      <c r="AZ778" s="111"/>
      <c r="BA778" s="111"/>
      <c r="BB778" s="111"/>
      <c r="BC778" s="111"/>
      <c r="BD778" s="111"/>
      <c r="BE778" s="111"/>
      <c r="BF778" s="111"/>
    </row>
    <row r="779" ht="14.25" customHeight="1">
      <c r="A779" s="111"/>
      <c r="B779" s="111"/>
      <c r="C779" s="112"/>
      <c r="D779" s="112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  <c r="AL779" s="111"/>
      <c r="AM779" s="111"/>
      <c r="AN779" s="111"/>
      <c r="AO779" s="111"/>
      <c r="AP779" s="111"/>
      <c r="AQ779" s="111"/>
      <c r="AR779" s="111"/>
      <c r="AS779" s="111"/>
      <c r="AT779" s="111"/>
      <c r="AU779" s="111"/>
      <c r="AV779" s="111"/>
      <c r="AW779" s="111"/>
      <c r="AX779" s="111"/>
      <c r="AY779" s="111"/>
      <c r="AZ779" s="111"/>
      <c r="BA779" s="111"/>
      <c r="BB779" s="111"/>
      <c r="BC779" s="111"/>
      <c r="BD779" s="111"/>
      <c r="BE779" s="111"/>
      <c r="BF779" s="111"/>
    </row>
    <row r="780" ht="14.25" customHeight="1">
      <c r="A780" s="111"/>
      <c r="B780" s="111"/>
      <c r="C780" s="112"/>
      <c r="D780" s="112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  <c r="AL780" s="111"/>
      <c r="AM780" s="111"/>
      <c r="AN780" s="111"/>
      <c r="AO780" s="111"/>
      <c r="AP780" s="111"/>
      <c r="AQ780" s="111"/>
      <c r="AR780" s="111"/>
      <c r="AS780" s="111"/>
      <c r="AT780" s="111"/>
      <c r="AU780" s="111"/>
      <c r="AV780" s="111"/>
      <c r="AW780" s="111"/>
      <c r="AX780" s="111"/>
      <c r="AY780" s="111"/>
      <c r="AZ780" s="111"/>
      <c r="BA780" s="111"/>
      <c r="BB780" s="111"/>
      <c r="BC780" s="111"/>
      <c r="BD780" s="111"/>
      <c r="BE780" s="111"/>
      <c r="BF780" s="111"/>
    </row>
    <row r="781" ht="14.25" customHeight="1">
      <c r="A781" s="111"/>
      <c r="B781" s="111"/>
      <c r="C781" s="112"/>
      <c r="D781" s="112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  <c r="AL781" s="111"/>
      <c r="AM781" s="111"/>
      <c r="AN781" s="111"/>
      <c r="AO781" s="111"/>
      <c r="AP781" s="111"/>
      <c r="AQ781" s="111"/>
      <c r="AR781" s="111"/>
      <c r="AS781" s="111"/>
      <c r="AT781" s="111"/>
      <c r="AU781" s="111"/>
      <c r="AV781" s="111"/>
      <c r="AW781" s="111"/>
      <c r="AX781" s="111"/>
      <c r="AY781" s="111"/>
      <c r="AZ781" s="111"/>
      <c r="BA781" s="111"/>
      <c r="BB781" s="111"/>
      <c r="BC781" s="111"/>
      <c r="BD781" s="111"/>
      <c r="BE781" s="111"/>
      <c r="BF781" s="111"/>
    </row>
    <row r="782" ht="14.25" customHeight="1">
      <c r="A782" s="111"/>
      <c r="B782" s="111"/>
      <c r="C782" s="112"/>
      <c r="D782" s="112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  <c r="AL782" s="111"/>
      <c r="AM782" s="111"/>
      <c r="AN782" s="111"/>
      <c r="AO782" s="111"/>
      <c r="AP782" s="111"/>
      <c r="AQ782" s="111"/>
      <c r="AR782" s="111"/>
      <c r="AS782" s="111"/>
      <c r="AT782" s="111"/>
      <c r="AU782" s="111"/>
      <c r="AV782" s="111"/>
      <c r="AW782" s="111"/>
      <c r="AX782" s="111"/>
      <c r="AY782" s="111"/>
      <c r="AZ782" s="111"/>
      <c r="BA782" s="111"/>
      <c r="BB782" s="111"/>
      <c r="BC782" s="111"/>
      <c r="BD782" s="111"/>
      <c r="BE782" s="111"/>
      <c r="BF782" s="111"/>
    </row>
    <row r="783" ht="14.25" customHeight="1">
      <c r="A783" s="111"/>
      <c r="B783" s="111"/>
      <c r="C783" s="112"/>
      <c r="D783" s="112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  <c r="AL783" s="111"/>
      <c r="AM783" s="111"/>
      <c r="AN783" s="111"/>
      <c r="AO783" s="111"/>
      <c r="AP783" s="111"/>
      <c r="AQ783" s="111"/>
      <c r="AR783" s="111"/>
      <c r="AS783" s="111"/>
      <c r="AT783" s="111"/>
      <c r="AU783" s="111"/>
      <c r="AV783" s="111"/>
      <c r="AW783" s="111"/>
      <c r="AX783" s="111"/>
      <c r="AY783" s="111"/>
      <c r="AZ783" s="111"/>
      <c r="BA783" s="111"/>
      <c r="BB783" s="111"/>
      <c r="BC783" s="111"/>
      <c r="BD783" s="111"/>
      <c r="BE783" s="111"/>
      <c r="BF783" s="111"/>
    </row>
    <row r="784" ht="14.25" customHeight="1">
      <c r="A784" s="111"/>
      <c r="B784" s="111"/>
      <c r="C784" s="112"/>
      <c r="D784" s="112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/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/>
      <c r="BB784" s="111"/>
      <c r="BC784" s="111"/>
      <c r="BD784" s="111"/>
      <c r="BE784" s="111"/>
      <c r="BF784" s="111"/>
    </row>
    <row r="785" ht="14.25" customHeight="1">
      <c r="A785" s="111"/>
      <c r="B785" s="111"/>
      <c r="C785" s="112"/>
      <c r="D785" s="112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/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/>
      <c r="BB785" s="111"/>
      <c r="BC785" s="111"/>
      <c r="BD785" s="111"/>
      <c r="BE785" s="111"/>
      <c r="BF785" s="111"/>
    </row>
    <row r="786" ht="14.25" customHeight="1">
      <c r="A786" s="111"/>
      <c r="B786" s="111"/>
      <c r="C786" s="112"/>
      <c r="D786" s="112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  <c r="AL786" s="111"/>
      <c r="AM786" s="111"/>
      <c r="AN786" s="111"/>
      <c r="AO786" s="111"/>
      <c r="AP786" s="111"/>
      <c r="AQ786" s="111"/>
      <c r="AR786" s="111"/>
      <c r="AS786" s="111"/>
      <c r="AT786" s="111"/>
      <c r="AU786" s="111"/>
      <c r="AV786" s="111"/>
      <c r="AW786" s="111"/>
      <c r="AX786" s="111"/>
      <c r="AY786" s="111"/>
      <c r="AZ786" s="111"/>
      <c r="BA786" s="111"/>
      <c r="BB786" s="111"/>
      <c r="BC786" s="111"/>
      <c r="BD786" s="111"/>
      <c r="BE786" s="111"/>
      <c r="BF786" s="111"/>
    </row>
    <row r="787" ht="14.25" customHeight="1">
      <c r="A787" s="111"/>
      <c r="B787" s="111"/>
      <c r="C787" s="112"/>
      <c r="D787" s="112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/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/>
      <c r="BB787" s="111"/>
      <c r="BC787" s="111"/>
      <c r="BD787" s="111"/>
      <c r="BE787" s="111"/>
      <c r="BF787" s="111"/>
    </row>
    <row r="788" ht="14.25" customHeight="1">
      <c r="A788" s="111"/>
      <c r="B788" s="111"/>
      <c r="C788" s="112"/>
      <c r="D788" s="112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  <c r="AL788" s="111"/>
      <c r="AM788" s="111"/>
      <c r="AN788" s="111"/>
      <c r="AO788" s="111"/>
      <c r="AP788" s="111"/>
      <c r="AQ788" s="111"/>
      <c r="AR788" s="111"/>
      <c r="AS788" s="111"/>
      <c r="AT788" s="111"/>
      <c r="AU788" s="111"/>
      <c r="AV788" s="111"/>
      <c r="AW788" s="111"/>
      <c r="AX788" s="111"/>
      <c r="AY788" s="111"/>
      <c r="AZ788" s="111"/>
      <c r="BA788" s="111"/>
      <c r="BB788" s="111"/>
      <c r="BC788" s="111"/>
      <c r="BD788" s="111"/>
      <c r="BE788" s="111"/>
      <c r="BF788" s="111"/>
    </row>
    <row r="789" ht="14.25" customHeight="1">
      <c r="A789" s="111"/>
      <c r="B789" s="111"/>
      <c r="C789" s="112"/>
      <c r="D789" s="112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  <c r="AL789" s="111"/>
      <c r="AM789" s="111"/>
      <c r="AN789" s="111"/>
      <c r="AO789" s="111"/>
      <c r="AP789" s="111"/>
      <c r="AQ789" s="111"/>
      <c r="AR789" s="111"/>
      <c r="AS789" s="111"/>
      <c r="AT789" s="111"/>
      <c r="AU789" s="111"/>
      <c r="AV789" s="111"/>
      <c r="AW789" s="111"/>
      <c r="AX789" s="111"/>
      <c r="AY789" s="111"/>
      <c r="AZ789" s="111"/>
      <c r="BA789" s="111"/>
      <c r="BB789" s="111"/>
      <c r="BC789" s="111"/>
      <c r="BD789" s="111"/>
      <c r="BE789" s="111"/>
      <c r="BF789" s="111"/>
    </row>
    <row r="790" ht="14.25" customHeight="1">
      <c r="A790" s="111"/>
      <c r="B790" s="111"/>
      <c r="C790" s="112"/>
      <c r="D790" s="112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  <c r="AL790" s="111"/>
      <c r="AM790" s="111"/>
      <c r="AN790" s="111"/>
      <c r="AO790" s="111"/>
      <c r="AP790" s="111"/>
      <c r="AQ790" s="111"/>
      <c r="AR790" s="111"/>
      <c r="AS790" s="111"/>
      <c r="AT790" s="111"/>
      <c r="AU790" s="111"/>
      <c r="AV790" s="111"/>
      <c r="AW790" s="111"/>
      <c r="AX790" s="111"/>
      <c r="AY790" s="111"/>
      <c r="AZ790" s="111"/>
      <c r="BA790" s="111"/>
      <c r="BB790" s="111"/>
      <c r="BC790" s="111"/>
      <c r="BD790" s="111"/>
      <c r="BE790" s="111"/>
      <c r="BF790" s="111"/>
    </row>
    <row r="791" ht="14.25" customHeight="1">
      <c r="A791" s="111"/>
      <c r="B791" s="111"/>
      <c r="C791" s="112"/>
      <c r="D791" s="112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  <c r="AL791" s="111"/>
      <c r="AM791" s="111"/>
      <c r="AN791" s="111"/>
      <c r="AO791" s="111"/>
      <c r="AP791" s="111"/>
      <c r="AQ791" s="111"/>
      <c r="AR791" s="111"/>
      <c r="AS791" s="111"/>
      <c r="AT791" s="111"/>
      <c r="AU791" s="111"/>
      <c r="AV791" s="111"/>
      <c r="AW791" s="111"/>
      <c r="AX791" s="111"/>
      <c r="AY791" s="111"/>
      <c r="AZ791" s="111"/>
      <c r="BA791" s="111"/>
      <c r="BB791" s="111"/>
      <c r="BC791" s="111"/>
      <c r="BD791" s="111"/>
      <c r="BE791" s="111"/>
      <c r="BF791" s="111"/>
    </row>
    <row r="792" ht="14.25" customHeight="1">
      <c r="A792" s="111"/>
      <c r="B792" s="111"/>
      <c r="C792" s="112"/>
      <c r="D792" s="112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  <c r="AL792" s="111"/>
      <c r="AM792" s="111"/>
      <c r="AN792" s="111"/>
      <c r="AO792" s="111"/>
      <c r="AP792" s="111"/>
      <c r="AQ792" s="111"/>
      <c r="AR792" s="111"/>
      <c r="AS792" s="111"/>
      <c r="AT792" s="111"/>
      <c r="AU792" s="111"/>
      <c r="AV792" s="111"/>
      <c r="AW792" s="111"/>
      <c r="AX792" s="111"/>
      <c r="AY792" s="111"/>
      <c r="AZ792" s="111"/>
      <c r="BA792" s="111"/>
      <c r="BB792" s="111"/>
      <c r="BC792" s="111"/>
      <c r="BD792" s="111"/>
      <c r="BE792" s="111"/>
      <c r="BF792" s="111"/>
    </row>
    <row r="793" ht="14.25" customHeight="1">
      <c r="A793" s="111"/>
      <c r="B793" s="111"/>
      <c r="C793" s="112"/>
      <c r="D793" s="112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  <c r="AL793" s="111"/>
      <c r="AM793" s="111"/>
      <c r="AN793" s="111"/>
      <c r="AO793" s="111"/>
      <c r="AP793" s="111"/>
      <c r="AQ793" s="111"/>
      <c r="AR793" s="111"/>
      <c r="AS793" s="111"/>
      <c r="AT793" s="111"/>
      <c r="AU793" s="111"/>
      <c r="AV793" s="111"/>
      <c r="AW793" s="111"/>
      <c r="AX793" s="111"/>
      <c r="AY793" s="111"/>
      <c r="AZ793" s="111"/>
      <c r="BA793" s="111"/>
      <c r="BB793" s="111"/>
      <c r="BC793" s="111"/>
      <c r="BD793" s="111"/>
      <c r="BE793" s="111"/>
      <c r="BF793" s="111"/>
    </row>
    <row r="794" ht="14.25" customHeight="1">
      <c r="A794" s="111"/>
      <c r="B794" s="111"/>
      <c r="C794" s="112"/>
      <c r="D794" s="112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  <c r="AL794" s="111"/>
      <c r="AM794" s="111"/>
      <c r="AN794" s="111"/>
      <c r="AO794" s="111"/>
      <c r="AP794" s="111"/>
      <c r="AQ794" s="111"/>
      <c r="AR794" s="111"/>
      <c r="AS794" s="111"/>
      <c r="AT794" s="111"/>
      <c r="AU794" s="111"/>
      <c r="AV794" s="111"/>
      <c r="AW794" s="111"/>
      <c r="AX794" s="111"/>
      <c r="AY794" s="111"/>
      <c r="AZ794" s="111"/>
      <c r="BA794" s="111"/>
      <c r="BB794" s="111"/>
      <c r="BC794" s="111"/>
      <c r="BD794" s="111"/>
      <c r="BE794" s="111"/>
      <c r="BF794" s="111"/>
    </row>
    <row r="795" ht="14.25" customHeight="1">
      <c r="A795" s="111"/>
      <c r="B795" s="111"/>
      <c r="C795" s="112"/>
      <c r="D795" s="112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  <c r="AL795" s="111"/>
      <c r="AM795" s="111"/>
      <c r="AN795" s="111"/>
      <c r="AO795" s="111"/>
      <c r="AP795" s="111"/>
      <c r="AQ795" s="111"/>
      <c r="AR795" s="111"/>
      <c r="AS795" s="111"/>
      <c r="AT795" s="111"/>
      <c r="AU795" s="111"/>
      <c r="AV795" s="111"/>
      <c r="AW795" s="111"/>
      <c r="AX795" s="111"/>
      <c r="AY795" s="111"/>
      <c r="AZ795" s="111"/>
      <c r="BA795" s="111"/>
      <c r="BB795" s="111"/>
      <c r="BC795" s="111"/>
      <c r="BD795" s="111"/>
      <c r="BE795" s="111"/>
      <c r="BF795" s="111"/>
    </row>
    <row r="796" ht="14.25" customHeight="1">
      <c r="A796" s="111"/>
      <c r="B796" s="111"/>
      <c r="C796" s="112"/>
      <c r="D796" s="112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  <c r="AL796" s="111"/>
      <c r="AM796" s="111"/>
      <c r="AN796" s="111"/>
      <c r="AO796" s="111"/>
      <c r="AP796" s="111"/>
      <c r="AQ796" s="111"/>
      <c r="AR796" s="111"/>
      <c r="AS796" s="111"/>
      <c r="AT796" s="111"/>
      <c r="AU796" s="111"/>
      <c r="AV796" s="111"/>
      <c r="AW796" s="111"/>
      <c r="AX796" s="111"/>
      <c r="AY796" s="111"/>
      <c r="AZ796" s="111"/>
      <c r="BA796" s="111"/>
      <c r="BB796" s="111"/>
      <c r="BC796" s="111"/>
      <c r="BD796" s="111"/>
      <c r="BE796" s="111"/>
      <c r="BF796" s="111"/>
    </row>
    <row r="797" ht="14.25" customHeight="1">
      <c r="A797" s="111"/>
      <c r="B797" s="111"/>
      <c r="C797" s="112"/>
      <c r="D797" s="112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  <c r="AJ797" s="111"/>
      <c r="AK797" s="111"/>
      <c r="AL797" s="111"/>
      <c r="AM797" s="111"/>
      <c r="AN797" s="111"/>
      <c r="AO797" s="111"/>
      <c r="AP797" s="111"/>
      <c r="AQ797" s="111"/>
      <c r="AR797" s="111"/>
      <c r="AS797" s="111"/>
      <c r="AT797" s="111"/>
      <c r="AU797" s="111"/>
      <c r="AV797" s="111"/>
      <c r="AW797" s="111"/>
      <c r="AX797" s="111"/>
      <c r="AY797" s="111"/>
      <c r="AZ797" s="111"/>
      <c r="BA797" s="111"/>
      <c r="BB797" s="111"/>
      <c r="BC797" s="111"/>
      <c r="BD797" s="111"/>
      <c r="BE797" s="111"/>
      <c r="BF797" s="111"/>
    </row>
    <row r="798" ht="14.25" customHeight="1">
      <c r="A798" s="111"/>
      <c r="B798" s="111"/>
      <c r="C798" s="112"/>
      <c r="D798" s="112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  <c r="AJ798" s="111"/>
      <c r="AK798" s="111"/>
      <c r="AL798" s="111"/>
      <c r="AM798" s="111"/>
      <c r="AN798" s="111"/>
      <c r="AO798" s="111"/>
      <c r="AP798" s="111"/>
      <c r="AQ798" s="111"/>
      <c r="AR798" s="111"/>
      <c r="AS798" s="111"/>
      <c r="AT798" s="111"/>
      <c r="AU798" s="111"/>
      <c r="AV798" s="111"/>
      <c r="AW798" s="111"/>
      <c r="AX798" s="111"/>
      <c r="AY798" s="111"/>
      <c r="AZ798" s="111"/>
      <c r="BA798" s="111"/>
      <c r="BB798" s="111"/>
      <c r="BC798" s="111"/>
      <c r="BD798" s="111"/>
      <c r="BE798" s="111"/>
      <c r="BF798" s="111"/>
    </row>
    <row r="799" ht="14.25" customHeight="1">
      <c r="A799" s="111"/>
      <c r="B799" s="111"/>
      <c r="C799" s="112"/>
      <c r="D799" s="112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  <c r="AJ799" s="111"/>
      <c r="AK799" s="111"/>
      <c r="AL799" s="111"/>
      <c r="AM799" s="111"/>
      <c r="AN799" s="111"/>
      <c r="AO799" s="111"/>
      <c r="AP799" s="111"/>
      <c r="AQ799" s="111"/>
      <c r="AR799" s="111"/>
      <c r="AS799" s="111"/>
      <c r="AT799" s="111"/>
      <c r="AU799" s="111"/>
      <c r="AV799" s="111"/>
      <c r="AW799" s="111"/>
      <c r="AX799" s="111"/>
      <c r="AY799" s="111"/>
      <c r="AZ799" s="111"/>
      <c r="BA799" s="111"/>
      <c r="BB799" s="111"/>
      <c r="BC799" s="111"/>
      <c r="BD799" s="111"/>
      <c r="BE799" s="111"/>
      <c r="BF799" s="111"/>
    </row>
    <row r="800" ht="14.25" customHeight="1">
      <c r="A800" s="111"/>
      <c r="B800" s="111"/>
      <c r="C800" s="112"/>
      <c r="D800" s="112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  <c r="AJ800" s="111"/>
      <c r="AK800" s="111"/>
      <c r="AL800" s="111"/>
      <c r="AM800" s="111"/>
      <c r="AN800" s="111"/>
      <c r="AO800" s="111"/>
      <c r="AP800" s="111"/>
      <c r="AQ800" s="111"/>
      <c r="AR800" s="111"/>
      <c r="AS800" s="111"/>
      <c r="AT800" s="111"/>
      <c r="AU800" s="111"/>
      <c r="AV800" s="111"/>
      <c r="AW800" s="111"/>
      <c r="AX800" s="111"/>
      <c r="AY800" s="111"/>
      <c r="AZ800" s="111"/>
      <c r="BA800" s="111"/>
      <c r="BB800" s="111"/>
      <c r="BC800" s="111"/>
      <c r="BD800" s="111"/>
      <c r="BE800" s="111"/>
      <c r="BF800" s="111"/>
    </row>
    <row r="801" ht="14.25" customHeight="1">
      <c r="A801" s="111"/>
      <c r="B801" s="111"/>
      <c r="C801" s="112"/>
      <c r="D801" s="112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  <c r="AJ801" s="111"/>
      <c r="AK801" s="111"/>
      <c r="AL801" s="111"/>
      <c r="AM801" s="111"/>
      <c r="AN801" s="111"/>
      <c r="AO801" s="111"/>
      <c r="AP801" s="111"/>
      <c r="AQ801" s="111"/>
      <c r="AR801" s="111"/>
      <c r="AS801" s="111"/>
      <c r="AT801" s="111"/>
      <c r="AU801" s="111"/>
      <c r="AV801" s="111"/>
      <c r="AW801" s="111"/>
      <c r="AX801" s="111"/>
      <c r="AY801" s="111"/>
      <c r="AZ801" s="111"/>
      <c r="BA801" s="111"/>
      <c r="BB801" s="111"/>
      <c r="BC801" s="111"/>
      <c r="BD801" s="111"/>
      <c r="BE801" s="111"/>
      <c r="BF801" s="111"/>
    </row>
    <row r="802" ht="14.25" customHeight="1">
      <c r="A802" s="111"/>
      <c r="B802" s="111"/>
      <c r="C802" s="112"/>
      <c r="D802" s="112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  <c r="AJ802" s="111"/>
      <c r="AK802" s="111"/>
      <c r="AL802" s="111"/>
      <c r="AM802" s="111"/>
      <c r="AN802" s="111"/>
      <c r="AO802" s="111"/>
      <c r="AP802" s="111"/>
      <c r="AQ802" s="111"/>
      <c r="AR802" s="111"/>
      <c r="AS802" s="111"/>
      <c r="AT802" s="111"/>
      <c r="AU802" s="111"/>
      <c r="AV802" s="111"/>
      <c r="AW802" s="111"/>
      <c r="AX802" s="111"/>
      <c r="AY802" s="111"/>
      <c r="AZ802" s="111"/>
      <c r="BA802" s="111"/>
      <c r="BB802" s="111"/>
      <c r="BC802" s="111"/>
      <c r="BD802" s="111"/>
      <c r="BE802" s="111"/>
      <c r="BF802" s="111"/>
    </row>
    <row r="803" ht="14.25" customHeight="1">
      <c r="A803" s="111"/>
      <c r="B803" s="111"/>
      <c r="C803" s="112"/>
      <c r="D803" s="112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  <c r="AJ803" s="111"/>
      <c r="AK803" s="111"/>
      <c r="AL803" s="111"/>
      <c r="AM803" s="111"/>
      <c r="AN803" s="111"/>
      <c r="AO803" s="111"/>
      <c r="AP803" s="111"/>
      <c r="AQ803" s="111"/>
      <c r="AR803" s="111"/>
      <c r="AS803" s="111"/>
      <c r="AT803" s="111"/>
      <c r="AU803" s="111"/>
      <c r="AV803" s="111"/>
      <c r="AW803" s="111"/>
      <c r="AX803" s="111"/>
      <c r="AY803" s="111"/>
      <c r="AZ803" s="111"/>
      <c r="BA803" s="111"/>
      <c r="BB803" s="111"/>
      <c r="BC803" s="111"/>
      <c r="BD803" s="111"/>
      <c r="BE803" s="111"/>
      <c r="BF803" s="111"/>
    </row>
    <row r="804" ht="14.25" customHeight="1">
      <c r="A804" s="111"/>
      <c r="B804" s="111"/>
      <c r="C804" s="112"/>
      <c r="D804" s="112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  <c r="AJ804" s="111"/>
      <c r="AK804" s="111"/>
      <c r="AL804" s="111"/>
      <c r="AM804" s="111"/>
      <c r="AN804" s="111"/>
      <c r="AO804" s="111"/>
      <c r="AP804" s="111"/>
      <c r="AQ804" s="111"/>
      <c r="AR804" s="111"/>
      <c r="AS804" s="111"/>
      <c r="AT804" s="111"/>
      <c r="AU804" s="111"/>
      <c r="AV804" s="111"/>
      <c r="AW804" s="111"/>
      <c r="AX804" s="111"/>
      <c r="AY804" s="111"/>
      <c r="AZ804" s="111"/>
      <c r="BA804" s="111"/>
      <c r="BB804" s="111"/>
      <c r="BC804" s="111"/>
      <c r="BD804" s="111"/>
      <c r="BE804" s="111"/>
      <c r="BF804" s="111"/>
    </row>
    <row r="805" ht="14.25" customHeight="1">
      <c r="A805" s="111"/>
      <c r="B805" s="111"/>
      <c r="C805" s="112"/>
      <c r="D805" s="112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  <c r="AJ805" s="111"/>
      <c r="AK805" s="111"/>
      <c r="AL805" s="111"/>
      <c r="AM805" s="111"/>
      <c r="AN805" s="111"/>
      <c r="AO805" s="111"/>
      <c r="AP805" s="111"/>
      <c r="AQ805" s="111"/>
      <c r="AR805" s="111"/>
      <c r="AS805" s="111"/>
      <c r="AT805" s="111"/>
      <c r="AU805" s="111"/>
      <c r="AV805" s="111"/>
      <c r="AW805" s="111"/>
      <c r="AX805" s="111"/>
      <c r="AY805" s="111"/>
      <c r="AZ805" s="111"/>
      <c r="BA805" s="111"/>
      <c r="BB805" s="111"/>
      <c r="BC805" s="111"/>
      <c r="BD805" s="111"/>
      <c r="BE805" s="111"/>
      <c r="BF805" s="111"/>
    </row>
    <row r="806" ht="14.25" customHeight="1">
      <c r="A806" s="111"/>
      <c r="B806" s="111"/>
      <c r="C806" s="112"/>
      <c r="D806" s="112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  <c r="AJ806" s="111"/>
      <c r="AK806" s="111"/>
      <c r="AL806" s="111"/>
      <c r="AM806" s="111"/>
      <c r="AN806" s="111"/>
      <c r="AO806" s="111"/>
      <c r="AP806" s="111"/>
      <c r="AQ806" s="111"/>
      <c r="AR806" s="111"/>
      <c r="AS806" s="111"/>
      <c r="AT806" s="111"/>
      <c r="AU806" s="111"/>
      <c r="AV806" s="111"/>
      <c r="AW806" s="111"/>
      <c r="AX806" s="111"/>
      <c r="AY806" s="111"/>
      <c r="AZ806" s="111"/>
      <c r="BA806" s="111"/>
      <c r="BB806" s="111"/>
      <c r="BC806" s="111"/>
      <c r="BD806" s="111"/>
      <c r="BE806" s="111"/>
      <c r="BF806" s="111"/>
    </row>
    <row r="807" ht="14.25" customHeight="1">
      <c r="A807" s="111"/>
      <c r="B807" s="111"/>
      <c r="C807" s="112"/>
      <c r="D807" s="112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  <c r="AJ807" s="111"/>
      <c r="AK807" s="111"/>
      <c r="AL807" s="111"/>
      <c r="AM807" s="111"/>
      <c r="AN807" s="111"/>
      <c r="AO807" s="111"/>
      <c r="AP807" s="111"/>
      <c r="AQ807" s="111"/>
      <c r="AR807" s="111"/>
      <c r="AS807" s="111"/>
      <c r="AT807" s="111"/>
      <c r="AU807" s="111"/>
      <c r="AV807" s="111"/>
      <c r="AW807" s="111"/>
      <c r="AX807" s="111"/>
      <c r="AY807" s="111"/>
      <c r="AZ807" s="111"/>
      <c r="BA807" s="111"/>
      <c r="BB807" s="111"/>
      <c r="BC807" s="111"/>
      <c r="BD807" s="111"/>
      <c r="BE807" s="111"/>
      <c r="BF807" s="111"/>
    </row>
    <row r="808" ht="14.25" customHeight="1">
      <c r="A808" s="111"/>
      <c r="B808" s="111"/>
      <c r="C808" s="112"/>
      <c r="D808" s="112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  <c r="AJ808" s="111"/>
      <c r="AK808" s="111"/>
      <c r="AL808" s="111"/>
      <c r="AM808" s="111"/>
      <c r="AN808" s="111"/>
      <c r="AO808" s="111"/>
      <c r="AP808" s="111"/>
      <c r="AQ808" s="111"/>
      <c r="AR808" s="111"/>
      <c r="AS808" s="111"/>
      <c r="AT808" s="111"/>
      <c r="AU808" s="111"/>
      <c r="AV808" s="111"/>
      <c r="AW808" s="111"/>
      <c r="AX808" s="111"/>
      <c r="AY808" s="111"/>
      <c r="AZ808" s="111"/>
      <c r="BA808" s="111"/>
      <c r="BB808" s="111"/>
      <c r="BC808" s="111"/>
      <c r="BD808" s="111"/>
      <c r="BE808" s="111"/>
      <c r="BF808" s="111"/>
    </row>
    <row r="809" ht="14.25" customHeight="1">
      <c r="A809" s="111"/>
      <c r="B809" s="111"/>
      <c r="C809" s="112"/>
      <c r="D809" s="112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  <c r="AJ809" s="111"/>
      <c r="AK809" s="111"/>
      <c r="AL809" s="111"/>
      <c r="AM809" s="111"/>
      <c r="AN809" s="111"/>
      <c r="AO809" s="111"/>
      <c r="AP809" s="111"/>
      <c r="AQ809" s="111"/>
      <c r="AR809" s="111"/>
      <c r="AS809" s="111"/>
      <c r="AT809" s="111"/>
      <c r="AU809" s="111"/>
      <c r="AV809" s="111"/>
      <c r="AW809" s="111"/>
      <c r="AX809" s="111"/>
      <c r="AY809" s="111"/>
      <c r="AZ809" s="111"/>
      <c r="BA809" s="111"/>
      <c r="BB809" s="111"/>
      <c r="BC809" s="111"/>
      <c r="BD809" s="111"/>
      <c r="BE809" s="111"/>
      <c r="BF809" s="111"/>
    </row>
    <row r="810" ht="14.25" customHeight="1">
      <c r="A810" s="111"/>
      <c r="B810" s="111"/>
      <c r="C810" s="112"/>
      <c r="D810" s="112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  <c r="AJ810" s="111"/>
      <c r="AK810" s="111"/>
      <c r="AL810" s="111"/>
      <c r="AM810" s="111"/>
      <c r="AN810" s="111"/>
      <c r="AO810" s="111"/>
      <c r="AP810" s="111"/>
      <c r="AQ810" s="111"/>
      <c r="AR810" s="111"/>
      <c r="AS810" s="111"/>
      <c r="AT810" s="111"/>
      <c r="AU810" s="111"/>
      <c r="AV810" s="111"/>
      <c r="AW810" s="111"/>
      <c r="AX810" s="111"/>
      <c r="AY810" s="111"/>
      <c r="AZ810" s="111"/>
      <c r="BA810" s="111"/>
      <c r="BB810" s="111"/>
      <c r="BC810" s="111"/>
      <c r="BD810" s="111"/>
      <c r="BE810" s="111"/>
      <c r="BF810" s="111"/>
    </row>
    <row r="811" ht="14.25" customHeight="1">
      <c r="A811" s="111"/>
      <c r="B811" s="111"/>
      <c r="C811" s="112"/>
      <c r="D811" s="112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  <c r="AJ811" s="111"/>
      <c r="AK811" s="111"/>
      <c r="AL811" s="111"/>
      <c r="AM811" s="111"/>
      <c r="AN811" s="111"/>
      <c r="AO811" s="111"/>
      <c r="AP811" s="111"/>
      <c r="AQ811" s="111"/>
      <c r="AR811" s="111"/>
      <c r="AS811" s="111"/>
      <c r="AT811" s="111"/>
      <c r="AU811" s="111"/>
      <c r="AV811" s="111"/>
      <c r="AW811" s="111"/>
      <c r="AX811" s="111"/>
      <c r="AY811" s="111"/>
      <c r="AZ811" s="111"/>
      <c r="BA811" s="111"/>
      <c r="BB811" s="111"/>
      <c r="BC811" s="111"/>
      <c r="BD811" s="111"/>
      <c r="BE811" s="111"/>
      <c r="BF811" s="111"/>
    </row>
    <row r="812" ht="14.25" customHeight="1">
      <c r="A812" s="111"/>
      <c r="B812" s="111"/>
      <c r="C812" s="112"/>
      <c r="D812" s="112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  <c r="AJ812" s="111"/>
      <c r="AK812" s="111"/>
      <c r="AL812" s="111"/>
      <c r="AM812" s="111"/>
      <c r="AN812" s="111"/>
      <c r="AO812" s="111"/>
      <c r="AP812" s="111"/>
      <c r="AQ812" s="111"/>
      <c r="AR812" s="111"/>
      <c r="AS812" s="111"/>
      <c r="AT812" s="111"/>
      <c r="AU812" s="111"/>
      <c r="AV812" s="111"/>
      <c r="AW812" s="111"/>
      <c r="AX812" s="111"/>
      <c r="AY812" s="111"/>
      <c r="AZ812" s="111"/>
      <c r="BA812" s="111"/>
      <c r="BB812" s="111"/>
      <c r="BC812" s="111"/>
      <c r="BD812" s="111"/>
      <c r="BE812" s="111"/>
      <c r="BF812" s="111"/>
    </row>
    <row r="813" ht="14.25" customHeight="1">
      <c r="A813" s="111"/>
      <c r="B813" s="111"/>
      <c r="C813" s="112"/>
      <c r="D813" s="112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  <c r="AJ813" s="111"/>
      <c r="AK813" s="111"/>
      <c r="AL813" s="111"/>
      <c r="AM813" s="111"/>
      <c r="AN813" s="111"/>
      <c r="AO813" s="111"/>
      <c r="AP813" s="111"/>
      <c r="AQ813" s="111"/>
      <c r="AR813" s="111"/>
      <c r="AS813" s="111"/>
      <c r="AT813" s="111"/>
      <c r="AU813" s="111"/>
      <c r="AV813" s="111"/>
      <c r="AW813" s="111"/>
      <c r="AX813" s="111"/>
      <c r="AY813" s="111"/>
      <c r="AZ813" s="111"/>
      <c r="BA813" s="111"/>
      <c r="BB813" s="111"/>
      <c r="BC813" s="111"/>
      <c r="BD813" s="111"/>
      <c r="BE813" s="111"/>
      <c r="BF813" s="111"/>
    </row>
    <row r="814" ht="14.25" customHeight="1">
      <c r="A814" s="111"/>
      <c r="B814" s="111"/>
      <c r="C814" s="112"/>
      <c r="D814" s="112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  <c r="AJ814" s="111"/>
      <c r="AK814" s="111"/>
      <c r="AL814" s="111"/>
      <c r="AM814" s="111"/>
      <c r="AN814" s="111"/>
      <c r="AO814" s="111"/>
      <c r="AP814" s="111"/>
      <c r="AQ814" s="111"/>
      <c r="AR814" s="111"/>
      <c r="AS814" s="111"/>
      <c r="AT814" s="111"/>
      <c r="AU814" s="111"/>
      <c r="AV814" s="111"/>
      <c r="AW814" s="111"/>
      <c r="AX814" s="111"/>
      <c r="AY814" s="111"/>
      <c r="AZ814" s="111"/>
      <c r="BA814" s="111"/>
      <c r="BB814" s="111"/>
      <c r="BC814" s="111"/>
      <c r="BD814" s="111"/>
      <c r="BE814" s="111"/>
      <c r="BF814" s="111"/>
    </row>
    <row r="815" ht="14.25" customHeight="1">
      <c r="A815" s="111"/>
      <c r="B815" s="111"/>
      <c r="C815" s="112"/>
      <c r="D815" s="112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  <c r="AJ815" s="111"/>
      <c r="AK815" s="111"/>
      <c r="AL815" s="111"/>
      <c r="AM815" s="111"/>
      <c r="AN815" s="111"/>
      <c r="AO815" s="111"/>
      <c r="AP815" s="111"/>
      <c r="AQ815" s="111"/>
      <c r="AR815" s="111"/>
      <c r="AS815" s="111"/>
      <c r="AT815" s="111"/>
      <c r="AU815" s="111"/>
      <c r="AV815" s="111"/>
      <c r="AW815" s="111"/>
      <c r="AX815" s="111"/>
      <c r="AY815" s="111"/>
      <c r="AZ815" s="111"/>
      <c r="BA815" s="111"/>
      <c r="BB815" s="111"/>
      <c r="BC815" s="111"/>
      <c r="BD815" s="111"/>
      <c r="BE815" s="111"/>
      <c r="BF815" s="111"/>
    </row>
    <row r="816" ht="14.25" customHeight="1">
      <c r="A816" s="111"/>
      <c r="B816" s="111"/>
      <c r="C816" s="112"/>
      <c r="D816" s="112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  <c r="AJ816" s="111"/>
      <c r="AK816" s="111"/>
      <c r="AL816" s="111"/>
      <c r="AM816" s="111"/>
      <c r="AN816" s="111"/>
      <c r="AO816" s="111"/>
      <c r="AP816" s="111"/>
      <c r="AQ816" s="111"/>
      <c r="AR816" s="111"/>
      <c r="AS816" s="111"/>
      <c r="AT816" s="111"/>
      <c r="AU816" s="111"/>
      <c r="AV816" s="111"/>
      <c r="AW816" s="111"/>
      <c r="AX816" s="111"/>
      <c r="AY816" s="111"/>
      <c r="AZ816" s="111"/>
      <c r="BA816" s="111"/>
      <c r="BB816" s="111"/>
      <c r="BC816" s="111"/>
      <c r="BD816" s="111"/>
      <c r="BE816" s="111"/>
      <c r="BF816" s="111"/>
    </row>
    <row r="817" ht="14.25" customHeight="1">
      <c r="A817" s="111"/>
      <c r="B817" s="111"/>
      <c r="C817" s="112"/>
      <c r="D817" s="112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  <c r="AJ817" s="111"/>
      <c r="AK817" s="111"/>
      <c r="AL817" s="111"/>
      <c r="AM817" s="111"/>
      <c r="AN817" s="111"/>
      <c r="AO817" s="111"/>
      <c r="AP817" s="111"/>
      <c r="AQ817" s="111"/>
      <c r="AR817" s="111"/>
      <c r="AS817" s="111"/>
      <c r="AT817" s="111"/>
      <c r="AU817" s="111"/>
      <c r="AV817" s="111"/>
      <c r="AW817" s="111"/>
      <c r="AX817" s="111"/>
      <c r="AY817" s="111"/>
      <c r="AZ817" s="111"/>
      <c r="BA817" s="111"/>
      <c r="BB817" s="111"/>
      <c r="BC817" s="111"/>
      <c r="BD817" s="111"/>
      <c r="BE817" s="111"/>
      <c r="BF817" s="111"/>
    </row>
    <row r="818" ht="14.25" customHeight="1">
      <c r="A818" s="111"/>
      <c r="B818" s="111"/>
      <c r="C818" s="112"/>
      <c r="D818" s="112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  <c r="AJ818" s="111"/>
      <c r="AK818" s="111"/>
      <c r="AL818" s="111"/>
      <c r="AM818" s="111"/>
      <c r="AN818" s="111"/>
      <c r="AO818" s="111"/>
      <c r="AP818" s="111"/>
      <c r="AQ818" s="111"/>
      <c r="AR818" s="111"/>
      <c r="AS818" s="111"/>
      <c r="AT818" s="111"/>
      <c r="AU818" s="111"/>
      <c r="AV818" s="111"/>
      <c r="AW818" s="111"/>
      <c r="AX818" s="111"/>
      <c r="AY818" s="111"/>
      <c r="AZ818" s="111"/>
      <c r="BA818" s="111"/>
      <c r="BB818" s="111"/>
      <c r="BC818" s="111"/>
      <c r="BD818" s="111"/>
      <c r="BE818" s="111"/>
      <c r="BF818" s="111"/>
    </row>
    <row r="819" ht="14.25" customHeight="1">
      <c r="A819" s="111"/>
      <c r="B819" s="111"/>
      <c r="C819" s="112"/>
      <c r="D819" s="112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  <c r="AJ819" s="111"/>
      <c r="AK819" s="111"/>
      <c r="AL819" s="111"/>
      <c r="AM819" s="111"/>
      <c r="AN819" s="111"/>
      <c r="AO819" s="111"/>
      <c r="AP819" s="111"/>
      <c r="AQ819" s="111"/>
      <c r="AR819" s="111"/>
      <c r="AS819" s="111"/>
      <c r="AT819" s="111"/>
      <c r="AU819" s="111"/>
      <c r="AV819" s="111"/>
      <c r="AW819" s="111"/>
      <c r="AX819" s="111"/>
      <c r="AY819" s="111"/>
      <c r="AZ819" s="111"/>
      <c r="BA819" s="111"/>
      <c r="BB819" s="111"/>
      <c r="BC819" s="111"/>
      <c r="BD819" s="111"/>
      <c r="BE819" s="111"/>
      <c r="BF819" s="111"/>
    </row>
    <row r="820" ht="14.25" customHeight="1">
      <c r="A820" s="111"/>
      <c r="B820" s="111"/>
      <c r="C820" s="112"/>
      <c r="D820" s="112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  <c r="AJ820" s="111"/>
      <c r="AK820" s="111"/>
      <c r="AL820" s="111"/>
      <c r="AM820" s="111"/>
      <c r="AN820" s="111"/>
      <c r="AO820" s="111"/>
      <c r="AP820" s="111"/>
      <c r="AQ820" s="111"/>
      <c r="AR820" s="111"/>
      <c r="AS820" s="111"/>
      <c r="AT820" s="111"/>
      <c r="AU820" s="111"/>
      <c r="AV820" s="111"/>
      <c r="AW820" s="111"/>
      <c r="AX820" s="111"/>
      <c r="AY820" s="111"/>
      <c r="AZ820" s="111"/>
      <c r="BA820" s="111"/>
      <c r="BB820" s="111"/>
      <c r="BC820" s="111"/>
      <c r="BD820" s="111"/>
      <c r="BE820" s="111"/>
      <c r="BF820" s="111"/>
    </row>
    <row r="821" ht="14.25" customHeight="1">
      <c r="A821" s="111"/>
      <c r="B821" s="111"/>
      <c r="C821" s="112"/>
      <c r="D821" s="112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  <c r="AJ821" s="111"/>
      <c r="AK821" s="111"/>
      <c r="AL821" s="111"/>
      <c r="AM821" s="111"/>
      <c r="AN821" s="111"/>
      <c r="AO821" s="111"/>
      <c r="AP821" s="111"/>
      <c r="AQ821" s="111"/>
      <c r="AR821" s="111"/>
      <c r="AS821" s="111"/>
      <c r="AT821" s="111"/>
      <c r="AU821" s="111"/>
      <c r="AV821" s="111"/>
      <c r="AW821" s="111"/>
      <c r="AX821" s="111"/>
      <c r="AY821" s="111"/>
      <c r="AZ821" s="111"/>
      <c r="BA821" s="111"/>
      <c r="BB821" s="111"/>
      <c r="BC821" s="111"/>
      <c r="BD821" s="111"/>
      <c r="BE821" s="111"/>
      <c r="BF821" s="111"/>
    </row>
    <row r="822" ht="14.25" customHeight="1">
      <c r="A822" s="111"/>
      <c r="B822" s="111"/>
      <c r="C822" s="112"/>
      <c r="D822" s="112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/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/>
      <c r="BB822" s="111"/>
      <c r="BC822" s="111"/>
      <c r="BD822" s="111"/>
      <c r="BE822" s="111"/>
      <c r="BF822" s="111"/>
    </row>
    <row r="823" ht="14.25" customHeight="1">
      <c r="A823" s="111"/>
      <c r="B823" s="111"/>
      <c r="C823" s="112"/>
      <c r="D823" s="112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/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/>
      <c r="BB823" s="111"/>
      <c r="BC823" s="111"/>
      <c r="BD823" s="111"/>
      <c r="BE823" s="111"/>
      <c r="BF823" s="111"/>
    </row>
    <row r="824" ht="14.25" customHeight="1">
      <c r="A824" s="111"/>
      <c r="B824" s="111"/>
      <c r="C824" s="112"/>
      <c r="D824" s="112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  <c r="AJ824" s="111"/>
      <c r="AK824" s="111"/>
      <c r="AL824" s="111"/>
      <c r="AM824" s="111"/>
      <c r="AN824" s="111"/>
      <c r="AO824" s="111"/>
      <c r="AP824" s="111"/>
      <c r="AQ824" s="111"/>
      <c r="AR824" s="111"/>
      <c r="AS824" s="111"/>
      <c r="AT824" s="111"/>
      <c r="AU824" s="111"/>
      <c r="AV824" s="111"/>
      <c r="AW824" s="111"/>
      <c r="AX824" s="111"/>
      <c r="AY824" s="111"/>
      <c r="AZ824" s="111"/>
      <c r="BA824" s="111"/>
      <c r="BB824" s="111"/>
      <c r="BC824" s="111"/>
      <c r="BD824" s="111"/>
      <c r="BE824" s="111"/>
      <c r="BF824" s="111"/>
    </row>
    <row r="825" ht="14.25" customHeight="1">
      <c r="A825" s="111"/>
      <c r="B825" s="111"/>
      <c r="C825" s="112"/>
      <c r="D825" s="112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/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/>
      <c r="BB825" s="111"/>
      <c r="BC825" s="111"/>
      <c r="BD825" s="111"/>
      <c r="BE825" s="111"/>
      <c r="BF825" s="111"/>
    </row>
    <row r="826" ht="14.25" customHeight="1">
      <c r="A826" s="111"/>
      <c r="B826" s="111"/>
      <c r="C826" s="112"/>
      <c r="D826" s="112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  <c r="AJ826" s="111"/>
      <c r="AK826" s="111"/>
      <c r="AL826" s="111"/>
      <c r="AM826" s="111"/>
      <c r="AN826" s="111"/>
      <c r="AO826" s="111"/>
      <c r="AP826" s="111"/>
      <c r="AQ826" s="111"/>
      <c r="AR826" s="111"/>
      <c r="AS826" s="111"/>
      <c r="AT826" s="111"/>
      <c r="AU826" s="111"/>
      <c r="AV826" s="111"/>
      <c r="AW826" s="111"/>
      <c r="AX826" s="111"/>
      <c r="AY826" s="111"/>
      <c r="AZ826" s="111"/>
      <c r="BA826" s="111"/>
      <c r="BB826" s="111"/>
      <c r="BC826" s="111"/>
      <c r="BD826" s="111"/>
      <c r="BE826" s="111"/>
      <c r="BF826" s="111"/>
    </row>
    <row r="827" ht="14.25" customHeight="1">
      <c r="A827" s="111"/>
      <c r="B827" s="111"/>
      <c r="C827" s="112"/>
      <c r="D827" s="112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  <c r="AJ827" s="111"/>
      <c r="AK827" s="111"/>
      <c r="AL827" s="111"/>
      <c r="AM827" s="111"/>
      <c r="AN827" s="111"/>
      <c r="AO827" s="111"/>
      <c r="AP827" s="111"/>
      <c r="AQ827" s="111"/>
      <c r="AR827" s="111"/>
      <c r="AS827" s="111"/>
      <c r="AT827" s="111"/>
      <c r="AU827" s="111"/>
      <c r="AV827" s="111"/>
      <c r="AW827" s="111"/>
      <c r="AX827" s="111"/>
      <c r="AY827" s="111"/>
      <c r="AZ827" s="111"/>
      <c r="BA827" s="111"/>
      <c r="BB827" s="111"/>
      <c r="BC827" s="111"/>
      <c r="BD827" s="111"/>
      <c r="BE827" s="111"/>
      <c r="BF827" s="111"/>
    </row>
    <row r="828" ht="14.25" customHeight="1">
      <c r="A828" s="111"/>
      <c r="B828" s="111"/>
      <c r="C828" s="112"/>
      <c r="D828" s="112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  <c r="AJ828" s="111"/>
      <c r="AK828" s="111"/>
      <c r="AL828" s="111"/>
      <c r="AM828" s="111"/>
      <c r="AN828" s="111"/>
      <c r="AO828" s="111"/>
      <c r="AP828" s="111"/>
      <c r="AQ828" s="111"/>
      <c r="AR828" s="111"/>
      <c r="AS828" s="111"/>
      <c r="AT828" s="111"/>
      <c r="AU828" s="111"/>
      <c r="AV828" s="111"/>
      <c r="AW828" s="111"/>
      <c r="AX828" s="111"/>
      <c r="AY828" s="111"/>
      <c r="AZ828" s="111"/>
      <c r="BA828" s="111"/>
      <c r="BB828" s="111"/>
      <c r="BC828" s="111"/>
      <c r="BD828" s="111"/>
      <c r="BE828" s="111"/>
      <c r="BF828" s="111"/>
    </row>
    <row r="829" ht="14.25" customHeight="1">
      <c r="A829" s="111"/>
      <c r="B829" s="111"/>
      <c r="C829" s="112"/>
      <c r="D829" s="112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  <c r="AJ829" s="111"/>
      <c r="AK829" s="111"/>
      <c r="AL829" s="111"/>
      <c r="AM829" s="111"/>
      <c r="AN829" s="111"/>
      <c r="AO829" s="111"/>
      <c r="AP829" s="111"/>
      <c r="AQ829" s="111"/>
      <c r="AR829" s="111"/>
      <c r="AS829" s="111"/>
      <c r="AT829" s="111"/>
      <c r="AU829" s="111"/>
      <c r="AV829" s="111"/>
      <c r="AW829" s="111"/>
      <c r="AX829" s="111"/>
      <c r="AY829" s="111"/>
      <c r="AZ829" s="111"/>
      <c r="BA829" s="111"/>
      <c r="BB829" s="111"/>
      <c r="BC829" s="111"/>
      <c r="BD829" s="111"/>
      <c r="BE829" s="111"/>
      <c r="BF829" s="111"/>
    </row>
    <row r="830" ht="14.25" customHeight="1">
      <c r="A830" s="111"/>
      <c r="B830" s="111"/>
      <c r="C830" s="112"/>
      <c r="D830" s="112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  <c r="AJ830" s="111"/>
      <c r="AK830" s="111"/>
      <c r="AL830" s="111"/>
      <c r="AM830" s="111"/>
      <c r="AN830" s="111"/>
      <c r="AO830" s="111"/>
      <c r="AP830" s="111"/>
      <c r="AQ830" s="111"/>
      <c r="AR830" s="111"/>
      <c r="AS830" s="111"/>
      <c r="AT830" s="111"/>
      <c r="AU830" s="111"/>
      <c r="AV830" s="111"/>
      <c r="AW830" s="111"/>
      <c r="AX830" s="111"/>
      <c r="AY830" s="111"/>
      <c r="AZ830" s="111"/>
      <c r="BA830" s="111"/>
      <c r="BB830" s="111"/>
      <c r="BC830" s="111"/>
      <c r="BD830" s="111"/>
      <c r="BE830" s="111"/>
      <c r="BF830" s="111"/>
    </row>
    <row r="831" ht="14.25" customHeight="1">
      <c r="A831" s="111"/>
      <c r="B831" s="111"/>
      <c r="C831" s="112"/>
      <c r="D831" s="112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  <c r="AJ831" s="111"/>
      <c r="AK831" s="111"/>
      <c r="AL831" s="111"/>
      <c r="AM831" s="111"/>
      <c r="AN831" s="111"/>
      <c r="AO831" s="111"/>
      <c r="AP831" s="111"/>
      <c r="AQ831" s="111"/>
      <c r="AR831" s="111"/>
      <c r="AS831" s="111"/>
      <c r="AT831" s="111"/>
      <c r="AU831" s="111"/>
      <c r="AV831" s="111"/>
      <c r="AW831" s="111"/>
      <c r="AX831" s="111"/>
      <c r="AY831" s="111"/>
      <c r="AZ831" s="111"/>
      <c r="BA831" s="111"/>
      <c r="BB831" s="111"/>
      <c r="BC831" s="111"/>
      <c r="BD831" s="111"/>
      <c r="BE831" s="111"/>
      <c r="BF831" s="111"/>
    </row>
    <row r="832" ht="14.25" customHeight="1">
      <c r="A832" s="111"/>
      <c r="B832" s="111"/>
      <c r="C832" s="112"/>
      <c r="D832" s="112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  <c r="AJ832" s="111"/>
      <c r="AK832" s="111"/>
      <c r="AL832" s="111"/>
      <c r="AM832" s="111"/>
      <c r="AN832" s="111"/>
      <c r="AO832" s="111"/>
      <c r="AP832" s="111"/>
      <c r="AQ832" s="111"/>
      <c r="AR832" s="111"/>
      <c r="AS832" s="111"/>
      <c r="AT832" s="111"/>
      <c r="AU832" s="111"/>
      <c r="AV832" s="111"/>
      <c r="AW832" s="111"/>
      <c r="AX832" s="111"/>
      <c r="AY832" s="111"/>
      <c r="AZ832" s="111"/>
      <c r="BA832" s="111"/>
      <c r="BB832" s="111"/>
      <c r="BC832" s="111"/>
      <c r="BD832" s="111"/>
      <c r="BE832" s="111"/>
      <c r="BF832" s="111"/>
    </row>
    <row r="833" ht="14.25" customHeight="1">
      <c r="A833" s="111"/>
      <c r="B833" s="111"/>
      <c r="C833" s="112"/>
      <c r="D833" s="112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  <c r="AJ833" s="111"/>
      <c r="AK833" s="111"/>
      <c r="AL833" s="111"/>
      <c r="AM833" s="111"/>
      <c r="AN833" s="111"/>
      <c r="AO833" s="111"/>
      <c r="AP833" s="111"/>
      <c r="AQ833" s="111"/>
      <c r="AR833" s="111"/>
      <c r="AS833" s="111"/>
      <c r="AT833" s="111"/>
      <c r="AU833" s="111"/>
      <c r="AV833" s="111"/>
      <c r="AW833" s="111"/>
      <c r="AX833" s="111"/>
      <c r="AY833" s="111"/>
      <c r="AZ833" s="111"/>
      <c r="BA833" s="111"/>
      <c r="BB833" s="111"/>
      <c r="BC833" s="111"/>
      <c r="BD833" s="111"/>
      <c r="BE833" s="111"/>
      <c r="BF833" s="111"/>
    </row>
    <row r="834" ht="14.25" customHeight="1">
      <c r="A834" s="111"/>
      <c r="B834" s="111"/>
      <c r="C834" s="112"/>
      <c r="D834" s="112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  <c r="AJ834" s="111"/>
      <c r="AK834" s="111"/>
      <c r="AL834" s="111"/>
      <c r="AM834" s="111"/>
      <c r="AN834" s="111"/>
      <c r="AO834" s="111"/>
      <c r="AP834" s="111"/>
      <c r="AQ834" s="111"/>
      <c r="AR834" s="111"/>
      <c r="AS834" s="111"/>
      <c r="AT834" s="111"/>
      <c r="AU834" s="111"/>
      <c r="AV834" s="111"/>
      <c r="AW834" s="111"/>
      <c r="AX834" s="111"/>
      <c r="AY834" s="111"/>
      <c r="AZ834" s="111"/>
      <c r="BA834" s="111"/>
      <c r="BB834" s="111"/>
      <c r="BC834" s="111"/>
      <c r="BD834" s="111"/>
      <c r="BE834" s="111"/>
      <c r="BF834" s="111"/>
    </row>
    <row r="835" ht="14.25" customHeight="1">
      <c r="A835" s="111"/>
      <c r="B835" s="111"/>
      <c r="C835" s="112"/>
      <c r="D835" s="112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  <c r="AL835" s="111"/>
      <c r="AM835" s="111"/>
      <c r="AN835" s="111"/>
      <c r="AO835" s="111"/>
      <c r="AP835" s="111"/>
      <c r="AQ835" s="111"/>
      <c r="AR835" s="111"/>
      <c r="AS835" s="111"/>
      <c r="AT835" s="111"/>
      <c r="AU835" s="111"/>
      <c r="AV835" s="111"/>
      <c r="AW835" s="111"/>
      <c r="AX835" s="111"/>
      <c r="AY835" s="111"/>
      <c r="AZ835" s="111"/>
      <c r="BA835" s="111"/>
      <c r="BB835" s="111"/>
      <c r="BC835" s="111"/>
      <c r="BD835" s="111"/>
      <c r="BE835" s="111"/>
      <c r="BF835" s="111"/>
    </row>
    <row r="836" ht="14.25" customHeight="1">
      <c r="A836" s="111"/>
      <c r="B836" s="111"/>
      <c r="C836" s="112"/>
      <c r="D836" s="112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  <c r="AJ836" s="111"/>
      <c r="AK836" s="111"/>
      <c r="AL836" s="111"/>
      <c r="AM836" s="111"/>
      <c r="AN836" s="111"/>
      <c r="AO836" s="111"/>
      <c r="AP836" s="111"/>
      <c r="AQ836" s="111"/>
      <c r="AR836" s="111"/>
      <c r="AS836" s="111"/>
      <c r="AT836" s="111"/>
      <c r="AU836" s="111"/>
      <c r="AV836" s="111"/>
      <c r="AW836" s="111"/>
      <c r="AX836" s="111"/>
      <c r="AY836" s="111"/>
      <c r="AZ836" s="111"/>
      <c r="BA836" s="111"/>
      <c r="BB836" s="111"/>
      <c r="BC836" s="111"/>
      <c r="BD836" s="111"/>
      <c r="BE836" s="111"/>
      <c r="BF836" s="111"/>
    </row>
    <row r="837" ht="14.25" customHeight="1">
      <c r="A837" s="111"/>
      <c r="B837" s="111"/>
      <c r="C837" s="112"/>
      <c r="D837" s="112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  <c r="AJ837" s="111"/>
      <c r="AK837" s="111"/>
      <c r="AL837" s="111"/>
      <c r="AM837" s="111"/>
      <c r="AN837" s="111"/>
      <c r="AO837" s="111"/>
      <c r="AP837" s="111"/>
      <c r="AQ837" s="111"/>
      <c r="AR837" s="111"/>
      <c r="AS837" s="111"/>
      <c r="AT837" s="111"/>
      <c r="AU837" s="111"/>
      <c r="AV837" s="111"/>
      <c r="AW837" s="111"/>
      <c r="AX837" s="111"/>
      <c r="AY837" s="111"/>
      <c r="AZ837" s="111"/>
      <c r="BA837" s="111"/>
      <c r="BB837" s="111"/>
      <c r="BC837" s="111"/>
      <c r="BD837" s="111"/>
      <c r="BE837" s="111"/>
      <c r="BF837" s="111"/>
    </row>
    <row r="838" ht="14.25" customHeight="1">
      <c r="A838" s="111"/>
      <c r="B838" s="111"/>
      <c r="C838" s="112"/>
      <c r="D838" s="112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  <c r="AJ838" s="111"/>
      <c r="AK838" s="111"/>
      <c r="AL838" s="111"/>
      <c r="AM838" s="111"/>
      <c r="AN838" s="111"/>
      <c r="AO838" s="111"/>
      <c r="AP838" s="111"/>
      <c r="AQ838" s="111"/>
      <c r="AR838" s="111"/>
      <c r="AS838" s="111"/>
      <c r="AT838" s="111"/>
      <c r="AU838" s="111"/>
      <c r="AV838" s="111"/>
      <c r="AW838" s="111"/>
      <c r="AX838" s="111"/>
      <c r="AY838" s="111"/>
      <c r="AZ838" s="111"/>
      <c r="BA838" s="111"/>
      <c r="BB838" s="111"/>
      <c r="BC838" s="111"/>
      <c r="BD838" s="111"/>
      <c r="BE838" s="111"/>
      <c r="BF838" s="111"/>
    </row>
    <row r="839" ht="14.25" customHeight="1">
      <c r="A839" s="111"/>
      <c r="B839" s="111"/>
      <c r="C839" s="112"/>
      <c r="D839" s="112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  <c r="AJ839" s="111"/>
      <c r="AK839" s="111"/>
      <c r="AL839" s="111"/>
      <c r="AM839" s="111"/>
      <c r="AN839" s="111"/>
      <c r="AO839" s="111"/>
      <c r="AP839" s="111"/>
      <c r="AQ839" s="111"/>
      <c r="AR839" s="111"/>
      <c r="AS839" s="111"/>
      <c r="AT839" s="111"/>
      <c r="AU839" s="111"/>
      <c r="AV839" s="111"/>
      <c r="AW839" s="111"/>
      <c r="AX839" s="111"/>
      <c r="AY839" s="111"/>
      <c r="AZ839" s="111"/>
      <c r="BA839" s="111"/>
      <c r="BB839" s="111"/>
      <c r="BC839" s="111"/>
      <c r="BD839" s="111"/>
      <c r="BE839" s="111"/>
      <c r="BF839" s="111"/>
    </row>
    <row r="840" ht="14.25" customHeight="1">
      <c r="A840" s="111"/>
      <c r="B840" s="111"/>
      <c r="C840" s="112"/>
      <c r="D840" s="112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  <c r="AJ840" s="111"/>
      <c r="AK840" s="111"/>
      <c r="AL840" s="111"/>
      <c r="AM840" s="111"/>
      <c r="AN840" s="111"/>
      <c r="AO840" s="111"/>
      <c r="AP840" s="111"/>
      <c r="AQ840" s="111"/>
      <c r="AR840" s="111"/>
      <c r="AS840" s="111"/>
      <c r="AT840" s="111"/>
      <c r="AU840" s="111"/>
      <c r="AV840" s="111"/>
      <c r="AW840" s="111"/>
      <c r="AX840" s="111"/>
      <c r="AY840" s="111"/>
      <c r="AZ840" s="111"/>
      <c r="BA840" s="111"/>
      <c r="BB840" s="111"/>
      <c r="BC840" s="111"/>
      <c r="BD840" s="111"/>
      <c r="BE840" s="111"/>
      <c r="BF840" s="111"/>
    </row>
    <row r="841" ht="14.25" customHeight="1">
      <c r="A841" s="111"/>
      <c r="B841" s="111"/>
      <c r="C841" s="112"/>
      <c r="D841" s="112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  <c r="AL841" s="111"/>
      <c r="AM841" s="111"/>
      <c r="AN841" s="111"/>
      <c r="AO841" s="111"/>
      <c r="AP841" s="111"/>
      <c r="AQ841" s="111"/>
      <c r="AR841" s="111"/>
      <c r="AS841" s="111"/>
      <c r="AT841" s="111"/>
      <c r="AU841" s="111"/>
      <c r="AV841" s="111"/>
      <c r="AW841" s="111"/>
      <c r="AX841" s="111"/>
      <c r="AY841" s="111"/>
      <c r="AZ841" s="111"/>
      <c r="BA841" s="111"/>
      <c r="BB841" s="111"/>
      <c r="BC841" s="111"/>
      <c r="BD841" s="111"/>
      <c r="BE841" s="111"/>
      <c r="BF841" s="111"/>
    </row>
    <row r="842" ht="14.25" customHeight="1">
      <c r="A842" s="111"/>
      <c r="B842" s="111"/>
      <c r="C842" s="112"/>
      <c r="D842" s="112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  <c r="AJ842" s="111"/>
      <c r="AK842" s="111"/>
      <c r="AL842" s="111"/>
      <c r="AM842" s="111"/>
      <c r="AN842" s="111"/>
      <c r="AO842" s="111"/>
      <c r="AP842" s="111"/>
      <c r="AQ842" s="111"/>
      <c r="AR842" s="111"/>
      <c r="AS842" s="111"/>
      <c r="AT842" s="111"/>
      <c r="AU842" s="111"/>
      <c r="AV842" s="111"/>
      <c r="AW842" s="111"/>
      <c r="AX842" s="111"/>
      <c r="AY842" s="111"/>
      <c r="AZ842" s="111"/>
      <c r="BA842" s="111"/>
      <c r="BB842" s="111"/>
      <c r="BC842" s="111"/>
      <c r="BD842" s="111"/>
      <c r="BE842" s="111"/>
      <c r="BF842" s="111"/>
    </row>
    <row r="843" ht="14.25" customHeight="1">
      <c r="A843" s="111"/>
      <c r="B843" s="111"/>
      <c r="C843" s="112"/>
      <c r="D843" s="112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  <c r="AJ843" s="111"/>
      <c r="AK843" s="111"/>
      <c r="AL843" s="111"/>
      <c r="AM843" s="111"/>
      <c r="AN843" s="111"/>
      <c r="AO843" s="111"/>
      <c r="AP843" s="111"/>
      <c r="AQ843" s="111"/>
      <c r="AR843" s="111"/>
      <c r="AS843" s="111"/>
      <c r="AT843" s="111"/>
      <c r="AU843" s="111"/>
      <c r="AV843" s="111"/>
      <c r="AW843" s="111"/>
      <c r="AX843" s="111"/>
      <c r="AY843" s="111"/>
      <c r="AZ843" s="111"/>
      <c r="BA843" s="111"/>
      <c r="BB843" s="111"/>
      <c r="BC843" s="111"/>
      <c r="BD843" s="111"/>
      <c r="BE843" s="111"/>
      <c r="BF843" s="111"/>
    </row>
    <row r="844" ht="14.25" customHeight="1">
      <c r="A844" s="111"/>
      <c r="B844" s="111"/>
      <c r="C844" s="112"/>
      <c r="D844" s="112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  <c r="AJ844" s="111"/>
      <c r="AK844" s="111"/>
      <c r="AL844" s="111"/>
      <c r="AM844" s="111"/>
      <c r="AN844" s="111"/>
      <c r="AO844" s="111"/>
      <c r="AP844" s="111"/>
      <c r="AQ844" s="111"/>
      <c r="AR844" s="111"/>
      <c r="AS844" s="111"/>
      <c r="AT844" s="111"/>
      <c r="AU844" s="111"/>
      <c r="AV844" s="111"/>
      <c r="AW844" s="111"/>
      <c r="AX844" s="111"/>
      <c r="AY844" s="111"/>
      <c r="AZ844" s="111"/>
      <c r="BA844" s="111"/>
      <c r="BB844" s="111"/>
      <c r="BC844" s="111"/>
      <c r="BD844" s="111"/>
      <c r="BE844" s="111"/>
      <c r="BF844" s="111"/>
    </row>
    <row r="845" ht="14.25" customHeight="1">
      <c r="A845" s="111"/>
      <c r="B845" s="111"/>
      <c r="C845" s="112"/>
      <c r="D845" s="112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  <c r="AJ845" s="111"/>
      <c r="AK845" s="111"/>
      <c r="AL845" s="111"/>
      <c r="AM845" s="111"/>
      <c r="AN845" s="111"/>
      <c r="AO845" s="111"/>
      <c r="AP845" s="111"/>
      <c r="AQ845" s="111"/>
      <c r="AR845" s="111"/>
      <c r="AS845" s="111"/>
      <c r="AT845" s="111"/>
      <c r="AU845" s="111"/>
      <c r="AV845" s="111"/>
      <c r="AW845" s="111"/>
      <c r="AX845" s="111"/>
      <c r="AY845" s="111"/>
      <c r="AZ845" s="111"/>
      <c r="BA845" s="111"/>
      <c r="BB845" s="111"/>
      <c r="BC845" s="111"/>
      <c r="BD845" s="111"/>
      <c r="BE845" s="111"/>
      <c r="BF845" s="111"/>
    </row>
    <row r="846" ht="14.25" customHeight="1">
      <c r="A846" s="111"/>
      <c r="B846" s="111"/>
      <c r="C846" s="112"/>
      <c r="D846" s="112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  <c r="AJ846" s="111"/>
      <c r="AK846" s="111"/>
      <c r="AL846" s="111"/>
      <c r="AM846" s="111"/>
      <c r="AN846" s="111"/>
      <c r="AO846" s="111"/>
      <c r="AP846" s="111"/>
      <c r="AQ846" s="111"/>
      <c r="AR846" s="111"/>
      <c r="AS846" s="111"/>
      <c r="AT846" s="111"/>
      <c r="AU846" s="111"/>
      <c r="AV846" s="111"/>
      <c r="AW846" s="111"/>
      <c r="AX846" s="111"/>
      <c r="AY846" s="111"/>
      <c r="AZ846" s="111"/>
      <c r="BA846" s="111"/>
      <c r="BB846" s="111"/>
      <c r="BC846" s="111"/>
      <c r="BD846" s="111"/>
      <c r="BE846" s="111"/>
      <c r="BF846" s="111"/>
    </row>
    <row r="847" ht="14.25" customHeight="1">
      <c r="A847" s="111"/>
      <c r="B847" s="111"/>
      <c r="C847" s="112"/>
      <c r="D847" s="112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  <c r="AJ847" s="111"/>
      <c r="AK847" s="111"/>
      <c r="AL847" s="111"/>
      <c r="AM847" s="111"/>
      <c r="AN847" s="111"/>
      <c r="AO847" s="111"/>
      <c r="AP847" s="111"/>
      <c r="AQ847" s="111"/>
      <c r="AR847" s="111"/>
      <c r="AS847" s="111"/>
      <c r="AT847" s="111"/>
      <c r="AU847" s="111"/>
      <c r="AV847" s="111"/>
      <c r="AW847" s="111"/>
      <c r="AX847" s="111"/>
      <c r="AY847" s="111"/>
      <c r="AZ847" s="111"/>
      <c r="BA847" s="111"/>
      <c r="BB847" s="111"/>
      <c r="BC847" s="111"/>
      <c r="BD847" s="111"/>
      <c r="BE847" s="111"/>
      <c r="BF847" s="111"/>
    </row>
    <row r="848" ht="14.25" customHeight="1">
      <c r="A848" s="111"/>
      <c r="B848" s="111"/>
      <c r="C848" s="112"/>
      <c r="D848" s="112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  <c r="AJ848" s="111"/>
      <c r="AK848" s="111"/>
      <c r="AL848" s="111"/>
      <c r="AM848" s="111"/>
      <c r="AN848" s="111"/>
      <c r="AO848" s="111"/>
      <c r="AP848" s="111"/>
      <c r="AQ848" s="111"/>
      <c r="AR848" s="111"/>
      <c r="AS848" s="111"/>
      <c r="AT848" s="111"/>
      <c r="AU848" s="111"/>
      <c r="AV848" s="111"/>
      <c r="AW848" s="111"/>
      <c r="AX848" s="111"/>
      <c r="AY848" s="111"/>
      <c r="AZ848" s="111"/>
      <c r="BA848" s="111"/>
      <c r="BB848" s="111"/>
      <c r="BC848" s="111"/>
      <c r="BD848" s="111"/>
      <c r="BE848" s="111"/>
      <c r="BF848" s="111"/>
    </row>
    <row r="849" ht="14.25" customHeight="1">
      <c r="A849" s="111"/>
      <c r="B849" s="111"/>
      <c r="C849" s="112"/>
      <c r="D849" s="112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  <c r="AJ849" s="111"/>
      <c r="AK849" s="111"/>
      <c r="AL849" s="111"/>
      <c r="AM849" s="111"/>
      <c r="AN849" s="111"/>
      <c r="AO849" s="111"/>
      <c r="AP849" s="111"/>
      <c r="AQ849" s="111"/>
      <c r="AR849" s="111"/>
      <c r="AS849" s="111"/>
      <c r="AT849" s="111"/>
      <c r="AU849" s="111"/>
      <c r="AV849" s="111"/>
      <c r="AW849" s="111"/>
      <c r="AX849" s="111"/>
      <c r="AY849" s="111"/>
      <c r="AZ849" s="111"/>
      <c r="BA849" s="111"/>
      <c r="BB849" s="111"/>
      <c r="BC849" s="111"/>
      <c r="BD849" s="111"/>
      <c r="BE849" s="111"/>
      <c r="BF849" s="111"/>
    </row>
    <row r="850" ht="14.25" customHeight="1">
      <c r="A850" s="111"/>
      <c r="B850" s="111"/>
      <c r="C850" s="112"/>
      <c r="D850" s="112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  <c r="AJ850" s="111"/>
      <c r="AK850" s="111"/>
      <c r="AL850" s="111"/>
      <c r="AM850" s="111"/>
      <c r="AN850" s="111"/>
      <c r="AO850" s="111"/>
      <c r="AP850" s="111"/>
      <c r="AQ850" s="111"/>
      <c r="AR850" s="111"/>
      <c r="AS850" s="111"/>
      <c r="AT850" s="111"/>
      <c r="AU850" s="111"/>
      <c r="AV850" s="111"/>
      <c r="AW850" s="111"/>
      <c r="AX850" s="111"/>
      <c r="AY850" s="111"/>
      <c r="AZ850" s="111"/>
      <c r="BA850" s="111"/>
      <c r="BB850" s="111"/>
      <c r="BC850" s="111"/>
      <c r="BD850" s="111"/>
      <c r="BE850" s="111"/>
      <c r="BF850" s="111"/>
    </row>
    <row r="851" ht="14.25" customHeight="1">
      <c r="A851" s="111"/>
      <c r="B851" s="111"/>
      <c r="C851" s="112"/>
      <c r="D851" s="112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  <c r="AJ851" s="111"/>
      <c r="AK851" s="111"/>
      <c r="AL851" s="111"/>
      <c r="AM851" s="111"/>
      <c r="AN851" s="111"/>
      <c r="AO851" s="111"/>
      <c r="AP851" s="111"/>
      <c r="AQ851" s="111"/>
      <c r="AR851" s="111"/>
      <c r="AS851" s="111"/>
      <c r="AT851" s="111"/>
      <c r="AU851" s="111"/>
      <c r="AV851" s="111"/>
      <c r="AW851" s="111"/>
      <c r="AX851" s="111"/>
      <c r="AY851" s="111"/>
      <c r="AZ851" s="111"/>
      <c r="BA851" s="111"/>
      <c r="BB851" s="111"/>
      <c r="BC851" s="111"/>
      <c r="BD851" s="111"/>
      <c r="BE851" s="111"/>
      <c r="BF851" s="111"/>
    </row>
    <row r="852" ht="14.25" customHeight="1">
      <c r="A852" s="111"/>
      <c r="B852" s="111"/>
      <c r="C852" s="112"/>
      <c r="D852" s="112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  <c r="AJ852" s="111"/>
      <c r="AK852" s="111"/>
      <c r="AL852" s="111"/>
      <c r="AM852" s="111"/>
      <c r="AN852" s="111"/>
      <c r="AO852" s="111"/>
      <c r="AP852" s="111"/>
      <c r="AQ852" s="111"/>
      <c r="AR852" s="111"/>
      <c r="AS852" s="111"/>
      <c r="AT852" s="111"/>
      <c r="AU852" s="111"/>
      <c r="AV852" s="111"/>
      <c r="AW852" s="111"/>
      <c r="AX852" s="111"/>
      <c r="AY852" s="111"/>
      <c r="AZ852" s="111"/>
      <c r="BA852" s="111"/>
      <c r="BB852" s="111"/>
      <c r="BC852" s="111"/>
      <c r="BD852" s="111"/>
      <c r="BE852" s="111"/>
      <c r="BF852" s="111"/>
    </row>
    <row r="853" ht="14.25" customHeight="1">
      <c r="A853" s="111"/>
      <c r="B853" s="111"/>
      <c r="C853" s="112"/>
      <c r="D853" s="112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  <c r="AJ853" s="111"/>
      <c r="AK853" s="111"/>
      <c r="AL853" s="111"/>
      <c r="AM853" s="111"/>
      <c r="AN853" s="111"/>
      <c r="AO853" s="111"/>
      <c r="AP853" s="111"/>
      <c r="AQ853" s="111"/>
      <c r="AR853" s="111"/>
      <c r="AS853" s="111"/>
      <c r="AT853" s="111"/>
      <c r="AU853" s="111"/>
      <c r="AV853" s="111"/>
      <c r="AW853" s="111"/>
      <c r="AX853" s="111"/>
      <c r="AY853" s="111"/>
      <c r="AZ853" s="111"/>
      <c r="BA853" s="111"/>
      <c r="BB853" s="111"/>
      <c r="BC853" s="111"/>
      <c r="BD853" s="111"/>
      <c r="BE853" s="111"/>
      <c r="BF853" s="111"/>
    </row>
    <row r="854" ht="14.25" customHeight="1">
      <c r="A854" s="111"/>
      <c r="B854" s="111"/>
      <c r="C854" s="112"/>
      <c r="D854" s="112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  <c r="AL854" s="111"/>
      <c r="AM854" s="111"/>
      <c r="AN854" s="111"/>
      <c r="AO854" s="111"/>
      <c r="AP854" s="111"/>
      <c r="AQ854" s="111"/>
      <c r="AR854" s="111"/>
      <c r="AS854" s="111"/>
      <c r="AT854" s="111"/>
      <c r="AU854" s="111"/>
      <c r="AV854" s="111"/>
      <c r="AW854" s="111"/>
      <c r="AX854" s="111"/>
      <c r="AY854" s="111"/>
      <c r="AZ854" s="111"/>
      <c r="BA854" s="111"/>
      <c r="BB854" s="111"/>
      <c r="BC854" s="111"/>
      <c r="BD854" s="111"/>
      <c r="BE854" s="111"/>
      <c r="BF854" s="111"/>
    </row>
    <row r="855" ht="14.25" customHeight="1">
      <c r="A855" s="111"/>
      <c r="B855" s="111"/>
      <c r="C855" s="112"/>
      <c r="D855" s="112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  <c r="AJ855" s="111"/>
      <c r="AK855" s="111"/>
      <c r="AL855" s="111"/>
      <c r="AM855" s="111"/>
      <c r="AN855" s="111"/>
      <c r="AO855" s="111"/>
      <c r="AP855" s="111"/>
      <c r="AQ855" s="111"/>
      <c r="AR855" s="111"/>
      <c r="AS855" s="111"/>
      <c r="AT855" s="111"/>
      <c r="AU855" s="111"/>
      <c r="AV855" s="111"/>
      <c r="AW855" s="111"/>
      <c r="AX855" s="111"/>
      <c r="AY855" s="111"/>
      <c r="AZ855" s="111"/>
      <c r="BA855" s="111"/>
      <c r="BB855" s="111"/>
      <c r="BC855" s="111"/>
      <c r="BD855" s="111"/>
      <c r="BE855" s="111"/>
      <c r="BF855" s="111"/>
    </row>
    <row r="856" ht="14.25" customHeight="1">
      <c r="A856" s="111"/>
      <c r="B856" s="111"/>
      <c r="C856" s="112"/>
      <c r="D856" s="112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  <c r="AJ856" s="111"/>
      <c r="AK856" s="111"/>
      <c r="AL856" s="111"/>
      <c r="AM856" s="111"/>
      <c r="AN856" s="111"/>
      <c r="AO856" s="111"/>
      <c r="AP856" s="111"/>
      <c r="AQ856" s="111"/>
      <c r="AR856" s="111"/>
      <c r="AS856" s="111"/>
      <c r="AT856" s="111"/>
      <c r="AU856" s="111"/>
      <c r="AV856" s="111"/>
      <c r="AW856" s="111"/>
      <c r="AX856" s="111"/>
      <c r="AY856" s="111"/>
      <c r="AZ856" s="111"/>
      <c r="BA856" s="111"/>
      <c r="BB856" s="111"/>
      <c r="BC856" s="111"/>
      <c r="BD856" s="111"/>
      <c r="BE856" s="111"/>
      <c r="BF856" s="111"/>
    </row>
    <row r="857" ht="14.25" customHeight="1">
      <c r="A857" s="111"/>
      <c r="B857" s="111"/>
      <c r="C857" s="112"/>
      <c r="D857" s="112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  <c r="AJ857" s="111"/>
      <c r="AK857" s="111"/>
      <c r="AL857" s="111"/>
      <c r="AM857" s="111"/>
      <c r="AN857" s="111"/>
      <c r="AO857" s="111"/>
      <c r="AP857" s="111"/>
      <c r="AQ857" s="111"/>
      <c r="AR857" s="111"/>
      <c r="AS857" s="111"/>
      <c r="AT857" s="111"/>
      <c r="AU857" s="111"/>
      <c r="AV857" s="111"/>
      <c r="AW857" s="111"/>
      <c r="AX857" s="111"/>
      <c r="AY857" s="111"/>
      <c r="AZ857" s="111"/>
      <c r="BA857" s="111"/>
      <c r="BB857" s="111"/>
      <c r="BC857" s="111"/>
      <c r="BD857" s="111"/>
      <c r="BE857" s="111"/>
      <c r="BF857" s="111"/>
    </row>
    <row r="858" ht="14.25" customHeight="1">
      <c r="A858" s="111"/>
      <c r="B858" s="111"/>
      <c r="C858" s="112"/>
      <c r="D858" s="112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  <c r="AJ858" s="111"/>
      <c r="AK858" s="111"/>
      <c r="AL858" s="111"/>
      <c r="AM858" s="111"/>
      <c r="AN858" s="111"/>
      <c r="AO858" s="111"/>
      <c r="AP858" s="111"/>
      <c r="AQ858" s="111"/>
      <c r="AR858" s="111"/>
      <c r="AS858" s="111"/>
      <c r="AT858" s="111"/>
      <c r="AU858" s="111"/>
      <c r="AV858" s="111"/>
      <c r="AW858" s="111"/>
      <c r="AX858" s="111"/>
      <c r="AY858" s="111"/>
      <c r="AZ858" s="111"/>
      <c r="BA858" s="111"/>
      <c r="BB858" s="111"/>
      <c r="BC858" s="111"/>
      <c r="BD858" s="111"/>
      <c r="BE858" s="111"/>
      <c r="BF858" s="111"/>
    </row>
    <row r="859" ht="14.25" customHeight="1">
      <c r="A859" s="111"/>
      <c r="B859" s="111"/>
      <c r="C859" s="112"/>
      <c r="D859" s="112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  <c r="AJ859" s="111"/>
      <c r="AK859" s="111"/>
      <c r="AL859" s="111"/>
      <c r="AM859" s="111"/>
      <c r="AN859" s="111"/>
      <c r="AO859" s="111"/>
      <c r="AP859" s="111"/>
      <c r="AQ859" s="111"/>
      <c r="AR859" s="111"/>
      <c r="AS859" s="111"/>
      <c r="AT859" s="111"/>
      <c r="AU859" s="111"/>
      <c r="AV859" s="111"/>
      <c r="AW859" s="111"/>
      <c r="AX859" s="111"/>
      <c r="AY859" s="111"/>
      <c r="AZ859" s="111"/>
      <c r="BA859" s="111"/>
      <c r="BB859" s="111"/>
      <c r="BC859" s="111"/>
      <c r="BD859" s="111"/>
      <c r="BE859" s="111"/>
      <c r="BF859" s="111"/>
    </row>
    <row r="860" ht="14.25" customHeight="1">
      <c r="A860" s="111"/>
      <c r="B860" s="111"/>
      <c r="C860" s="112"/>
      <c r="D860" s="112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/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/>
      <c r="BB860" s="111"/>
      <c r="BC860" s="111"/>
      <c r="BD860" s="111"/>
      <c r="BE860" s="111"/>
      <c r="BF860" s="111"/>
    </row>
    <row r="861" ht="14.25" customHeight="1">
      <c r="A861" s="111"/>
      <c r="B861" s="111"/>
      <c r="C861" s="112"/>
      <c r="D861" s="112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/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/>
      <c r="BB861" s="111"/>
      <c r="BC861" s="111"/>
      <c r="BD861" s="111"/>
      <c r="BE861" s="111"/>
      <c r="BF861" s="111"/>
    </row>
    <row r="862" ht="14.25" customHeight="1">
      <c r="A862" s="111"/>
      <c r="B862" s="111"/>
      <c r="C862" s="112"/>
      <c r="D862" s="112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  <c r="AJ862" s="111"/>
      <c r="AK862" s="111"/>
      <c r="AL862" s="111"/>
      <c r="AM862" s="111"/>
      <c r="AN862" s="111"/>
      <c r="AO862" s="111"/>
      <c r="AP862" s="111"/>
      <c r="AQ862" s="111"/>
      <c r="AR862" s="111"/>
      <c r="AS862" s="111"/>
      <c r="AT862" s="111"/>
      <c r="AU862" s="111"/>
      <c r="AV862" s="111"/>
      <c r="AW862" s="111"/>
      <c r="AX862" s="111"/>
      <c r="AY862" s="111"/>
      <c r="AZ862" s="111"/>
      <c r="BA862" s="111"/>
      <c r="BB862" s="111"/>
      <c r="BC862" s="111"/>
      <c r="BD862" s="111"/>
      <c r="BE862" s="111"/>
      <c r="BF862" s="111"/>
    </row>
    <row r="863" ht="14.25" customHeight="1">
      <c r="A863" s="111"/>
      <c r="B863" s="111"/>
      <c r="C863" s="112"/>
      <c r="D863" s="112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/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/>
      <c r="BB863" s="111"/>
      <c r="BC863" s="111"/>
      <c r="BD863" s="111"/>
      <c r="BE863" s="111"/>
      <c r="BF863" s="111"/>
    </row>
    <row r="864" ht="14.25" customHeight="1">
      <c r="A864" s="111"/>
      <c r="B864" s="111"/>
      <c r="C864" s="112"/>
      <c r="D864" s="112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  <c r="AJ864" s="111"/>
      <c r="AK864" s="111"/>
      <c r="AL864" s="111"/>
      <c r="AM864" s="111"/>
      <c r="AN864" s="111"/>
      <c r="AO864" s="111"/>
      <c r="AP864" s="111"/>
      <c r="AQ864" s="111"/>
      <c r="AR864" s="111"/>
      <c r="AS864" s="111"/>
      <c r="AT864" s="111"/>
      <c r="AU864" s="111"/>
      <c r="AV864" s="111"/>
      <c r="AW864" s="111"/>
      <c r="AX864" s="111"/>
      <c r="AY864" s="111"/>
      <c r="AZ864" s="111"/>
      <c r="BA864" s="111"/>
      <c r="BB864" s="111"/>
      <c r="BC864" s="111"/>
      <c r="BD864" s="111"/>
      <c r="BE864" s="111"/>
      <c r="BF864" s="111"/>
    </row>
    <row r="865" ht="14.25" customHeight="1">
      <c r="A865" s="111"/>
      <c r="B865" s="111"/>
      <c r="C865" s="112"/>
      <c r="D865" s="112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  <c r="AJ865" s="111"/>
      <c r="AK865" s="111"/>
      <c r="AL865" s="111"/>
      <c r="AM865" s="111"/>
      <c r="AN865" s="111"/>
      <c r="AO865" s="111"/>
      <c r="AP865" s="111"/>
      <c r="AQ865" s="111"/>
      <c r="AR865" s="111"/>
      <c r="AS865" s="111"/>
      <c r="AT865" s="111"/>
      <c r="AU865" s="111"/>
      <c r="AV865" s="111"/>
      <c r="AW865" s="111"/>
      <c r="AX865" s="111"/>
      <c r="AY865" s="111"/>
      <c r="AZ865" s="111"/>
      <c r="BA865" s="111"/>
      <c r="BB865" s="111"/>
      <c r="BC865" s="111"/>
      <c r="BD865" s="111"/>
      <c r="BE865" s="111"/>
      <c r="BF865" s="111"/>
    </row>
    <row r="866" ht="14.25" customHeight="1">
      <c r="A866" s="111"/>
      <c r="B866" s="111"/>
      <c r="C866" s="112"/>
      <c r="D866" s="112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  <c r="AJ866" s="111"/>
      <c r="AK866" s="111"/>
      <c r="AL866" s="111"/>
      <c r="AM866" s="111"/>
      <c r="AN866" s="111"/>
      <c r="AO866" s="111"/>
      <c r="AP866" s="111"/>
      <c r="AQ866" s="111"/>
      <c r="AR866" s="111"/>
      <c r="AS866" s="111"/>
      <c r="AT866" s="111"/>
      <c r="AU866" s="111"/>
      <c r="AV866" s="111"/>
      <c r="AW866" s="111"/>
      <c r="AX866" s="111"/>
      <c r="AY866" s="111"/>
      <c r="AZ866" s="111"/>
      <c r="BA866" s="111"/>
      <c r="BB866" s="111"/>
      <c r="BC866" s="111"/>
      <c r="BD866" s="111"/>
      <c r="BE866" s="111"/>
      <c r="BF866" s="111"/>
    </row>
    <row r="867" ht="14.25" customHeight="1">
      <c r="A867" s="111"/>
      <c r="B867" s="111"/>
      <c r="C867" s="112"/>
      <c r="D867" s="112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  <c r="AJ867" s="111"/>
      <c r="AK867" s="111"/>
      <c r="AL867" s="111"/>
      <c r="AM867" s="111"/>
      <c r="AN867" s="111"/>
      <c r="AO867" s="111"/>
      <c r="AP867" s="111"/>
      <c r="AQ867" s="111"/>
      <c r="AR867" s="111"/>
      <c r="AS867" s="111"/>
      <c r="AT867" s="111"/>
      <c r="AU867" s="111"/>
      <c r="AV867" s="111"/>
      <c r="AW867" s="111"/>
      <c r="AX867" s="111"/>
      <c r="AY867" s="111"/>
      <c r="AZ867" s="111"/>
      <c r="BA867" s="111"/>
      <c r="BB867" s="111"/>
      <c r="BC867" s="111"/>
      <c r="BD867" s="111"/>
      <c r="BE867" s="111"/>
      <c r="BF867" s="111"/>
    </row>
    <row r="868" ht="14.25" customHeight="1">
      <c r="A868" s="111"/>
      <c r="B868" s="111"/>
      <c r="C868" s="112"/>
      <c r="D868" s="112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  <c r="AJ868" s="111"/>
      <c r="AK868" s="111"/>
      <c r="AL868" s="111"/>
      <c r="AM868" s="111"/>
      <c r="AN868" s="111"/>
      <c r="AO868" s="111"/>
      <c r="AP868" s="111"/>
      <c r="AQ868" s="111"/>
      <c r="AR868" s="111"/>
      <c r="AS868" s="111"/>
      <c r="AT868" s="111"/>
      <c r="AU868" s="111"/>
      <c r="AV868" s="111"/>
      <c r="AW868" s="111"/>
      <c r="AX868" s="111"/>
      <c r="AY868" s="111"/>
      <c r="AZ868" s="111"/>
      <c r="BA868" s="111"/>
      <c r="BB868" s="111"/>
      <c r="BC868" s="111"/>
      <c r="BD868" s="111"/>
      <c r="BE868" s="111"/>
      <c r="BF868" s="111"/>
    </row>
    <row r="869" ht="14.25" customHeight="1">
      <c r="A869" s="111"/>
      <c r="B869" s="111"/>
      <c r="C869" s="112"/>
      <c r="D869" s="112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  <c r="AJ869" s="111"/>
      <c r="AK869" s="111"/>
      <c r="AL869" s="111"/>
      <c r="AM869" s="111"/>
      <c r="AN869" s="111"/>
      <c r="AO869" s="111"/>
      <c r="AP869" s="111"/>
      <c r="AQ869" s="111"/>
      <c r="AR869" s="111"/>
      <c r="AS869" s="111"/>
      <c r="AT869" s="111"/>
      <c r="AU869" s="111"/>
      <c r="AV869" s="111"/>
      <c r="AW869" s="111"/>
      <c r="AX869" s="111"/>
      <c r="AY869" s="111"/>
      <c r="AZ869" s="111"/>
      <c r="BA869" s="111"/>
      <c r="BB869" s="111"/>
      <c r="BC869" s="111"/>
      <c r="BD869" s="111"/>
      <c r="BE869" s="111"/>
      <c r="BF869" s="111"/>
    </row>
    <row r="870" ht="14.25" customHeight="1">
      <c r="A870" s="111"/>
      <c r="B870" s="111"/>
      <c r="C870" s="112"/>
      <c r="D870" s="112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  <c r="AJ870" s="111"/>
      <c r="AK870" s="111"/>
      <c r="AL870" s="111"/>
      <c r="AM870" s="111"/>
      <c r="AN870" s="111"/>
      <c r="AO870" s="111"/>
      <c r="AP870" s="111"/>
      <c r="AQ870" s="111"/>
      <c r="AR870" s="111"/>
      <c r="AS870" s="111"/>
      <c r="AT870" s="111"/>
      <c r="AU870" s="111"/>
      <c r="AV870" s="111"/>
      <c r="AW870" s="111"/>
      <c r="AX870" s="111"/>
      <c r="AY870" s="111"/>
      <c r="AZ870" s="111"/>
      <c r="BA870" s="111"/>
      <c r="BB870" s="111"/>
      <c r="BC870" s="111"/>
      <c r="BD870" s="111"/>
      <c r="BE870" s="111"/>
      <c r="BF870" s="111"/>
    </row>
    <row r="871" ht="14.25" customHeight="1">
      <c r="A871" s="111"/>
      <c r="B871" s="111"/>
      <c r="C871" s="112"/>
      <c r="D871" s="112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  <c r="AJ871" s="111"/>
      <c r="AK871" s="111"/>
      <c r="AL871" s="111"/>
      <c r="AM871" s="111"/>
      <c r="AN871" s="111"/>
      <c r="AO871" s="111"/>
      <c r="AP871" s="111"/>
      <c r="AQ871" s="111"/>
      <c r="AR871" s="111"/>
      <c r="AS871" s="111"/>
      <c r="AT871" s="111"/>
      <c r="AU871" s="111"/>
      <c r="AV871" s="111"/>
      <c r="AW871" s="111"/>
      <c r="AX871" s="111"/>
      <c r="AY871" s="111"/>
      <c r="AZ871" s="111"/>
      <c r="BA871" s="111"/>
      <c r="BB871" s="111"/>
      <c r="BC871" s="111"/>
      <c r="BD871" s="111"/>
      <c r="BE871" s="111"/>
      <c r="BF871" s="111"/>
    </row>
    <row r="872" ht="14.25" customHeight="1">
      <c r="A872" s="111"/>
      <c r="B872" s="111"/>
      <c r="C872" s="112"/>
      <c r="D872" s="112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  <c r="AJ872" s="111"/>
      <c r="AK872" s="111"/>
      <c r="AL872" s="111"/>
      <c r="AM872" s="111"/>
      <c r="AN872" s="111"/>
      <c r="AO872" s="111"/>
      <c r="AP872" s="111"/>
      <c r="AQ872" s="111"/>
      <c r="AR872" s="111"/>
      <c r="AS872" s="111"/>
      <c r="AT872" s="111"/>
      <c r="AU872" s="111"/>
      <c r="AV872" s="111"/>
      <c r="AW872" s="111"/>
      <c r="AX872" s="111"/>
      <c r="AY872" s="111"/>
      <c r="AZ872" s="111"/>
      <c r="BA872" s="111"/>
      <c r="BB872" s="111"/>
      <c r="BC872" s="111"/>
      <c r="BD872" s="111"/>
      <c r="BE872" s="111"/>
      <c r="BF872" s="111"/>
    </row>
    <row r="873" ht="14.25" customHeight="1">
      <c r="A873" s="111"/>
      <c r="B873" s="111"/>
      <c r="C873" s="112"/>
      <c r="D873" s="112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  <c r="AJ873" s="111"/>
      <c r="AK873" s="111"/>
      <c r="AL873" s="111"/>
      <c r="AM873" s="111"/>
      <c r="AN873" s="111"/>
      <c r="AO873" s="111"/>
      <c r="AP873" s="111"/>
      <c r="AQ873" s="111"/>
      <c r="AR873" s="111"/>
      <c r="AS873" s="111"/>
      <c r="AT873" s="111"/>
      <c r="AU873" s="111"/>
      <c r="AV873" s="111"/>
      <c r="AW873" s="111"/>
      <c r="AX873" s="111"/>
      <c r="AY873" s="111"/>
      <c r="AZ873" s="111"/>
      <c r="BA873" s="111"/>
      <c r="BB873" s="111"/>
      <c r="BC873" s="111"/>
      <c r="BD873" s="111"/>
      <c r="BE873" s="111"/>
      <c r="BF873" s="111"/>
    </row>
    <row r="874" ht="14.25" customHeight="1">
      <c r="A874" s="111"/>
      <c r="B874" s="111"/>
      <c r="C874" s="112"/>
      <c r="D874" s="112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  <c r="AJ874" s="111"/>
      <c r="AK874" s="111"/>
      <c r="AL874" s="111"/>
      <c r="AM874" s="111"/>
      <c r="AN874" s="111"/>
      <c r="AO874" s="111"/>
      <c r="AP874" s="111"/>
      <c r="AQ874" s="111"/>
      <c r="AR874" s="111"/>
      <c r="AS874" s="111"/>
      <c r="AT874" s="111"/>
      <c r="AU874" s="111"/>
      <c r="AV874" s="111"/>
      <c r="AW874" s="111"/>
      <c r="AX874" s="111"/>
      <c r="AY874" s="111"/>
      <c r="AZ874" s="111"/>
      <c r="BA874" s="111"/>
      <c r="BB874" s="111"/>
      <c r="BC874" s="111"/>
      <c r="BD874" s="111"/>
      <c r="BE874" s="111"/>
      <c r="BF874" s="111"/>
    </row>
    <row r="875" ht="14.25" customHeight="1">
      <c r="A875" s="111"/>
      <c r="B875" s="111"/>
      <c r="C875" s="112"/>
      <c r="D875" s="112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  <c r="AJ875" s="111"/>
      <c r="AK875" s="111"/>
      <c r="AL875" s="111"/>
      <c r="AM875" s="111"/>
      <c r="AN875" s="111"/>
      <c r="AO875" s="111"/>
      <c r="AP875" s="111"/>
      <c r="AQ875" s="111"/>
      <c r="AR875" s="111"/>
      <c r="AS875" s="111"/>
      <c r="AT875" s="111"/>
      <c r="AU875" s="111"/>
      <c r="AV875" s="111"/>
      <c r="AW875" s="111"/>
      <c r="AX875" s="111"/>
      <c r="AY875" s="111"/>
      <c r="AZ875" s="111"/>
      <c r="BA875" s="111"/>
      <c r="BB875" s="111"/>
      <c r="BC875" s="111"/>
      <c r="BD875" s="111"/>
      <c r="BE875" s="111"/>
      <c r="BF875" s="111"/>
    </row>
    <row r="876" ht="14.25" customHeight="1">
      <c r="A876" s="111"/>
      <c r="B876" s="111"/>
      <c r="C876" s="112"/>
      <c r="D876" s="112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  <c r="AJ876" s="111"/>
      <c r="AK876" s="111"/>
      <c r="AL876" s="111"/>
      <c r="AM876" s="111"/>
      <c r="AN876" s="111"/>
      <c r="AO876" s="111"/>
      <c r="AP876" s="111"/>
      <c r="AQ876" s="111"/>
      <c r="AR876" s="111"/>
      <c r="AS876" s="111"/>
      <c r="AT876" s="111"/>
      <c r="AU876" s="111"/>
      <c r="AV876" s="111"/>
      <c r="AW876" s="111"/>
      <c r="AX876" s="111"/>
      <c r="AY876" s="111"/>
      <c r="AZ876" s="111"/>
      <c r="BA876" s="111"/>
      <c r="BB876" s="111"/>
      <c r="BC876" s="111"/>
      <c r="BD876" s="111"/>
      <c r="BE876" s="111"/>
      <c r="BF876" s="111"/>
    </row>
    <row r="877" ht="14.25" customHeight="1">
      <c r="A877" s="111"/>
      <c r="B877" s="111"/>
      <c r="C877" s="112"/>
      <c r="D877" s="112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  <c r="AJ877" s="111"/>
      <c r="AK877" s="111"/>
      <c r="AL877" s="111"/>
      <c r="AM877" s="111"/>
      <c r="AN877" s="111"/>
      <c r="AO877" s="111"/>
      <c r="AP877" s="111"/>
      <c r="AQ877" s="111"/>
      <c r="AR877" s="111"/>
      <c r="AS877" s="111"/>
      <c r="AT877" s="111"/>
      <c r="AU877" s="111"/>
      <c r="AV877" s="111"/>
      <c r="AW877" s="111"/>
      <c r="AX877" s="111"/>
      <c r="AY877" s="111"/>
      <c r="AZ877" s="111"/>
      <c r="BA877" s="111"/>
      <c r="BB877" s="111"/>
      <c r="BC877" s="111"/>
      <c r="BD877" s="111"/>
      <c r="BE877" s="111"/>
      <c r="BF877" s="111"/>
    </row>
    <row r="878" ht="14.25" customHeight="1">
      <c r="A878" s="111"/>
      <c r="B878" s="111"/>
      <c r="C878" s="112"/>
      <c r="D878" s="112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  <c r="AJ878" s="111"/>
      <c r="AK878" s="111"/>
      <c r="AL878" s="111"/>
      <c r="AM878" s="111"/>
      <c r="AN878" s="111"/>
      <c r="AO878" s="111"/>
      <c r="AP878" s="111"/>
      <c r="AQ878" s="111"/>
      <c r="AR878" s="111"/>
      <c r="AS878" s="111"/>
      <c r="AT878" s="111"/>
      <c r="AU878" s="111"/>
      <c r="AV878" s="111"/>
      <c r="AW878" s="111"/>
      <c r="AX878" s="111"/>
      <c r="AY878" s="111"/>
      <c r="AZ878" s="111"/>
      <c r="BA878" s="111"/>
      <c r="BB878" s="111"/>
      <c r="BC878" s="111"/>
      <c r="BD878" s="111"/>
      <c r="BE878" s="111"/>
      <c r="BF878" s="111"/>
    </row>
    <row r="879" ht="14.25" customHeight="1">
      <c r="A879" s="111"/>
      <c r="B879" s="111"/>
      <c r="C879" s="112"/>
      <c r="D879" s="112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  <c r="AJ879" s="111"/>
      <c r="AK879" s="111"/>
      <c r="AL879" s="111"/>
      <c r="AM879" s="111"/>
      <c r="AN879" s="111"/>
      <c r="AO879" s="111"/>
      <c r="AP879" s="111"/>
      <c r="AQ879" s="111"/>
      <c r="AR879" s="111"/>
      <c r="AS879" s="111"/>
      <c r="AT879" s="111"/>
      <c r="AU879" s="111"/>
      <c r="AV879" s="111"/>
      <c r="AW879" s="111"/>
      <c r="AX879" s="111"/>
      <c r="AY879" s="111"/>
      <c r="AZ879" s="111"/>
      <c r="BA879" s="111"/>
      <c r="BB879" s="111"/>
      <c r="BC879" s="111"/>
      <c r="BD879" s="111"/>
      <c r="BE879" s="111"/>
      <c r="BF879" s="111"/>
    </row>
    <row r="880" ht="14.25" customHeight="1">
      <c r="A880" s="111"/>
      <c r="B880" s="111"/>
      <c r="C880" s="112"/>
      <c r="D880" s="112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  <c r="AJ880" s="111"/>
      <c r="AK880" s="111"/>
      <c r="AL880" s="111"/>
      <c r="AM880" s="111"/>
      <c r="AN880" s="111"/>
      <c r="AO880" s="111"/>
      <c r="AP880" s="111"/>
      <c r="AQ880" s="111"/>
      <c r="AR880" s="111"/>
      <c r="AS880" s="111"/>
      <c r="AT880" s="111"/>
      <c r="AU880" s="111"/>
      <c r="AV880" s="111"/>
      <c r="AW880" s="111"/>
      <c r="AX880" s="111"/>
      <c r="AY880" s="111"/>
      <c r="AZ880" s="111"/>
      <c r="BA880" s="111"/>
      <c r="BB880" s="111"/>
      <c r="BC880" s="111"/>
      <c r="BD880" s="111"/>
      <c r="BE880" s="111"/>
      <c r="BF880" s="111"/>
    </row>
    <row r="881" ht="14.25" customHeight="1">
      <c r="A881" s="111"/>
      <c r="B881" s="111"/>
      <c r="C881" s="112"/>
      <c r="D881" s="112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  <c r="AJ881" s="111"/>
      <c r="AK881" s="111"/>
      <c r="AL881" s="111"/>
      <c r="AM881" s="111"/>
      <c r="AN881" s="111"/>
      <c r="AO881" s="111"/>
      <c r="AP881" s="111"/>
      <c r="AQ881" s="111"/>
      <c r="AR881" s="111"/>
      <c r="AS881" s="111"/>
      <c r="AT881" s="111"/>
      <c r="AU881" s="111"/>
      <c r="AV881" s="111"/>
      <c r="AW881" s="111"/>
      <c r="AX881" s="111"/>
      <c r="AY881" s="111"/>
      <c r="AZ881" s="111"/>
      <c r="BA881" s="111"/>
      <c r="BB881" s="111"/>
      <c r="BC881" s="111"/>
      <c r="BD881" s="111"/>
      <c r="BE881" s="111"/>
      <c r="BF881" s="111"/>
    </row>
    <row r="882" ht="14.25" customHeight="1">
      <c r="A882" s="111"/>
      <c r="B882" s="111"/>
      <c r="C882" s="112"/>
      <c r="D882" s="112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  <c r="AJ882" s="111"/>
      <c r="AK882" s="111"/>
      <c r="AL882" s="111"/>
      <c r="AM882" s="111"/>
      <c r="AN882" s="111"/>
      <c r="AO882" s="111"/>
      <c r="AP882" s="111"/>
      <c r="AQ882" s="111"/>
      <c r="AR882" s="111"/>
      <c r="AS882" s="111"/>
      <c r="AT882" s="111"/>
      <c r="AU882" s="111"/>
      <c r="AV882" s="111"/>
      <c r="AW882" s="111"/>
      <c r="AX882" s="111"/>
      <c r="AY882" s="111"/>
      <c r="AZ882" s="111"/>
      <c r="BA882" s="111"/>
      <c r="BB882" s="111"/>
      <c r="BC882" s="111"/>
      <c r="BD882" s="111"/>
      <c r="BE882" s="111"/>
      <c r="BF882" s="111"/>
    </row>
    <row r="883" ht="14.25" customHeight="1">
      <c r="A883" s="111"/>
      <c r="B883" s="111"/>
      <c r="C883" s="112"/>
      <c r="D883" s="112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  <c r="AJ883" s="111"/>
      <c r="AK883" s="111"/>
      <c r="AL883" s="111"/>
      <c r="AM883" s="111"/>
      <c r="AN883" s="111"/>
      <c r="AO883" s="111"/>
      <c r="AP883" s="111"/>
      <c r="AQ883" s="111"/>
      <c r="AR883" s="111"/>
      <c r="AS883" s="111"/>
      <c r="AT883" s="111"/>
      <c r="AU883" s="111"/>
      <c r="AV883" s="111"/>
      <c r="AW883" s="111"/>
      <c r="AX883" s="111"/>
      <c r="AY883" s="111"/>
      <c r="AZ883" s="111"/>
      <c r="BA883" s="111"/>
      <c r="BB883" s="111"/>
      <c r="BC883" s="111"/>
      <c r="BD883" s="111"/>
      <c r="BE883" s="111"/>
      <c r="BF883" s="111"/>
    </row>
    <row r="884" ht="14.25" customHeight="1">
      <c r="A884" s="111"/>
      <c r="B884" s="111"/>
      <c r="C884" s="112"/>
      <c r="D884" s="112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  <c r="AJ884" s="111"/>
      <c r="AK884" s="111"/>
      <c r="AL884" s="111"/>
      <c r="AM884" s="111"/>
      <c r="AN884" s="111"/>
      <c r="AO884" s="111"/>
      <c r="AP884" s="111"/>
      <c r="AQ884" s="111"/>
      <c r="AR884" s="111"/>
      <c r="AS884" s="111"/>
      <c r="AT884" s="111"/>
      <c r="AU884" s="111"/>
      <c r="AV884" s="111"/>
      <c r="AW884" s="111"/>
      <c r="AX884" s="111"/>
      <c r="AY884" s="111"/>
      <c r="AZ884" s="111"/>
      <c r="BA884" s="111"/>
      <c r="BB884" s="111"/>
      <c r="BC884" s="111"/>
      <c r="BD884" s="111"/>
      <c r="BE884" s="111"/>
      <c r="BF884" s="111"/>
    </row>
    <row r="885" ht="14.25" customHeight="1">
      <c r="A885" s="111"/>
      <c r="B885" s="111"/>
      <c r="C885" s="112"/>
      <c r="D885" s="112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  <c r="AJ885" s="111"/>
      <c r="AK885" s="111"/>
      <c r="AL885" s="111"/>
      <c r="AM885" s="111"/>
      <c r="AN885" s="111"/>
      <c r="AO885" s="111"/>
      <c r="AP885" s="111"/>
      <c r="AQ885" s="111"/>
      <c r="AR885" s="111"/>
      <c r="AS885" s="111"/>
      <c r="AT885" s="111"/>
      <c r="AU885" s="111"/>
      <c r="AV885" s="111"/>
      <c r="AW885" s="111"/>
      <c r="AX885" s="111"/>
      <c r="AY885" s="111"/>
      <c r="AZ885" s="111"/>
      <c r="BA885" s="111"/>
      <c r="BB885" s="111"/>
      <c r="BC885" s="111"/>
      <c r="BD885" s="111"/>
      <c r="BE885" s="111"/>
      <c r="BF885" s="111"/>
    </row>
    <row r="886" ht="14.25" customHeight="1">
      <c r="A886" s="111"/>
      <c r="B886" s="111"/>
      <c r="C886" s="112"/>
      <c r="D886" s="112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  <c r="AJ886" s="111"/>
      <c r="AK886" s="111"/>
      <c r="AL886" s="111"/>
      <c r="AM886" s="111"/>
      <c r="AN886" s="111"/>
      <c r="AO886" s="111"/>
      <c r="AP886" s="111"/>
      <c r="AQ886" s="111"/>
      <c r="AR886" s="111"/>
      <c r="AS886" s="111"/>
      <c r="AT886" s="111"/>
      <c r="AU886" s="111"/>
      <c r="AV886" s="111"/>
      <c r="AW886" s="111"/>
      <c r="AX886" s="111"/>
      <c r="AY886" s="111"/>
      <c r="AZ886" s="111"/>
      <c r="BA886" s="111"/>
      <c r="BB886" s="111"/>
      <c r="BC886" s="111"/>
      <c r="BD886" s="111"/>
      <c r="BE886" s="111"/>
      <c r="BF886" s="111"/>
    </row>
    <row r="887" ht="14.25" customHeight="1">
      <c r="A887" s="111"/>
      <c r="B887" s="111"/>
      <c r="C887" s="112"/>
      <c r="D887" s="112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  <c r="AJ887" s="111"/>
      <c r="AK887" s="111"/>
      <c r="AL887" s="111"/>
      <c r="AM887" s="111"/>
      <c r="AN887" s="111"/>
      <c r="AO887" s="111"/>
      <c r="AP887" s="111"/>
      <c r="AQ887" s="111"/>
      <c r="AR887" s="111"/>
      <c r="AS887" s="111"/>
      <c r="AT887" s="111"/>
      <c r="AU887" s="111"/>
      <c r="AV887" s="111"/>
      <c r="AW887" s="111"/>
      <c r="AX887" s="111"/>
      <c r="AY887" s="111"/>
      <c r="AZ887" s="111"/>
      <c r="BA887" s="111"/>
      <c r="BB887" s="111"/>
      <c r="BC887" s="111"/>
      <c r="BD887" s="111"/>
      <c r="BE887" s="111"/>
      <c r="BF887" s="111"/>
    </row>
    <row r="888" ht="14.25" customHeight="1">
      <c r="A888" s="111"/>
      <c r="B888" s="111"/>
      <c r="C888" s="112"/>
      <c r="D888" s="112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  <c r="AJ888" s="111"/>
      <c r="AK888" s="111"/>
      <c r="AL888" s="111"/>
      <c r="AM888" s="111"/>
      <c r="AN888" s="111"/>
      <c r="AO888" s="111"/>
      <c r="AP888" s="111"/>
      <c r="AQ888" s="111"/>
      <c r="AR888" s="111"/>
      <c r="AS888" s="111"/>
      <c r="AT888" s="111"/>
      <c r="AU888" s="111"/>
      <c r="AV888" s="111"/>
      <c r="AW888" s="111"/>
      <c r="AX888" s="111"/>
      <c r="AY888" s="111"/>
      <c r="AZ888" s="111"/>
      <c r="BA888" s="111"/>
      <c r="BB888" s="111"/>
      <c r="BC888" s="111"/>
      <c r="BD888" s="111"/>
      <c r="BE888" s="111"/>
      <c r="BF888" s="111"/>
    </row>
    <row r="889" ht="14.25" customHeight="1">
      <c r="A889" s="111"/>
      <c r="B889" s="111"/>
      <c r="C889" s="112"/>
      <c r="D889" s="112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  <c r="AJ889" s="111"/>
      <c r="AK889" s="111"/>
      <c r="AL889" s="111"/>
      <c r="AM889" s="111"/>
      <c r="AN889" s="111"/>
      <c r="AO889" s="111"/>
      <c r="AP889" s="111"/>
      <c r="AQ889" s="111"/>
      <c r="AR889" s="111"/>
      <c r="AS889" s="111"/>
      <c r="AT889" s="111"/>
      <c r="AU889" s="111"/>
      <c r="AV889" s="111"/>
      <c r="AW889" s="111"/>
      <c r="AX889" s="111"/>
      <c r="AY889" s="111"/>
      <c r="AZ889" s="111"/>
      <c r="BA889" s="111"/>
      <c r="BB889" s="111"/>
      <c r="BC889" s="111"/>
      <c r="BD889" s="111"/>
      <c r="BE889" s="111"/>
      <c r="BF889" s="111"/>
    </row>
    <row r="890" ht="14.25" customHeight="1">
      <c r="A890" s="111"/>
      <c r="B890" s="111"/>
      <c r="C890" s="112"/>
      <c r="D890" s="112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  <c r="AJ890" s="111"/>
      <c r="AK890" s="111"/>
      <c r="AL890" s="111"/>
      <c r="AM890" s="111"/>
      <c r="AN890" s="111"/>
      <c r="AO890" s="111"/>
      <c r="AP890" s="111"/>
      <c r="AQ890" s="111"/>
      <c r="AR890" s="111"/>
      <c r="AS890" s="111"/>
      <c r="AT890" s="111"/>
      <c r="AU890" s="111"/>
      <c r="AV890" s="111"/>
      <c r="AW890" s="111"/>
      <c r="AX890" s="111"/>
      <c r="AY890" s="111"/>
      <c r="AZ890" s="111"/>
      <c r="BA890" s="111"/>
      <c r="BB890" s="111"/>
      <c r="BC890" s="111"/>
      <c r="BD890" s="111"/>
      <c r="BE890" s="111"/>
      <c r="BF890" s="111"/>
    </row>
    <row r="891" ht="14.25" customHeight="1">
      <c r="A891" s="111"/>
      <c r="B891" s="111"/>
      <c r="C891" s="112"/>
      <c r="D891" s="112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  <c r="AJ891" s="111"/>
      <c r="AK891" s="111"/>
      <c r="AL891" s="111"/>
      <c r="AM891" s="111"/>
      <c r="AN891" s="111"/>
      <c r="AO891" s="111"/>
      <c r="AP891" s="111"/>
      <c r="AQ891" s="111"/>
      <c r="AR891" s="111"/>
      <c r="AS891" s="111"/>
      <c r="AT891" s="111"/>
      <c r="AU891" s="111"/>
      <c r="AV891" s="111"/>
      <c r="AW891" s="111"/>
      <c r="AX891" s="111"/>
      <c r="AY891" s="111"/>
      <c r="AZ891" s="111"/>
      <c r="BA891" s="111"/>
      <c r="BB891" s="111"/>
      <c r="BC891" s="111"/>
      <c r="BD891" s="111"/>
      <c r="BE891" s="111"/>
      <c r="BF891" s="111"/>
    </row>
    <row r="892" ht="14.25" customHeight="1">
      <c r="A892" s="111"/>
      <c r="B892" s="111"/>
      <c r="C892" s="112"/>
      <c r="D892" s="112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  <c r="AJ892" s="111"/>
      <c r="AK892" s="111"/>
      <c r="AL892" s="111"/>
      <c r="AM892" s="111"/>
      <c r="AN892" s="111"/>
      <c r="AO892" s="111"/>
      <c r="AP892" s="111"/>
      <c r="AQ892" s="111"/>
      <c r="AR892" s="111"/>
      <c r="AS892" s="111"/>
      <c r="AT892" s="111"/>
      <c r="AU892" s="111"/>
      <c r="AV892" s="111"/>
      <c r="AW892" s="111"/>
      <c r="AX892" s="111"/>
      <c r="AY892" s="111"/>
      <c r="AZ892" s="111"/>
      <c r="BA892" s="111"/>
      <c r="BB892" s="111"/>
      <c r="BC892" s="111"/>
      <c r="BD892" s="111"/>
      <c r="BE892" s="111"/>
      <c r="BF892" s="111"/>
    </row>
    <row r="893" ht="14.25" customHeight="1">
      <c r="A893" s="111"/>
      <c r="B893" s="111"/>
      <c r="C893" s="112"/>
      <c r="D893" s="112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  <c r="AJ893" s="111"/>
      <c r="AK893" s="111"/>
      <c r="AL893" s="111"/>
      <c r="AM893" s="111"/>
      <c r="AN893" s="111"/>
      <c r="AO893" s="111"/>
      <c r="AP893" s="111"/>
      <c r="AQ893" s="111"/>
      <c r="AR893" s="111"/>
      <c r="AS893" s="111"/>
      <c r="AT893" s="111"/>
      <c r="AU893" s="111"/>
      <c r="AV893" s="111"/>
      <c r="AW893" s="111"/>
      <c r="AX893" s="111"/>
      <c r="AY893" s="111"/>
      <c r="AZ893" s="111"/>
      <c r="BA893" s="111"/>
      <c r="BB893" s="111"/>
      <c r="BC893" s="111"/>
      <c r="BD893" s="111"/>
      <c r="BE893" s="111"/>
      <c r="BF893" s="111"/>
    </row>
    <row r="894" ht="14.25" customHeight="1">
      <c r="A894" s="111"/>
      <c r="B894" s="111"/>
      <c r="C894" s="112"/>
      <c r="D894" s="112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  <c r="AJ894" s="111"/>
      <c r="AK894" s="111"/>
      <c r="AL894" s="111"/>
      <c r="AM894" s="111"/>
      <c r="AN894" s="111"/>
      <c r="AO894" s="111"/>
      <c r="AP894" s="111"/>
      <c r="AQ894" s="111"/>
      <c r="AR894" s="111"/>
      <c r="AS894" s="111"/>
      <c r="AT894" s="111"/>
      <c r="AU894" s="111"/>
      <c r="AV894" s="111"/>
      <c r="AW894" s="111"/>
      <c r="AX894" s="111"/>
      <c r="AY894" s="111"/>
      <c r="AZ894" s="111"/>
      <c r="BA894" s="111"/>
      <c r="BB894" s="111"/>
      <c r="BC894" s="111"/>
      <c r="BD894" s="111"/>
      <c r="BE894" s="111"/>
      <c r="BF894" s="111"/>
    </row>
    <row r="895" ht="14.25" customHeight="1">
      <c r="A895" s="111"/>
      <c r="B895" s="111"/>
      <c r="C895" s="112"/>
      <c r="D895" s="112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  <c r="AJ895" s="111"/>
      <c r="AK895" s="111"/>
      <c r="AL895" s="111"/>
      <c r="AM895" s="111"/>
      <c r="AN895" s="111"/>
      <c r="AO895" s="111"/>
      <c r="AP895" s="111"/>
      <c r="AQ895" s="111"/>
      <c r="AR895" s="111"/>
      <c r="AS895" s="111"/>
      <c r="AT895" s="111"/>
      <c r="AU895" s="111"/>
      <c r="AV895" s="111"/>
      <c r="AW895" s="111"/>
      <c r="AX895" s="111"/>
      <c r="AY895" s="111"/>
      <c r="AZ895" s="111"/>
      <c r="BA895" s="111"/>
      <c r="BB895" s="111"/>
      <c r="BC895" s="111"/>
      <c r="BD895" s="111"/>
      <c r="BE895" s="111"/>
      <c r="BF895" s="111"/>
    </row>
    <row r="896" ht="14.25" customHeight="1">
      <c r="A896" s="111"/>
      <c r="B896" s="111"/>
      <c r="C896" s="112"/>
      <c r="D896" s="112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  <c r="AJ896" s="111"/>
      <c r="AK896" s="111"/>
      <c r="AL896" s="111"/>
      <c r="AM896" s="111"/>
      <c r="AN896" s="111"/>
      <c r="AO896" s="111"/>
      <c r="AP896" s="111"/>
      <c r="AQ896" s="111"/>
      <c r="AR896" s="111"/>
      <c r="AS896" s="111"/>
      <c r="AT896" s="111"/>
      <c r="AU896" s="111"/>
      <c r="AV896" s="111"/>
      <c r="AW896" s="111"/>
      <c r="AX896" s="111"/>
      <c r="AY896" s="111"/>
      <c r="AZ896" s="111"/>
      <c r="BA896" s="111"/>
      <c r="BB896" s="111"/>
      <c r="BC896" s="111"/>
      <c r="BD896" s="111"/>
      <c r="BE896" s="111"/>
      <c r="BF896" s="111"/>
    </row>
    <row r="897" ht="14.25" customHeight="1">
      <c r="A897" s="111"/>
      <c r="B897" s="111"/>
      <c r="C897" s="112"/>
      <c r="D897" s="112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  <c r="AJ897" s="111"/>
      <c r="AK897" s="111"/>
      <c r="AL897" s="111"/>
      <c r="AM897" s="111"/>
      <c r="AN897" s="111"/>
      <c r="AO897" s="111"/>
      <c r="AP897" s="111"/>
      <c r="AQ897" s="111"/>
      <c r="AR897" s="111"/>
      <c r="AS897" s="111"/>
      <c r="AT897" s="111"/>
      <c r="AU897" s="111"/>
      <c r="AV897" s="111"/>
      <c r="AW897" s="111"/>
      <c r="AX897" s="111"/>
      <c r="AY897" s="111"/>
      <c r="AZ897" s="111"/>
      <c r="BA897" s="111"/>
      <c r="BB897" s="111"/>
      <c r="BC897" s="111"/>
      <c r="BD897" s="111"/>
      <c r="BE897" s="111"/>
      <c r="BF897" s="111"/>
    </row>
    <row r="898" ht="14.25" customHeight="1">
      <c r="A898" s="111"/>
      <c r="B898" s="111"/>
      <c r="C898" s="112"/>
      <c r="D898" s="112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/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/>
      <c r="BB898" s="111"/>
      <c r="BC898" s="111"/>
      <c r="BD898" s="111"/>
      <c r="BE898" s="111"/>
      <c r="BF898" s="111"/>
    </row>
    <row r="899" ht="14.25" customHeight="1">
      <c r="A899" s="111"/>
      <c r="B899" s="111"/>
      <c r="C899" s="112"/>
      <c r="D899" s="112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/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/>
      <c r="BB899" s="111"/>
      <c r="BC899" s="111"/>
      <c r="BD899" s="111"/>
      <c r="BE899" s="111"/>
      <c r="BF899" s="111"/>
    </row>
    <row r="900" ht="14.25" customHeight="1">
      <c r="A900" s="111"/>
      <c r="B900" s="111"/>
      <c r="C900" s="112"/>
      <c r="D900" s="112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  <c r="AJ900" s="111"/>
      <c r="AK900" s="111"/>
      <c r="AL900" s="111"/>
      <c r="AM900" s="111"/>
      <c r="AN900" s="111"/>
      <c r="AO900" s="111"/>
      <c r="AP900" s="111"/>
      <c r="AQ900" s="111"/>
      <c r="AR900" s="111"/>
      <c r="AS900" s="111"/>
      <c r="AT900" s="111"/>
      <c r="AU900" s="111"/>
      <c r="AV900" s="111"/>
      <c r="AW900" s="111"/>
      <c r="AX900" s="111"/>
      <c r="AY900" s="111"/>
      <c r="AZ900" s="111"/>
      <c r="BA900" s="111"/>
      <c r="BB900" s="111"/>
      <c r="BC900" s="111"/>
      <c r="BD900" s="111"/>
      <c r="BE900" s="111"/>
      <c r="BF900" s="111"/>
    </row>
    <row r="901" ht="14.25" customHeight="1">
      <c r="A901" s="111"/>
      <c r="B901" s="111"/>
      <c r="C901" s="112"/>
      <c r="D901" s="112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/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/>
      <c r="BB901" s="111"/>
      <c r="BC901" s="111"/>
      <c r="BD901" s="111"/>
      <c r="BE901" s="111"/>
      <c r="BF901" s="111"/>
    </row>
    <row r="902" ht="14.25" customHeight="1">
      <c r="A902" s="111"/>
      <c r="B902" s="111"/>
      <c r="C902" s="112"/>
      <c r="D902" s="112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  <c r="AJ902" s="111"/>
      <c r="AK902" s="111"/>
      <c r="AL902" s="111"/>
      <c r="AM902" s="111"/>
      <c r="AN902" s="111"/>
      <c r="AO902" s="111"/>
      <c r="AP902" s="111"/>
      <c r="AQ902" s="111"/>
      <c r="AR902" s="111"/>
      <c r="AS902" s="111"/>
      <c r="AT902" s="111"/>
      <c r="AU902" s="111"/>
      <c r="AV902" s="111"/>
      <c r="AW902" s="111"/>
      <c r="AX902" s="111"/>
      <c r="AY902" s="111"/>
      <c r="AZ902" s="111"/>
      <c r="BA902" s="111"/>
      <c r="BB902" s="111"/>
      <c r="BC902" s="111"/>
      <c r="BD902" s="111"/>
      <c r="BE902" s="111"/>
      <c r="BF902" s="111"/>
    </row>
    <row r="903" ht="14.25" customHeight="1">
      <c r="A903" s="111"/>
      <c r="B903" s="111"/>
      <c r="C903" s="112"/>
      <c r="D903" s="112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  <c r="AJ903" s="111"/>
      <c r="AK903" s="111"/>
      <c r="AL903" s="111"/>
      <c r="AM903" s="111"/>
      <c r="AN903" s="111"/>
      <c r="AO903" s="111"/>
      <c r="AP903" s="111"/>
      <c r="AQ903" s="111"/>
      <c r="AR903" s="111"/>
      <c r="AS903" s="111"/>
      <c r="AT903" s="111"/>
      <c r="AU903" s="111"/>
      <c r="AV903" s="111"/>
      <c r="AW903" s="111"/>
      <c r="AX903" s="111"/>
      <c r="AY903" s="111"/>
      <c r="AZ903" s="111"/>
      <c r="BA903" s="111"/>
      <c r="BB903" s="111"/>
      <c r="BC903" s="111"/>
      <c r="BD903" s="111"/>
      <c r="BE903" s="111"/>
      <c r="BF903" s="111"/>
    </row>
    <row r="904" ht="14.25" customHeight="1">
      <c r="A904" s="111"/>
      <c r="B904" s="111"/>
      <c r="C904" s="112"/>
      <c r="D904" s="112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  <c r="AJ904" s="111"/>
      <c r="AK904" s="111"/>
      <c r="AL904" s="111"/>
      <c r="AM904" s="111"/>
      <c r="AN904" s="111"/>
      <c r="AO904" s="111"/>
      <c r="AP904" s="111"/>
      <c r="AQ904" s="111"/>
      <c r="AR904" s="111"/>
      <c r="AS904" s="111"/>
      <c r="AT904" s="111"/>
      <c r="AU904" s="111"/>
      <c r="AV904" s="111"/>
      <c r="AW904" s="111"/>
      <c r="AX904" s="111"/>
      <c r="AY904" s="111"/>
      <c r="AZ904" s="111"/>
      <c r="BA904" s="111"/>
      <c r="BB904" s="111"/>
      <c r="BC904" s="111"/>
      <c r="BD904" s="111"/>
      <c r="BE904" s="111"/>
      <c r="BF904" s="111"/>
    </row>
    <row r="905" ht="14.25" customHeight="1">
      <c r="A905" s="111"/>
      <c r="B905" s="111"/>
      <c r="C905" s="112"/>
      <c r="D905" s="112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  <c r="AJ905" s="111"/>
      <c r="AK905" s="111"/>
      <c r="AL905" s="111"/>
      <c r="AM905" s="111"/>
      <c r="AN905" s="111"/>
      <c r="AO905" s="111"/>
      <c r="AP905" s="111"/>
      <c r="AQ905" s="111"/>
      <c r="AR905" s="111"/>
      <c r="AS905" s="111"/>
      <c r="AT905" s="111"/>
      <c r="AU905" s="111"/>
      <c r="AV905" s="111"/>
      <c r="AW905" s="111"/>
      <c r="AX905" s="111"/>
      <c r="AY905" s="111"/>
      <c r="AZ905" s="111"/>
      <c r="BA905" s="111"/>
      <c r="BB905" s="111"/>
      <c r="BC905" s="111"/>
      <c r="BD905" s="111"/>
      <c r="BE905" s="111"/>
      <c r="BF905" s="111"/>
    </row>
    <row r="906" ht="14.25" customHeight="1">
      <c r="A906" s="111"/>
      <c r="B906" s="111"/>
      <c r="C906" s="112"/>
      <c r="D906" s="112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  <c r="AJ906" s="111"/>
      <c r="AK906" s="111"/>
      <c r="AL906" s="111"/>
      <c r="AM906" s="111"/>
      <c r="AN906" s="111"/>
      <c r="AO906" s="111"/>
      <c r="AP906" s="111"/>
      <c r="AQ906" s="111"/>
      <c r="AR906" s="111"/>
      <c r="AS906" s="111"/>
      <c r="AT906" s="111"/>
      <c r="AU906" s="111"/>
      <c r="AV906" s="111"/>
      <c r="AW906" s="111"/>
      <c r="AX906" s="111"/>
      <c r="AY906" s="111"/>
      <c r="AZ906" s="111"/>
      <c r="BA906" s="111"/>
      <c r="BB906" s="111"/>
      <c r="BC906" s="111"/>
      <c r="BD906" s="111"/>
      <c r="BE906" s="111"/>
      <c r="BF906" s="111"/>
    </row>
    <row r="907" ht="14.25" customHeight="1">
      <c r="A907" s="111"/>
      <c r="B907" s="111"/>
      <c r="C907" s="112"/>
      <c r="D907" s="112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  <c r="AJ907" s="111"/>
      <c r="AK907" s="111"/>
      <c r="AL907" s="111"/>
      <c r="AM907" s="111"/>
      <c r="AN907" s="111"/>
      <c r="AO907" s="111"/>
      <c r="AP907" s="111"/>
      <c r="AQ907" s="111"/>
      <c r="AR907" s="111"/>
      <c r="AS907" s="111"/>
      <c r="AT907" s="111"/>
      <c r="AU907" s="111"/>
      <c r="AV907" s="111"/>
      <c r="AW907" s="111"/>
      <c r="AX907" s="111"/>
      <c r="AY907" s="111"/>
      <c r="AZ907" s="111"/>
      <c r="BA907" s="111"/>
      <c r="BB907" s="111"/>
      <c r="BC907" s="111"/>
      <c r="BD907" s="111"/>
      <c r="BE907" s="111"/>
      <c r="BF907" s="111"/>
    </row>
    <row r="908" ht="14.25" customHeight="1">
      <c r="A908" s="111"/>
      <c r="B908" s="111"/>
      <c r="C908" s="112"/>
      <c r="D908" s="112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  <c r="AJ908" s="111"/>
      <c r="AK908" s="111"/>
      <c r="AL908" s="111"/>
      <c r="AM908" s="111"/>
      <c r="AN908" s="111"/>
      <c r="AO908" s="111"/>
      <c r="AP908" s="111"/>
      <c r="AQ908" s="111"/>
      <c r="AR908" s="111"/>
      <c r="AS908" s="111"/>
      <c r="AT908" s="111"/>
      <c r="AU908" s="111"/>
      <c r="AV908" s="111"/>
      <c r="AW908" s="111"/>
      <c r="AX908" s="111"/>
      <c r="AY908" s="111"/>
      <c r="AZ908" s="111"/>
      <c r="BA908" s="111"/>
      <c r="BB908" s="111"/>
      <c r="BC908" s="111"/>
      <c r="BD908" s="111"/>
      <c r="BE908" s="111"/>
      <c r="BF908" s="111"/>
    </row>
    <row r="909" ht="14.25" customHeight="1">
      <c r="A909" s="111"/>
      <c r="B909" s="111"/>
      <c r="C909" s="112"/>
      <c r="D909" s="112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  <c r="AJ909" s="111"/>
      <c r="AK909" s="111"/>
      <c r="AL909" s="111"/>
      <c r="AM909" s="111"/>
      <c r="AN909" s="111"/>
      <c r="AO909" s="111"/>
      <c r="AP909" s="111"/>
      <c r="AQ909" s="111"/>
      <c r="AR909" s="111"/>
      <c r="AS909" s="111"/>
      <c r="AT909" s="111"/>
      <c r="AU909" s="111"/>
      <c r="AV909" s="111"/>
      <c r="AW909" s="111"/>
      <c r="AX909" s="111"/>
      <c r="AY909" s="111"/>
      <c r="AZ909" s="111"/>
      <c r="BA909" s="111"/>
      <c r="BB909" s="111"/>
      <c r="BC909" s="111"/>
      <c r="BD909" s="111"/>
      <c r="BE909" s="111"/>
      <c r="BF909" s="111"/>
    </row>
    <row r="910" ht="14.25" customHeight="1">
      <c r="A910" s="111"/>
      <c r="B910" s="111"/>
      <c r="C910" s="112"/>
      <c r="D910" s="112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  <c r="AJ910" s="111"/>
      <c r="AK910" s="111"/>
      <c r="AL910" s="111"/>
      <c r="AM910" s="111"/>
      <c r="AN910" s="111"/>
      <c r="AO910" s="111"/>
      <c r="AP910" s="111"/>
      <c r="AQ910" s="111"/>
      <c r="AR910" s="111"/>
      <c r="AS910" s="111"/>
      <c r="AT910" s="111"/>
      <c r="AU910" s="111"/>
      <c r="AV910" s="111"/>
      <c r="AW910" s="111"/>
      <c r="AX910" s="111"/>
      <c r="AY910" s="111"/>
      <c r="AZ910" s="111"/>
      <c r="BA910" s="111"/>
      <c r="BB910" s="111"/>
      <c r="BC910" s="111"/>
      <c r="BD910" s="111"/>
      <c r="BE910" s="111"/>
      <c r="BF910" s="111"/>
    </row>
    <row r="911" ht="14.25" customHeight="1">
      <c r="A911" s="111"/>
      <c r="B911" s="111"/>
      <c r="C911" s="112"/>
      <c r="D911" s="112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  <c r="AJ911" s="111"/>
      <c r="AK911" s="111"/>
      <c r="AL911" s="111"/>
      <c r="AM911" s="111"/>
      <c r="AN911" s="111"/>
      <c r="AO911" s="111"/>
      <c r="AP911" s="111"/>
      <c r="AQ911" s="111"/>
      <c r="AR911" s="111"/>
      <c r="AS911" s="111"/>
      <c r="AT911" s="111"/>
      <c r="AU911" s="111"/>
      <c r="AV911" s="111"/>
      <c r="AW911" s="111"/>
      <c r="AX911" s="111"/>
      <c r="AY911" s="111"/>
      <c r="AZ911" s="111"/>
      <c r="BA911" s="111"/>
      <c r="BB911" s="111"/>
      <c r="BC911" s="111"/>
      <c r="BD911" s="111"/>
      <c r="BE911" s="111"/>
      <c r="BF911" s="111"/>
    </row>
    <row r="912" ht="14.25" customHeight="1">
      <c r="A912" s="111"/>
      <c r="B912" s="111"/>
      <c r="C912" s="112"/>
      <c r="D912" s="112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  <c r="AJ912" s="111"/>
      <c r="AK912" s="111"/>
      <c r="AL912" s="111"/>
      <c r="AM912" s="111"/>
      <c r="AN912" s="111"/>
      <c r="AO912" s="111"/>
      <c r="AP912" s="111"/>
      <c r="AQ912" s="111"/>
      <c r="AR912" s="111"/>
      <c r="AS912" s="111"/>
      <c r="AT912" s="111"/>
      <c r="AU912" s="111"/>
      <c r="AV912" s="111"/>
      <c r="AW912" s="111"/>
      <c r="AX912" s="111"/>
      <c r="AY912" s="111"/>
      <c r="AZ912" s="111"/>
      <c r="BA912" s="111"/>
      <c r="BB912" s="111"/>
      <c r="BC912" s="111"/>
      <c r="BD912" s="111"/>
      <c r="BE912" s="111"/>
      <c r="BF912" s="111"/>
    </row>
    <row r="913" ht="14.25" customHeight="1">
      <c r="A913" s="111"/>
      <c r="B913" s="111"/>
      <c r="C913" s="112"/>
      <c r="D913" s="112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  <c r="AJ913" s="111"/>
      <c r="AK913" s="111"/>
      <c r="AL913" s="111"/>
      <c r="AM913" s="111"/>
      <c r="AN913" s="111"/>
      <c r="AO913" s="111"/>
      <c r="AP913" s="111"/>
      <c r="AQ913" s="111"/>
      <c r="AR913" s="111"/>
      <c r="AS913" s="111"/>
      <c r="AT913" s="111"/>
      <c r="AU913" s="111"/>
      <c r="AV913" s="111"/>
      <c r="AW913" s="111"/>
      <c r="AX913" s="111"/>
      <c r="AY913" s="111"/>
      <c r="AZ913" s="111"/>
      <c r="BA913" s="111"/>
      <c r="BB913" s="111"/>
      <c r="BC913" s="111"/>
      <c r="BD913" s="111"/>
      <c r="BE913" s="111"/>
      <c r="BF913" s="111"/>
    </row>
    <row r="914" ht="14.25" customHeight="1">
      <c r="A914" s="111"/>
      <c r="B914" s="111"/>
      <c r="C914" s="112"/>
      <c r="D914" s="112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  <c r="AJ914" s="111"/>
      <c r="AK914" s="111"/>
      <c r="AL914" s="111"/>
      <c r="AM914" s="111"/>
      <c r="AN914" s="111"/>
      <c r="AO914" s="111"/>
      <c r="AP914" s="111"/>
      <c r="AQ914" s="111"/>
      <c r="AR914" s="111"/>
      <c r="AS914" s="111"/>
      <c r="AT914" s="111"/>
      <c r="AU914" s="111"/>
      <c r="AV914" s="111"/>
      <c r="AW914" s="111"/>
      <c r="AX914" s="111"/>
      <c r="AY914" s="111"/>
      <c r="AZ914" s="111"/>
      <c r="BA914" s="111"/>
      <c r="BB914" s="111"/>
      <c r="BC914" s="111"/>
      <c r="BD914" s="111"/>
      <c r="BE914" s="111"/>
      <c r="BF914" s="111"/>
    </row>
    <row r="915" ht="14.25" customHeight="1">
      <c r="A915" s="111"/>
      <c r="B915" s="111"/>
      <c r="C915" s="112"/>
      <c r="D915" s="112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  <c r="AJ915" s="111"/>
      <c r="AK915" s="111"/>
      <c r="AL915" s="111"/>
      <c r="AM915" s="111"/>
      <c r="AN915" s="111"/>
      <c r="AO915" s="111"/>
      <c r="AP915" s="111"/>
      <c r="AQ915" s="111"/>
      <c r="AR915" s="111"/>
      <c r="AS915" s="111"/>
      <c r="AT915" s="111"/>
      <c r="AU915" s="111"/>
      <c r="AV915" s="111"/>
      <c r="AW915" s="111"/>
      <c r="AX915" s="111"/>
      <c r="AY915" s="111"/>
      <c r="AZ915" s="111"/>
      <c r="BA915" s="111"/>
      <c r="BB915" s="111"/>
      <c r="BC915" s="111"/>
      <c r="BD915" s="111"/>
      <c r="BE915" s="111"/>
      <c r="BF915" s="111"/>
    </row>
    <row r="916" ht="14.25" customHeight="1">
      <c r="A916" s="111"/>
      <c r="B916" s="111"/>
      <c r="C916" s="112"/>
      <c r="D916" s="112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  <c r="AJ916" s="111"/>
      <c r="AK916" s="111"/>
      <c r="AL916" s="111"/>
      <c r="AM916" s="111"/>
      <c r="AN916" s="111"/>
      <c r="AO916" s="111"/>
      <c r="AP916" s="111"/>
      <c r="AQ916" s="111"/>
      <c r="AR916" s="111"/>
      <c r="AS916" s="111"/>
      <c r="AT916" s="111"/>
      <c r="AU916" s="111"/>
      <c r="AV916" s="111"/>
      <c r="AW916" s="111"/>
      <c r="AX916" s="111"/>
      <c r="AY916" s="111"/>
      <c r="AZ916" s="111"/>
      <c r="BA916" s="111"/>
      <c r="BB916" s="111"/>
      <c r="BC916" s="111"/>
      <c r="BD916" s="111"/>
      <c r="BE916" s="111"/>
      <c r="BF916" s="111"/>
    </row>
    <row r="917" ht="14.25" customHeight="1">
      <c r="A917" s="111"/>
      <c r="B917" s="111"/>
      <c r="C917" s="112"/>
      <c r="D917" s="112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  <c r="AJ917" s="111"/>
      <c r="AK917" s="111"/>
      <c r="AL917" s="111"/>
      <c r="AM917" s="111"/>
      <c r="AN917" s="111"/>
      <c r="AO917" s="111"/>
      <c r="AP917" s="111"/>
      <c r="AQ917" s="111"/>
      <c r="AR917" s="111"/>
      <c r="AS917" s="111"/>
      <c r="AT917" s="111"/>
      <c r="AU917" s="111"/>
      <c r="AV917" s="111"/>
      <c r="AW917" s="111"/>
      <c r="AX917" s="111"/>
      <c r="AY917" s="111"/>
      <c r="AZ917" s="111"/>
      <c r="BA917" s="111"/>
      <c r="BB917" s="111"/>
      <c r="BC917" s="111"/>
      <c r="BD917" s="111"/>
      <c r="BE917" s="111"/>
      <c r="BF917" s="111"/>
    </row>
    <row r="918" ht="14.25" customHeight="1">
      <c r="A918" s="111"/>
      <c r="B918" s="111"/>
      <c r="C918" s="112"/>
      <c r="D918" s="112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  <c r="AJ918" s="111"/>
      <c r="AK918" s="111"/>
      <c r="AL918" s="111"/>
      <c r="AM918" s="111"/>
      <c r="AN918" s="111"/>
      <c r="AO918" s="111"/>
      <c r="AP918" s="111"/>
      <c r="AQ918" s="111"/>
      <c r="AR918" s="111"/>
      <c r="AS918" s="111"/>
      <c r="AT918" s="111"/>
      <c r="AU918" s="111"/>
      <c r="AV918" s="111"/>
      <c r="AW918" s="111"/>
      <c r="AX918" s="111"/>
      <c r="AY918" s="111"/>
      <c r="AZ918" s="111"/>
      <c r="BA918" s="111"/>
      <c r="BB918" s="111"/>
      <c r="BC918" s="111"/>
      <c r="BD918" s="111"/>
      <c r="BE918" s="111"/>
      <c r="BF918" s="111"/>
    </row>
    <row r="919" ht="14.25" customHeight="1">
      <c r="A919" s="111"/>
      <c r="B919" s="111"/>
      <c r="C919" s="112"/>
      <c r="D919" s="112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  <c r="AJ919" s="111"/>
      <c r="AK919" s="111"/>
      <c r="AL919" s="111"/>
      <c r="AM919" s="111"/>
      <c r="AN919" s="111"/>
      <c r="AO919" s="111"/>
      <c r="AP919" s="111"/>
      <c r="AQ919" s="111"/>
      <c r="AR919" s="111"/>
      <c r="AS919" s="111"/>
      <c r="AT919" s="111"/>
      <c r="AU919" s="111"/>
      <c r="AV919" s="111"/>
      <c r="AW919" s="111"/>
      <c r="AX919" s="111"/>
      <c r="AY919" s="111"/>
      <c r="AZ919" s="111"/>
      <c r="BA919" s="111"/>
      <c r="BB919" s="111"/>
      <c r="BC919" s="111"/>
      <c r="BD919" s="111"/>
      <c r="BE919" s="111"/>
      <c r="BF919" s="111"/>
    </row>
    <row r="920" ht="14.25" customHeight="1">
      <c r="A920" s="111"/>
      <c r="B920" s="111"/>
      <c r="C920" s="112"/>
      <c r="D920" s="112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  <c r="AJ920" s="111"/>
      <c r="AK920" s="111"/>
      <c r="AL920" s="111"/>
      <c r="AM920" s="111"/>
      <c r="AN920" s="111"/>
      <c r="AO920" s="111"/>
      <c r="AP920" s="111"/>
      <c r="AQ920" s="111"/>
      <c r="AR920" s="111"/>
      <c r="AS920" s="111"/>
      <c r="AT920" s="111"/>
      <c r="AU920" s="111"/>
      <c r="AV920" s="111"/>
      <c r="AW920" s="111"/>
      <c r="AX920" s="111"/>
      <c r="AY920" s="111"/>
      <c r="AZ920" s="111"/>
      <c r="BA920" s="111"/>
      <c r="BB920" s="111"/>
      <c r="BC920" s="111"/>
      <c r="BD920" s="111"/>
      <c r="BE920" s="111"/>
      <c r="BF920" s="111"/>
    </row>
    <row r="921" ht="14.25" customHeight="1">
      <c r="A921" s="111"/>
      <c r="B921" s="111"/>
      <c r="C921" s="112"/>
      <c r="D921" s="112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  <c r="AJ921" s="111"/>
      <c r="AK921" s="111"/>
      <c r="AL921" s="111"/>
      <c r="AM921" s="111"/>
      <c r="AN921" s="111"/>
      <c r="AO921" s="111"/>
      <c r="AP921" s="111"/>
      <c r="AQ921" s="111"/>
      <c r="AR921" s="111"/>
      <c r="AS921" s="111"/>
      <c r="AT921" s="111"/>
      <c r="AU921" s="111"/>
      <c r="AV921" s="111"/>
      <c r="AW921" s="111"/>
      <c r="AX921" s="111"/>
      <c r="AY921" s="111"/>
      <c r="AZ921" s="111"/>
      <c r="BA921" s="111"/>
      <c r="BB921" s="111"/>
      <c r="BC921" s="111"/>
      <c r="BD921" s="111"/>
      <c r="BE921" s="111"/>
      <c r="BF921" s="111"/>
    </row>
    <row r="922" ht="14.25" customHeight="1">
      <c r="A922" s="111"/>
      <c r="B922" s="111"/>
      <c r="C922" s="112"/>
      <c r="D922" s="112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  <c r="AJ922" s="111"/>
      <c r="AK922" s="111"/>
      <c r="AL922" s="111"/>
      <c r="AM922" s="111"/>
      <c r="AN922" s="111"/>
      <c r="AO922" s="111"/>
      <c r="AP922" s="111"/>
      <c r="AQ922" s="111"/>
      <c r="AR922" s="111"/>
      <c r="AS922" s="111"/>
      <c r="AT922" s="111"/>
      <c r="AU922" s="111"/>
      <c r="AV922" s="111"/>
      <c r="AW922" s="111"/>
      <c r="AX922" s="111"/>
      <c r="AY922" s="111"/>
      <c r="AZ922" s="111"/>
      <c r="BA922" s="111"/>
      <c r="BB922" s="111"/>
      <c r="BC922" s="111"/>
      <c r="BD922" s="111"/>
      <c r="BE922" s="111"/>
      <c r="BF922" s="111"/>
    </row>
    <row r="923" ht="14.25" customHeight="1">
      <c r="A923" s="111"/>
      <c r="B923" s="111"/>
      <c r="C923" s="112"/>
      <c r="D923" s="112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  <c r="AJ923" s="111"/>
      <c r="AK923" s="111"/>
      <c r="AL923" s="111"/>
      <c r="AM923" s="111"/>
      <c r="AN923" s="111"/>
      <c r="AO923" s="111"/>
      <c r="AP923" s="111"/>
      <c r="AQ923" s="111"/>
      <c r="AR923" s="111"/>
      <c r="AS923" s="111"/>
      <c r="AT923" s="111"/>
      <c r="AU923" s="111"/>
      <c r="AV923" s="111"/>
      <c r="AW923" s="111"/>
      <c r="AX923" s="111"/>
      <c r="AY923" s="111"/>
      <c r="AZ923" s="111"/>
      <c r="BA923" s="111"/>
      <c r="BB923" s="111"/>
      <c r="BC923" s="111"/>
      <c r="BD923" s="111"/>
      <c r="BE923" s="111"/>
      <c r="BF923" s="111"/>
    </row>
    <row r="924" ht="14.25" customHeight="1">
      <c r="A924" s="111"/>
      <c r="B924" s="111"/>
      <c r="C924" s="112"/>
      <c r="D924" s="112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  <c r="AJ924" s="111"/>
      <c r="AK924" s="111"/>
      <c r="AL924" s="111"/>
      <c r="AM924" s="111"/>
      <c r="AN924" s="111"/>
      <c r="AO924" s="111"/>
      <c r="AP924" s="111"/>
      <c r="AQ924" s="111"/>
      <c r="AR924" s="111"/>
      <c r="AS924" s="111"/>
      <c r="AT924" s="111"/>
      <c r="AU924" s="111"/>
      <c r="AV924" s="111"/>
      <c r="AW924" s="111"/>
      <c r="AX924" s="111"/>
      <c r="AY924" s="111"/>
      <c r="AZ924" s="111"/>
      <c r="BA924" s="111"/>
      <c r="BB924" s="111"/>
      <c r="BC924" s="111"/>
      <c r="BD924" s="111"/>
      <c r="BE924" s="111"/>
      <c r="BF924" s="111"/>
    </row>
    <row r="925" ht="14.25" customHeight="1">
      <c r="A925" s="111"/>
      <c r="B925" s="111"/>
      <c r="C925" s="112"/>
      <c r="D925" s="112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  <c r="AJ925" s="111"/>
      <c r="AK925" s="111"/>
      <c r="AL925" s="111"/>
      <c r="AM925" s="111"/>
      <c r="AN925" s="111"/>
      <c r="AO925" s="111"/>
      <c r="AP925" s="111"/>
      <c r="AQ925" s="111"/>
      <c r="AR925" s="111"/>
      <c r="AS925" s="111"/>
      <c r="AT925" s="111"/>
      <c r="AU925" s="111"/>
      <c r="AV925" s="111"/>
      <c r="AW925" s="111"/>
      <c r="AX925" s="111"/>
      <c r="AY925" s="111"/>
      <c r="AZ925" s="111"/>
      <c r="BA925" s="111"/>
      <c r="BB925" s="111"/>
      <c r="BC925" s="111"/>
      <c r="BD925" s="111"/>
      <c r="BE925" s="111"/>
      <c r="BF925" s="111"/>
    </row>
    <row r="926" ht="14.25" customHeight="1">
      <c r="A926" s="111"/>
      <c r="B926" s="111"/>
      <c r="C926" s="112"/>
      <c r="D926" s="112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  <c r="AJ926" s="111"/>
      <c r="AK926" s="111"/>
      <c r="AL926" s="111"/>
      <c r="AM926" s="111"/>
      <c r="AN926" s="111"/>
      <c r="AO926" s="111"/>
      <c r="AP926" s="111"/>
      <c r="AQ926" s="111"/>
      <c r="AR926" s="111"/>
      <c r="AS926" s="111"/>
      <c r="AT926" s="111"/>
      <c r="AU926" s="111"/>
      <c r="AV926" s="111"/>
      <c r="AW926" s="111"/>
      <c r="AX926" s="111"/>
      <c r="AY926" s="111"/>
      <c r="AZ926" s="111"/>
      <c r="BA926" s="111"/>
      <c r="BB926" s="111"/>
      <c r="BC926" s="111"/>
      <c r="BD926" s="111"/>
      <c r="BE926" s="111"/>
      <c r="BF926" s="111"/>
    </row>
    <row r="927" ht="14.25" customHeight="1">
      <c r="A927" s="111"/>
      <c r="B927" s="111"/>
      <c r="C927" s="112"/>
      <c r="D927" s="112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  <c r="AJ927" s="111"/>
      <c r="AK927" s="111"/>
      <c r="AL927" s="111"/>
      <c r="AM927" s="111"/>
      <c r="AN927" s="111"/>
      <c r="AO927" s="111"/>
      <c r="AP927" s="111"/>
      <c r="AQ927" s="111"/>
      <c r="AR927" s="111"/>
      <c r="AS927" s="111"/>
      <c r="AT927" s="111"/>
      <c r="AU927" s="111"/>
      <c r="AV927" s="111"/>
      <c r="AW927" s="111"/>
      <c r="AX927" s="111"/>
      <c r="AY927" s="111"/>
      <c r="AZ927" s="111"/>
      <c r="BA927" s="111"/>
      <c r="BB927" s="111"/>
      <c r="BC927" s="111"/>
      <c r="BD927" s="111"/>
      <c r="BE927" s="111"/>
      <c r="BF927" s="111"/>
    </row>
    <row r="928" ht="14.25" customHeight="1">
      <c r="A928" s="111"/>
      <c r="B928" s="111"/>
      <c r="C928" s="112"/>
      <c r="D928" s="112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  <c r="AJ928" s="111"/>
      <c r="AK928" s="111"/>
      <c r="AL928" s="111"/>
      <c r="AM928" s="111"/>
      <c r="AN928" s="111"/>
      <c r="AO928" s="111"/>
      <c r="AP928" s="111"/>
      <c r="AQ928" s="111"/>
      <c r="AR928" s="111"/>
      <c r="AS928" s="111"/>
      <c r="AT928" s="111"/>
      <c r="AU928" s="111"/>
      <c r="AV928" s="111"/>
      <c r="AW928" s="111"/>
      <c r="AX928" s="111"/>
      <c r="AY928" s="111"/>
      <c r="AZ928" s="111"/>
      <c r="BA928" s="111"/>
      <c r="BB928" s="111"/>
      <c r="BC928" s="111"/>
      <c r="BD928" s="111"/>
      <c r="BE928" s="111"/>
      <c r="BF928" s="111"/>
    </row>
    <row r="929" ht="14.25" customHeight="1">
      <c r="A929" s="111"/>
      <c r="B929" s="111"/>
      <c r="C929" s="112"/>
      <c r="D929" s="112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  <c r="AJ929" s="111"/>
      <c r="AK929" s="111"/>
      <c r="AL929" s="111"/>
      <c r="AM929" s="111"/>
      <c r="AN929" s="111"/>
      <c r="AO929" s="111"/>
      <c r="AP929" s="111"/>
      <c r="AQ929" s="111"/>
      <c r="AR929" s="111"/>
      <c r="AS929" s="111"/>
      <c r="AT929" s="111"/>
      <c r="AU929" s="111"/>
      <c r="AV929" s="111"/>
      <c r="AW929" s="111"/>
      <c r="AX929" s="111"/>
      <c r="AY929" s="111"/>
      <c r="AZ929" s="111"/>
      <c r="BA929" s="111"/>
      <c r="BB929" s="111"/>
      <c r="BC929" s="111"/>
      <c r="BD929" s="111"/>
      <c r="BE929" s="111"/>
      <c r="BF929" s="111"/>
    </row>
    <row r="930" ht="14.25" customHeight="1">
      <c r="A930" s="111"/>
      <c r="B930" s="111"/>
      <c r="C930" s="112"/>
      <c r="D930" s="112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  <c r="AJ930" s="111"/>
      <c r="AK930" s="111"/>
      <c r="AL930" s="111"/>
      <c r="AM930" s="111"/>
      <c r="AN930" s="111"/>
      <c r="AO930" s="111"/>
      <c r="AP930" s="111"/>
      <c r="AQ930" s="111"/>
      <c r="AR930" s="111"/>
      <c r="AS930" s="111"/>
      <c r="AT930" s="111"/>
      <c r="AU930" s="111"/>
      <c r="AV930" s="111"/>
      <c r="AW930" s="111"/>
      <c r="AX930" s="111"/>
      <c r="AY930" s="111"/>
      <c r="AZ930" s="111"/>
      <c r="BA930" s="111"/>
      <c r="BB930" s="111"/>
      <c r="BC930" s="111"/>
      <c r="BD930" s="111"/>
      <c r="BE930" s="111"/>
      <c r="BF930" s="111"/>
    </row>
    <row r="931" ht="14.25" customHeight="1">
      <c r="A931" s="111"/>
      <c r="B931" s="111"/>
      <c r="C931" s="112"/>
      <c r="D931" s="112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  <c r="AJ931" s="111"/>
      <c r="AK931" s="111"/>
      <c r="AL931" s="111"/>
      <c r="AM931" s="111"/>
      <c r="AN931" s="111"/>
      <c r="AO931" s="111"/>
      <c r="AP931" s="111"/>
      <c r="AQ931" s="111"/>
      <c r="AR931" s="111"/>
      <c r="AS931" s="111"/>
      <c r="AT931" s="111"/>
      <c r="AU931" s="111"/>
      <c r="AV931" s="111"/>
      <c r="AW931" s="111"/>
      <c r="AX931" s="111"/>
      <c r="AY931" s="111"/>
      <c r="AZ931" s="111"/>
      <c r="BA931" s="111"/>
      <c r="BB931" s="111"/>
      <c r="BC931" s="111"/>
      <c r="BD931" s="111"/>
      <c r="BE931" s="111"/>
      <c r="BF931" s="111"/>
    </row>
    <row r="932" ht="14.25" customHeight="1">
      <c r="A932" s="111"/>
      <c r="B932" s="111"/>
      <c r="C932" s="112"/>
      <c r="D932" s="112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  <c r="AJ932" s="111"/>
      <c r="AK932" s="111"/>
      <c r="AL932" s="111"/>
      <c r="AM932" s="111"/>
      <c r="AN932" s="111"/>
      <c r="AO932" s="111"/>
      <c r="AP932" s="111"/>
      <c r="AQ932" s="111"/>
      <c r="AR932" s="111"/>
      <c r="AS932" s="111"/>
      <c r="AT932" s="111"/>
      <c r="AU932" s="111"/>
      <c r="AV932" s="111"/>
      <c r="AW932" s="111"/>
      <c r="AX932" s="111"/>
      <c r="AY932" s="111"/>
      <c r="AZ932" s="111"/>
      <c r="BA932" s="111"/>
      <c r="BB932" s="111"/>
      <c r="BC932" s="111"/>
      <c r="BD932" s="111"/>
      <c r="BE932" s="111"/>
      <c r="BF932" s="111"/>
    </row>
    <row r="933" ht="14.25" customHeight="1">
      <c r="A933" s="111"/>
      <c r="B933" s="111"/>
      <c r="C933" s="112"/>
      <c r="D933" s="112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  <c r="AJ933" s="111"/>
      <c r="AK933" s="111"/>
      <c r="AL933" s="111"/>
      <c r="AM933" s="111"/>
      <c r="AN933" s="111"/>
      <c r="AO933" s="111"/>
      <c r="AP933" s="111"/>
      <c r="AQ933" s="111"/>
      <c r="AR933" s="111"/>
      <c r="AS933" s="111"/>
      <c r="AT933" s="111"/>
      <c r="AU933" s="111"/>
      <c r="AV933" s="111"/>
      <c r="AW933" s="111"/>
      <c r="AX933" s="111"/>
      <c r="AY933" s="111"/>
      <c r="AZ933" s="111"/>
      <c r="BA933" s="111"/>
      <c r="BB933" s="111"/>
      <c r="BC933" s="111"/>
      <c r="BD933" s="111"/>
      <c r="BE933" s="111"/>
      <c r="BF933" s="111"/>
    </row>
    <row r="934" ht="14.25" customHeight="1">
      <c r="A934" s="111"/>
      <c r="B934" s="111"/>
      <c r="C934" s="112"/>
      <c r="D934" s="112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  <c r="AJ934" s="111"/>
      <c r="AK934" s="111"/>
      <c r="AL934" s="111"/>
      <c r="AM934" s="111"/>
      <c r="AN934" s="111"/>
      <c r="AO934" s="111"/>
      <c r="AP934" s="111"/>
      <c r="AQ934" s="111"/>
      <c r="AR934" s="111"/>
      <c r="AS934" s="111"/>
      <c r="AT934" s="111"/>
      <c r="AU934" s="111"/>
      <c r="AV934" s="111"/>
      <c r="AW934" s="111"/>
      <c r="AX934" s="111"/>
      <c r="AY934" s="111"/>
      <c r="AZ934" s="111"/>
      <c r="BA934" s="111"/>
      <c r="BB934" s="111"/>
      <c r="BC934" s="111"/>
      <c r="BD934" s="111"/>
      <c r="BE934" s="111"/>
      <c r="BF934" s="111"/>
    </row>
    <row r="935" ht="14.25" customHeight="1">
      <c r="A935" s="111"/>
      <c r="B935" s="111"/>
      <c r="C935" s="112"/>
      <c r="D935" s="112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  <c r="AJ935" s="111"/>
      <c r="AK935" s="111"/>
      <c r="AL935" s="111"/>
      <c r="AM935" s="111"/>
      <c r="AN935" s="111"/>
      <c r="AO935" s="111"/>
      <c r="AP935" s="111"/>
      <c r="AQ935" s="111"/>
      <c r="AR935" s="111"/>
      <c r="AS935" s="111"/>
      <c r="AT935" s="111"/>
      <c r="AU935" s="111"/>
      <c r="AV935" s="111"/>
      <c r="AW935" s="111"/>
      <c r="AX935" s="111"/>
      <c r="AY935" s="111"/>
      <c r="AZ935" s="111"/>
      <c r="BA935" s="111"/>
      <c r="BB935" s="111"/>
      <c r="BC935" s="111"/>
      <c r="BD935" s="111"/>
      <c r="BE935" s="111"/>
      <c r="BF935" s="111"/>
    </row>
    <row r="936" ht="14.25" customHeight="1">
      <c r="A936" s="111"/>
      <c r="B936" s="111"/>
      <c r="C936" s="112"/>
      <c r="D936" s="112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/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/>
      <c r="BB936" s="111"/>
      <c r="BC936" s="111"/>
      <c r="BD936" s="111"/>
      <c r="BE936" s="111"/>
      <c r="BF936" s="111"/>
    </row>
    <row r="937" ht="14.25" customHeight="1">
      <c r="A937" s="111"/>
      <c r="B937" s="111"/>
      <c r="C937" s="112"/>
      <c r="D937" s="112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/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/>
      <c r="BB937" s="111"/>
      <c r="BC937" s="111"/>
      <c r="BD937" s="111"/>
      <c r="BE937" s="111"/>
      <c r="BF937" s="111"/>
    </row>
    <row r="938" ht="14.25" customHeight="1">
      <c r="A938" s="111"/>
      <c r="B938" s="111"/>
      <c r="C938" s="112"/>
      <c r="D938" s="112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  <c r="AJ938" s="111"/>
      <c r="AK938" s="111"/>
      <c r="AL938" s="111"/>
      <c r="AM938" s="111"/>
      <c r="AN938" s="111"/>
      <c r="AO938" s="111"/>
      <c r="AP938" s="111"/>
      <c r="AQ938" s="111"/>
      <c r="AR938" s="111"/>
      <c r="AS938" s="111"/>
      <c r="AT938" s="111"/>
      <c r="AU938" s="111"/>
      <c r="AV938" s="111"/>
      <c r="AW938" s="111"/>
      <c r="AX938" s="111"/>
      <c r="AY938" s="111"/>
      <c r="AZ938" s="111"/>
      <c r="BA938" s="111"/>
      <c r="BB938" s="111"/>
      <c r="BC938" s="111"/>
      <c r="BD938" s="111"/>
      <c r="BE938" s="111"/>
      <c r="BF938" s="111"/>
    </row>
    <row r="939" ht="14.25" customHeight="1">
      <c r="A939" s="111"/>
      <c r="B939" s="111"/>
      <c r="C939" s="112"/>
      <c r="D939" s="112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/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/>
      <c r="BB939" s="111"/>
      <c r="BC939" s="111"/>
      <c r="BD939" s="111"/>
      <c r="BE939" s="111"/>
      <c r="BF939" s="111"/>
    </row>
    <row r="940" ht="14.25" customHeight="1">
      <c r="A940" s="111"/>
      <c r="B940" s="111"/>
      <c r="C940" s="112"/>
      <c r="D940" s="112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  <c r="AJ940" s="111"/>
      <c r="AK940" s="111"/>
      <c r="AL940" s="111"/>
      <c r="AM940" s="111"/>
      <c r="AN940" s="111"/>
      <c r="AO940" s="111"/>
      <c r="AP940" s="111"/>
      <c r="AQ940" s="111"/>
      <c r="AR940" s="111"/>
      <c r="AS940" s="111"/>
      <c r="AT940" s="111"/>
      <c r="AU940" s="111"/>
      <c r="AV940" s="111"/>
      <c r="AW940" s="111"/>
      <c r="AX940" s="111"/>
      <c r="AY940" s="111"/>
      <c r="AZ940" s="111"/>
      <c r="BA940" s="111"/>
      <c r="BB940" s="111"/>
      <c r="BC940" s="111"/>
      <c r="BD940" s="111"/>
      <c r="BE940" s="111"/>
      <c r="BF940" s="111"/>
    </row>
    <row r="941" ht="14.25" customHeight="1">
      <c r="A941" s="111"/>
      <c r="B941" s="111"/>
      <c r="C941" s="112"/>
      <c r="D941" s="112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  <c r="AJ941" s="111"/>
      <c r="AK941" s="111"/>
      <c r="AL941" s="111"/>
      <c r="AM941" s="111"/>
      <c r="AN941" s="111"/>
      <c r="AO941" s="111"/>
      <c r="AP941" s="111"/>
      <c r="AQ941" s="111"/>
      <c r="AR941" s="111"/>
      <c r="AS941" s="111"/>
      <c r="AT941" s="111"/>
      <c r="AU941" s="111"/>
      <c r="AV941" s="111"/>
      <c r="AW941" s="111"/>
      <c r="AX941" s="111"/>
      <c r="AY941" s="111"/>
      <c r="AZ941" s="111"/>
      <c r="BA941" s="111"/>
      <c r="BB941" s="111"/>
      <c r="BC941" s="111"/>
      <c r="BD941" s="111"/>
      <c r="BE941" s="111"/>
      <c r="BF941" s="111"/>
    </row>
    <row r="942" ht="14.25" customHeight="1">
      <c r="A942" s="111"/>
      <c r="B942" s="111"/>
      <c r="C942" s="112"/>
      <c r="D942" s="112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  <c r="AJ942" s="111"/>
      <c r="AK942" s="111"/>
      <c r="AL942" s="111"/>
      <c r="AM942" s="111"/>
      <c r="AN942" s="111"/>
      <c r="AO942" s="111"/>
      <c r="AP942" s="111"/>
      <c r="AQ942" s="111"/>
      <c r="AR942" s="111"/>
      <c r="AS942" s="111"/>
      <c r="AT942" s="111"/>
      <c r="AU942" s="111"/>
      <c r="AV942" s="111"/>
      <c r="AW942" s="111"/>
      <c r="AX942" s="111"/>
      <c r="AY942" s="111"/>
      <c r="AZ942" s="111"/>
      <c r="BA942" s="111"/>
      <c r="BB942" s="111"/>
      <c r="BC942" s="111"/>
      <c r="BD942" s="111"/>
      <c r="BE942" s="111"/>
      <c r="BF942" s="111"/>
    </row>
    <row r="943" ht="14.25" customHeight="1">
      <c r="A943" s="111"/>
      <c r="B943" s="111"/>
      <c r="C943" s="112"/>
      <c r="D943" s="112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  <c r="AJ943" s="111"/>
      <c r="AK943" s="111"/>
      <c r="AL943" s="111"/>
      <c r="AM943" s="111"/>
      <c r="AN943" s="111"/>
      <c r="AO943" s="111"/>
      <c r="AP943" s="111"/>
      <c r="AQ943" s="111"/>
      <c r="AR943" s="111"/>
      <c r="AS943" s="111"/>
      <c r="AT943" s="111"/>
      <c r="AU943" s="111"/>
      <c r="AV943" s="111"/>
      <c r="AW943" s="111"/>
      <c r="AX943" s="111"/>
      <c r="AY943" s="111"/>
      <c r="AZ943" s="111"/>
      <c r="BA943" s="111"/>
      <c r="BB943" s="111"/>
      <c r="BC943" s="111"/>
      <c r="BD943" s="111"/>
      <c r="BE943" s="111"/>
      <c r="BF943" s="111"/>
    </row>
    <row r="944" ht="14.25" customHeight="1">
      <c r="A944" s="111"/>
      <c r="B944" s="111"/>
      <c r="C944" s="112"/>
      <c r="D944" s="112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  <c r="AJ944" s="111"/>
      <c r="AK944" s="111"/>
      <c r="AL944" s="111"/>
      <c r="AM944" s="111"/>
      <c r="AN944" s="111"/>
      <c r="AO944" s="111"/>
      <c r="AP944" s="111"/>
      <c r="AQ944" s="111"/>
      <c r="AR944" s="111"/>
      <c r="AS944" s="111"/>
      <c r="AT944" s="111"/>
      <c r="AU944" s="111"/>
      <c r="AV944" s="111"/>
      <c r="AW944" s="111"/>
      <c r="AX944" s="111"/>
      <c r="AY944" s="111"/>
      <c r="AZ944" s="111"/>
      <c r="BA944" s="111"/>
      <c r="BB944" s="111"/>
      <c r="BC944" s="111"/>
      <c r="BD944" s="111"/>
      <c r="BE944" s="111"/>
      <c r="BF944" s="111"/>
    </row>
    <row r="945" ht="14.25" customHeight="1">
      <c r="A945" s="111"/>
      <c r="B945" s="111"/>
      <c r="C945" s="112"/>
      <c r="D945" s="112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  <c r="AJ945" s="111"/>
      <c r="AK945" s="111"/>
      <c r="AL945" s="111"/>
      <c r="AM945" s="111"/>
      <c r="AN945" s="111"/>
      <c r="AO945" s="111"/>
      <c r="AP945" s="111"/>
      <c r="AQ945" s="111"/>
      <c r="AR945" s="111"/>
      <c r="AS945" s="111"/>
      <c r="AT945" s="111"/>
      <c r="AU945" s="111"/>
      <c r="AV945" s="111"/>
      <c r="AW945" s="111"/>
      <c r="AX945" s="111"/>
      <c r="AY945" s="111"/>
      <c r="AZ945" s="111"/>
      <c r="BA945" s="111"/>
      <c r="BB945" s="111"/>
      <c r="BC945" s="111"/>
      <c r="BD945" s="111"/>
      <c r="BE945" s="111"/>
      <c r="BF945" s="111"/>
    </row>
    <row r="946" ht="14.25" customHeight="1">
      <c r="A946" s="111"/>
      <c r="B946" s="111"/>
      <c r="C946" s="112"/>
      <c r="D946" s="112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  <c r="AJ946" s="111"/>
      <c r="AK946" s="111"/>
      <c r="AL946" s="111"/>
      <c r="AM946" s="111"/>
      <c r="AN946" s="111"/>
      <c r="AO946" s="111"/>
      <c r="AP946" s="111"/>
      <c r="AQ946" s="111"/>
      <c r="AR946" s="111"/>
      <c r="AS946" s="111"/>
      <c r="AT946" s="111"/>
      <c r="AU946" s="111"/>
      <c r="AV946" s="111"/>
      <c r="AW946" s="111"/>
      <c r="AX946" s="111"/>
      <c r="AY946" s="111"/>
      <c r="AZ946" s="111"/>
      <c r="BA946" s="111"/>
      <c r="BB946" s="111"/>
      <c r="BC946" s="111"/>
      <c r="BD946" s="111"/>
      <c r="BE946" s="111"/>
      <c r="BF946" s="111"/>
    </row>
    <row r="947" ht="14.25" customHeight="1">
      <c r="A947" s="111"/>
      <c r="B947" s="111"/>
      <c r="C947" s="112"/>
      <c r="D947" s="112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  <c r="AJ947" s="111"/>
      <c r="AK947" s="111"/>
      <c r="AL947" s="111"/>
      <c r="AM947" s="111"/>
      <c r="AN947" s="111"/>
      <c r="AO947" s="111"/>
      <c r="AP947" s="111"/>
      <c r="AQ947" s="111"/>
      <c r="AR947" s="111"/>
      <c r="AS947" s="111"/>
      <c r="AT947" s="111"/>
      <c r="AU947" s="111"/>
      <c r="AV947" s="111"/>
      <c r="AW947" s="111"/>
      <c r="AX947" s="111"/>
      <c r="AY947" s="111"/>
      <c r="AZ947" s="111"/>
      <c r="BA947" s="111"/>
      <c r="BB947" s="111"/>
      <c r="BC947" s="111"/>
      <c r="BD947" s="111"/>
      <c r="BE947" s="111"/>
      <c r="BF947" s="111"/>
    </row>
    <row r="948" ht="14.25" customHeight="1">
      <c r="A948" s="111"/>
      <c r="B948" s="111"/>
      <c r="C948" s="112"/>
      <c r="D948" s="112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  <c r="AJ948" s="111"/>
      <c r="AK948" s="111"/>
      <c r="AL948" s="111"/>
      <c r="AM948" s="111"/>
      <c r="AN948" s="111"/>
      <c r="AO948" s="111"/>
      <c r="AP948" s="111"/>
      <c r="AQ948" s="111"/>
      <c r="AR948" s="111"/>
      <c r="AS948" s="111"/>
      <c r="AT948" s="111"/>
      <c r="AU948" s="111"/>
      <c r="AV948" s="111"/>
      <c r="AW948" s="111"/>
      <c r="AX948" s="111"/>
      <c r="AY948" s="111"/>
      <c r="AZ948" s="111"/>
      <c r="BA948" s="111"/>
      <c r="BB948" s="111"/>
      <c r="BC948" s="111"/>
      <c r="BD948" s="111"/>
      <c r="BE948" s="111"/>
      <c r="BF948" s="111"/>
    </row>
    <row r="949" ht="14.25" customHeight="1">
      <c r="A949" s="111"/>
      <c r="B949" s="111"/>
      <c r="C949" s="112"/>
      <c r="D949" s="112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  <c r="AJ949" s="111"/>
      <c r="AK949" s="111"/>
      <c r="AL949" s="111"/>
      <c r="AM949" s="111"/>
      <c r="AN949" s="111"/>
      <c r="AO949" s="111"/>
      <c r="AP949" s="111"/>
      <c r="AQ949" s="111"/>
      <c r="AR949" s="111"/>
      <c r="AS949" s="111"/>
      <c r="AT949" s="111"/>
      <c r="AU949" s="111"/>
      <c r="AV949" s="111"/>
      <c r="AW949" s="111"/>
      <c r="AX949" s="111"/>
      <c r="AY949" s="111"/>
      <c r="AZ949" s="111"/>
      <c r="BA949" s="111"/>
      <c r="BB949" s="111"/>
      <c r="BC949" s="111"/>
      <c r="BD949" s="111"/>
      <c r="BE949" s="111"/>
      <c r="BF949" s="111"/>
    </row>
    <row r="950" ht="14.25" customHeight="1">
      <c r="A950" s="111"/>
      <c r="B950" s="111"/>
      <c r="C950" s="112"/>
      <c r="D950" s="112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  <c r="AJ950" s="111"/>
      <c r="AK950" s="111"/>
      <c r="AL950" s="111"/>
      <c r="AM950" s="111"/>
      <c r="AN950" s="111"/>
      <c r="AO950" s="111"/>
      <c r="AP950" s="111"/>
      <c r="AQ950" s="111"/>
      <c r="AR950" s="111"/>
      <c r="AS950" s="111"/>
      <c r="AT950" s="111"/>
      <c r="AU950" s="111"/>
      <c r="AV950" s="111"/>
      <c r="AW950" s="111"/>
      <c r="AX950" s="111"/>
      <c r="AY950" s="111"/>
      <c r="AZ950" s="111"/>
      <c r="BA950" s="111"/>
      <c r="BB950" s="111"/>
      <c r="BC950" s="111"/>
      <c r="BD950" s="111"/>
      <c r="BE950" s="111"/>
      <c r="BF950" s="111"/>
    </row>
    <row r="951" ht="14.25" customHeight="1">
      <c r="A951" s="111"/>
      <c r="B951" s="111"/>
      <c r="C951" s="112"/>
      <c r="D951" s="112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  <c r="AJ951" s="111"/>
      <c r="AK951" s="111"/>
      <c r="AL951" s="111"/>
      <c r="AM951" s="111"/>
      <c r="AN951" s="111"/>
      <c r="AO951" s="111"/>
      <c r="AP951" s="111"/>
      <c r="AQ951" s="111"/>
      <c r="AR951" s="111"/>
      <c r="AS951" s="111"/>
      <c r="AT951" s="111"/>
      <c r="AU951" s="111"/>
      <c r="AV951" s="111"/>
      <c r="AW951" s="111"/>
      <c r="AX951" s="111"/>
      <c r="AY951" s="111"/>
      <c r="AZ951" s="111"/>
      <c r="BA951" s="111"/>
      <c r="BB951" s="111"/>
      <c r="BC951" s="111"/>
      <c r="BD951" s="111"/>
      <c r="BE951" s="111"/>
      <c r="BF951" s="111"/>
    </row>
    <row r="952" ht="14.25" customHeight="1">
      <c r="A952" s="111"/>
      <c r="B952" s="111"/>
      <c r="C952" s="112"/>
      <c r="D952" s="112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  <c r="AJ952" s="111"/>
      <c r="AK952" s="111"/>
      <c r="AL952" s="111"/>
      <c r="AM952" s="111"/>
      <c r="AN952" s="111"/>
      <c r="AO952" s="111"/>
      <c r="AP952" s="111"/>
      <c r="AQ952" s="111"/>
      <c r="AR952" s="111"/>
      <c r="AS952" s="111"/>
      <c r="AT952" s="111"/>
      <c r="AU952" s="111"/>
      <c r="AV952" s="111"/>
      <c r="AW952" s="111"/>
      <c r="AX952" s="111"/>
      <c r="AY952" s="111"/>
      <c r="AZ952" s="111"/>
      <c r="BA952" s="111"/>
      <c r="BB952" s="111"/>
      <c r="BC952" s="111"/>
      <c r="BD952" s="111"/>
      <c r="BE952" s="111"/>
      <c r="BF952" s="111"/>
    </row>
    <row r="953" ht="14.25" customHeight="1">
      <c r="A953" s="111"/>
      <c r="B953" s="111"/>
      <c r="C953" s="112"/>
      <c r="D953" s="112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  <c r="AJ953" s="111"/>
      <c r="AK953" s="111"/>
      <c r="AL953" s="111"/>
      <c r="AM953" s="111"/>
      <c r="AN953" s="111"/>
      <c r="AO953" s="111"/>
      <c r="AP953" s="111"/>
      <c r="AQ953" s="111"/>
      <c r="AR953" s="111"/>
      <c r="AS953" s="111"/>
      <c r="AT953" s="111"/>
      <c r="AU953" s="111"/>
      <c r="AV953" s="111"/>
      <c r="AW953" s="111"/>
      <c r="AX953" s="111"/>
      <c r="AY953" s="111"/>
      <c r="AZ953" s="111"/>
      <c r="BA953" s="111"/>
      <c r="BB953" s="111"/>
      <c r="BC953" s="111"/>
      <c r="BD953" s="111"/>
      <c r="BE953" s="111"/>
      <c r="BF953" s="111"/>
    </row>
    <row r="954" ht="14.25" customHeight="1">
      <c r="A954" s="111"/>
      <c r="B954" s="111"/>
      <c r="C954" s="112"/>
      <c r="D954" s="112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  <c r="AJ954" s="111"/>
      <c r="AK954" s="111"/>
      <c r="AL954" s="111"/>
      <c r="AM954" s="111"/>
      <c r="AN954" s="111"/>
      <c r="AO954" s="111"/>
      <c r="AP954" s="111"/>
      <c r="AQ954" s="111"/>
      <c r="AR954" s="111"/>
      <c r="AS954" s="111"/>
      <c r="AT954" s="111"/>
      <c r="AU954" s="111"/>
      <c r="AV954" s="111"/>
      <c r="AW954" s="111"/>
      <c r="AX954" s="111"/>
      <c r="AY954" s="111"/>
      <c r="AZ954" s="111"/>
      <c r="BA954" s="111"/>
      <c r="BB954" s="111"/>
      <c r="BC954" s="111"/>
      <c r="BD954" s="111"/>
      <c r="BE954" s="111"/>
      <c r="BF954" s="111"/>
    </row>
    <row r="955" ht="14.25" customHeight="1">
      <c r="A955" s="111"/>
      <c r="B955" s="111"/>
      <c r="C955" s="112"/>
      <c r="D955" s="112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  <c r="AJ955" s="111"/>
      <c r="AK955" s="111"/>
      <c r="AL955" s="111"/>
      <c r="AM955" s="111"/>
      <c r="AN955" s="111"/>
      <c r="AO955" s="111"/>
      <c r="AP955" s="111"/>
      <c r="AQ955" s="111"/>
      <c r="AR955" s="111"/>
      <c r="AS955" s="111"/>
      <c r="AT955" s="111"/>
      <c r="AU955" s="111"/>
      <c r="AV955" s="111"/>
      <c r="AW955" s="111"/>
      <c r="AX955" s="111"/>
      <c r="AY955" s="111"/>
      <c r="AZ955" s="111"/>
      <c r="BA955" s="111"/>
      <c r="BB955" s="111"/>
      <c r="BC955" s="111"/>
      <c r="BD955" s="111"/>
      <c r="BE955" s="111"/>
      <c r="BF955" s="111"/>
    </row>
    <row r="956" ht="14.25" customHeight="1">
      <c r="A956" s="111"/>
      <c r="B956" s="111"/>
      <c r="C956" s="112"/>
      <c r="D956" s="112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  <c r="AJ956" s="111"/>
      <c r="AK956" s="111"/>
      <c r="AL956" s="111"/>
      <c r="AM956" s="111"/>
      <c r="AN956" s="111"/>
      <c r="AO956" s="111"/>
      <c r="AP956" s="111"/>
      <c r="AQ956" s="111"/>
      <c r="AR956" s="111"/>
      <c r="AS956" s="111"/>
      <c r="AT956" s="111"/>
      <c r="AU956" s="111"/>
      <c r="AV956" s="111"/>
      <c r="AW956" s="111"/>
      <c r="AX956" s="111"/>
      <c r="AY956" s="111"/>
      <c r="AZ956" s="111"/>
      <c r="BA956" s="111"/>
      <c r="BB956" s="111"/>
      <c r="BC956" s="111"/>
      <c r="BD956" s="111"/>
      <c r="BE956" s="111"/>
      <c r="BF956" s="111"/>
    </row>
    <row r="957" ht="14.25" customHeight="1">
      <c r="A957" s="111"/>
      <c r="B957" s="111"/>
      <c r="C957" s="112"/>
      <c r="D957" s="112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  <c r="AJ957" s="111"/>
      <c r="AK957" s="111"/>
      <c r="AL957" s="111"/>
      <c r="AM957" s="111"/>
      <c r="AN957" s="111"/>
      <c r="AO957" s="111"/>
      <c r="AP957" s="111"/>
      <c r="AQ957" s="111"/>
      <c r="AR957" s="111"/>
      <c r="AS957" s="111"/>
      <c r="AT957" s="111"/>
      <c r="AU957" s="111"/>
      <c r="AV957" s="111"/>
      <c r="AW957" s="111"/>
      <c r="AX957" s="111"/>
      <c r="AY957" s="111"/>
      <c r="AZ957" s="111"/>
      <c r="BA957" s="111"/>
      <c r="BB957" s="111"/>
      <c r="BC957" s="111"/>
      <c r="BD957" s="111"/>
      <c r="BE957" s="111"/>
      <c r="BF957" s="111"/>
    </row>
    <row r="958" ht="14.25" customHeight="1">
      <c r="A958" s="111"/>
      <c r="B958" s="111"/>
      <c r="C958" s="112"/>
      <c r="D958" s="112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  <c r="AJ958" s="111"/>
      <c r="AK958" s="111"/>
      <c r="AL958" s="111"/>
      <c r="AM958" s="111"/>
      <c r="AN958" s="111"/>
      <c r="AO958" s="111"/>
      <c r="AP958" s="111"/>
      <c r="AQ958" s="111"/>
      <c r="AR958" s="111"/>
      <c r="AS958" s="111"/>
      <c r="AT958" s="111"/>
      <c r="AU958" s="111"/>
      <c r="AV958" s="111"/>
      <c r="AW958" s="111"/>
      <c r="AX958" s="111"/>
      <c r="AY958" s="111"/>
      <c r="AZ958" s="111"/>
      <c r="BA958" s="111"/>
      <c r="BB958" s="111"/>
      <c r="BC958" s="111"/>
      <c r="BD958" s="111"/>
      <c r="BE958" s="111"/>
      <c r="BF958" s="111"/>
    </row>
    <row r="959" ht="14.25" customHeight="1">
      <c r="A959" s="111"/>
      <c r="B959" s="111"/>
      <c r="C959" s="112"/>
      <c r="D959" s="112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  <c r="AJ959" s="111"/>
      <c r="AK959" s="111"/>
      <c r="AL959" s="111"/>
      <c r="AM959" s="111"/>
      <c r="AN959" s="111"/>
      <c r="AO959" s="111"/>
      <c r="AP959" s="111"/>
      <c r="AQ959" s="111"/>
      <c r="AR959" s="111"/>
      <c r="AS959" s="111"/>
      <c r="AT959" s="111"/>
      <c r="AU959" s="111"/>
      <c r="AV959" s="111"/>
      <c r="AW959" s="111"/>
      <c r="AX959" s="111"/>
      <c r="AY959" s="111"/>
      <c r="AZ959" s="111"/>
      <c r="BA959" s="111"/>
      <c r="BB959" s="111"/>
      <c r="BC959" s="111"/>
      <c r="BD959" s="111"/>
      <c r="BE959" s="111"/>
      <c r="BF959" s="111"/>
    </row>
    <row r="960" ht="14.25" customHeight="1">
      <c r="A960" s="111"/>
      <c r="B960" s="111"/>
      <c r="C960" s="112"/>
      <c r="D960" s="112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  <c r="AJ960" s="111"/>
      <c r="AK960" s="111"/>
      <c r="AL960" s="111"/>
      <c r="AM960" s="111"/>
      <c r="AN960" s="111"/>
      <c r="AO960" s="111"/>
      <c r="AP960" s="111"/>
      <c r="AQ960" s="111"/>
      <c r="AR960" s="111"/>
      <c r="AS960" s="111"/>
      <c r="AT960" s="111"/>
      <c r="AU960" s="111"/>
      <c r="AV960" s="111"/>
      <c r="AW960" s="111"/>
      <c r="AX960" s="111"/>
      <c r="AY960" s="111"/>
      <c r="AZ960" s="111"/>
      <c r="BA960" s="111"/>
      <c r="BB960" s="111"/>
      <c r="BC960" s="111"/>
      <c r="BD960" s="111"/>
      <c r="BE960" s="111"/>
      <c r="BF960" s="111"/>
    </row>
    <row r="961" ht="14.25" customHeight="1">
      <c r="A961" s="111"/>
      <c r="B961" s="111"/>
      <c r="C961" s="112"/>
      <c r="D961" s="112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  <c r="AJ961" s="111"/>
      <c r="AK961" s="111"/>
      <c r="AL961" s="111"/>
      <c r="AM961" s="111"/>
      <c r="AN961" s="111"/>
      <c r="AO961" s="111"/>
      <c r="AP961" s="111"/>
      <c r="AQ961" s="111"/>
      <c r="AR961" s="111"/>
      <c r="AS961" s="111"/>
      <c r="AT961" s="111"/>
      <c r="AU961" s="111"/>
      <c r="AV961" s="111"/>
      <c r="AW961" s="111"/>
      <c r="AX961" s="111"/>
      <c r="AY961" s="111"/>
      <c r="AZ961" s="111"/>
      <c r="BA961" s="111"/>
      <c r="BB961" s="111"/>
      <c r="BC961" s="111"/>
      <c r="BD961" s="111"/>
      <c r="BE961" s="111"/>
      <c r="BF961" s="111"/>
    </row>
    <row r="962" ht="14.25" customHeight="1">
      <c r="A962" s="111"/>
      <c r="B962" s="111"/>
      <c r="C962" s="112"/>
      <c r="D962" s="112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  <c r="AJ962" s="111"/>
      <c r="AK962" s="111"/>
      <c r="AL962" s="111"/>
      <c r="AM962" s="111"/>
      <c r="AN962" s="111"/>
      <c r="AO962" s="111"/>
      <c r="AP962" s="111"/>
      <c r="AQ962" s="111"/>
      <c r="AR962" s="111"/>
      <c r="AS962" s="111"/>
      <c r="AT962" s="111"/>
      <c r="AU962" s="111"/>
      <c r="AV962" s="111"/>
      <c r="AW962" s="111"/>
      <c r="AX962" s="111"/>
      <c r="AY962" s="111"/>
      <c r="AZ962" s="111"/>
      <c r="BA962" s="111"/>
      <c r="BB962" s="111"/>
      <c r="BC962" s="111"/>
      <c r="BD962" s="111"/>
      <c r="BE962" s="111"/>
      <c r="BF962" s="111"/>
    </row>
    <row r="963" ht="14.25" customHeight="1">
      <c r="A963" s="111"/>
      <c r="B963" s="111"/>
      <c r="C963" s="112"/>
      <c r="D963" s="112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  <c r="AJ963" s="111"/>
      <c r="AK963" s="111"/>
      <c r="AL963" s="111"/>
      <c r="AM963" s="111"/>
      <c r="AN963" s="111"/>
      <c r="AO963" s="111"/>
      <c r="AP963" s="111"/>
      <c r="AQ963" s="111"/>
      <c r="AR963" s="111"/>
      <c r="AS963" s="111"/>
      <c r="AT963" s="111"/>
      <c r="AU963" s="111"/>
      <c r="AV963" s="111"/>
      <c r="AW963" s="111"/>
      <c r="AX963" s="111"/>
      <c r="AY963" s="111"/>
      <c r="AZ963" s="111"/>
      <c r="BA963" s="111"/>
      <c r="BB963" s="111"/>
      <c r="BC963" s="111"/>
      <c r="BD963" s="111"/>
      <c r="BE963" s="111"/>
      <c r="BF963" s="111"/>
    </row>
    <row r="964" ht="14.25" customHeight="1">
      <c r="A964" s="111"/>
      <c r="B964" s="111"/>
      <c r="C964" s="112"/>
      <c r="D964" s="112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  <c r="AJ964" s="111"/>
      <c r="AK964" s="111"/>
      <c r="AL964" s="111"/>
      <c r="AM964" s="111"/>
      <c r="AN964" s="111"/>
      <c r="AO964" s="111"/>
      <c r="AP964" s="111"/>
      <c r="AQ964" s="111"/>
      <c r="AR964" s="111"/>
      <c r="AS964" s="111"/>
      <c r="AT964" s="111"/>
      <c r="AU964" s="111"/>
      <c r="AV964" s="111"/>
      <c r="AW964" s="111"/>
      <c r="AX964" s="111"/>
      <c r="AY964" s="111"/>
      <c r="AZ964" s="111"/>
      <c r="BA964" s="111"/>
      <c r="BB964" s="111"/>
      <c r="BC964" s="111"/>
      <c r="BD964" s="111"/>
      <c r="BE964" s="111"/>
      <c r="BF964" s="111"/>
    </row>
    <row r="965" ht="14.25" customHeight="1">
      <c r="A965" s="111"/>
      <c r="B965" s="111"/>
      <c r="C965" s="112"/>
      <c r="D965" s="112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  <c r="AJ965" s="111"/>
      <c r="AK965" s="111"/>
      <c r="AL965" s="111"/>
      <c r="AM965" s="111"/>
      <c r="AN965" s="111"/>
      <c r="AO965" s="111"/>
      <c r="AP965" s="111"/>
      <c r="AQ965" s="111"/>
      <c r="AR965" s="111"/>
      <c r="AS965" s="111"/>
      <c r="AT965" s="111"/>
      <c r="AU965" s="111"/>
      <c r="AV965" s="111"/>
      <c r="AW965" s="111"/>
      <c r="AX965" s="111"/>
      <c r="AY965" s="111"/>
      <c r="AZ965" s="111"/>
      <c r="BA965" s="111"/>
      <c r="BB965" s="111"/>
      <c r="BC965" s="111"/>
      <c r="BD965" s="111"/>
      <c r="BE965" s="111"/>
      <c r="BF965" s="111"/>
    </row>
    <row r="966" ht="14.25" customHeight="1">
      <c r="A966" s="111"/>
      <c r="B966" s="111"/>
      <c r="C966" s="112"/>
      <c r="D966" s="112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  <c r="AJ966" s="111"/>
      <c r="AK966" s="111"/>
      <c r="AL966" s="111"/>
      <c r="AM966" s="111"/>
      <c r="AN966" s="111"/>
      <c r="AO966" s="111"/>
      <c r="AP966" s="111"/>
      <c r="AQ966" s="111"/>
      <c r="AR966" s="111"/>
      <c r="AS966" s="111"/>
      <c r="AT966" s="111"/>
      <c r="AU966" s="111"/>
      <c r="AV966" s="111"/>
      <c r="AW966" s="111"/>
      <c r="AX966" s="111"/>
      <c r="AY966" s="111"/>
      <c r="AZ966" s="111"/>
      <c r="BA966" s="111"/>
      <c r="BB966" s="111"/>
      <c r="BC966" s="111"/>
      <c r="BD966" s="111"/>
      <c r="BE966" s="111"/>
      <c r="BF966" s="111"/>
    </row>
    <row r="967" ht="14.25" customHeight="1">
      <c r="A967" s="111"/>
      <c r="B967" s="111"/>
      <c r="C967" s="112"/>
      <c r="D967" s="112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  <c r="AJ967" s="111"/>
      <c r="AK967" s="111"/>
      <c r="AL967" s="111"/>
      <c r="AM967" s="111"/>
      <c r="AN967" s="111"/>
      <c r="AO967" s="111"/>
      <c r="AP967" s="111"/>
      <c r="AQ967" s="111"/>
      <c r="AR967" s="111"/>
      <c r="AS967" s="111"/>
      <c r="AT967" s="111"/>
      <c r="AU967" s="111"/>
      <c r="AV967" s="111"/>
      <c r="AW967" s="111"/>
      <c r="AX967" s="111"/>
      <c r="AY967" s="111"/>
      <c r="AZ967" s="111"/>
      <c r="BA967" s="111"/>
      <c r="BB967" s="111"/>
      <c r="BC967" s="111"/>
      <c r="BD967" s="111"/>
      <c r="BE967" s="111"/>
      <c r="BF967" s="111"/>
    </row>
    <row r="968" ht="14.25" customHeight="1">
      <c r="A968" s="111"/>
      <c r="B968" s="111"/>
      <c r="C968" s="112"/>
      <c r="D968" s="112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  <c r="AJ968" s="111"/>
      <c r="AK968" s="111"/>
      <c r="AL968" s="111"/>
      <c r="AM968" s="111"/>
      <c r="AN968" s="111"/>
      <c r="AO968" s="111"/>
      <c r="AP968" s="111"/>
      <c r="AQ968" s="111"/>
      <c r="AR968" s="111"/>
      <c r="AS968" s="111"/>
      <c r="AT968" s="111"/>
      <c r="AU968" s="111"/>
      <c r="AV968" s="111"/>
      <c r="AW968" s="111"/>
      <c r="AX968" s="111"/>
      <c r="AY968" s="111"/>
      <c r="AZ968" s="111"/>
      <c r="BA968" s="111"/>
      <c r="BB968" s="111"/>
      <c r="BC968" s="111"/>
      <c r="BD968" s="111"/>
      <c r="BE968" s="111"/>
      <c r="BF968" s="111"/>
    </row>
    <row r="969" ht="14.25" customHeight="1">
      <c r="A969" s="111"/>
      <c r="B969" s="111"/>
      <c r="C969" s="112"/>
      <c r="D969" s="112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  <c r="AJ969" s="111"/>
      <c r="AK969" s="111"/>
      <c r="AL969" s="111"/>
      <c r="AM969" s="111"/>
      <c r="AN969" s="111"/>
      <c r="AO969" s="111"/>
      <c r="AP969" s="111"/>
      <c r="AQ969" s="111"/>
      <c r="AR969" s="111"/>
      <c r="AS969" s="111"/>
      <c r="AT969" s="111"/>
      <c r="AU969" s="111"/>
      <c r="AV969" s="111"/>
      <c r="AW969" s="111"/>
      <c r="AX969" s="111"/>
      <c r="AY969" s="111"/>
      <c r="AZ969" s="111"/>
      <c r="BA969" s="111"/>
      <c r="BB969" s="111"/>
      <c r="BC969" s="111"/>
      <c r="BD969" s="111"/>
      <c r="BE969" s="111"/>
      <c r="BF969" s="111"/>
    </row>
    <row r="970" ht="14.25" customHeight="1">
      <c r="A970" s="111"/>
      <c r="B970" s="111"/>
      <c r="C970" s="112"/>
      <c r="D970" s="112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  <c r="AJ970" s="111"/>
      <c r="AK970" s="111"/>
      <c r="AL970" s="111"/>
      <c r="AM970" s="111"/>
      <c r="AN970" s="111"/>
      <c r="AO970" s="111"/>
      <c r="AP970" s="111"/>
      <c r="AQ970" s="111"/>
      <c r="AR970" s="111"/>
      <c r="AS970" s="111"/>
      <c r="AT970" s="111"/>
      <c r="AU970" s="111"/>
      <c r="AV970" s="111"/>
      <c r="AW970" s="111"/>
      <c r="AX970" s="111"/>
      <c r="AY970" s="111"/>
      <c r="AZ970" s="111"/>
      <c r="BA970" s="111"/>
      <c r="BB970" s="111"/>
      <c r="BC970" s="111"/>
      <c r="BD970" s="111"/>
      <c r="BE970" s="111"/>
      <c r="BF970" s="111"/>
    </row>
    <row r="971" ht="14.25" customHeight="1">
      <c r="A971" s="111"/>
      <c r="B971" s="111"/>
      <c r="C971" s="112"/>
      <c r="D971" s="112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  <c r="AJ971" s="111"/>
      <c r="AK971" s="111"/>
      <c r="AL971" s="111"/>
      <c r="AM971" s="111"/>
      <c r="AN971" s="111"/>
      <c r="AO971" s="111"/>
      <c r="AP971" s="111"/>
      <c r="AQ971" s="111"/>
      <c r="AR971" s="111"/>
      <c r="AS971" s="111"/>
      <c r="AT971" s="111"/>
      <c r="AU971" s="111"/>
      <c r="AV971" s="111"/>
      <c r="AW971" s="111"/>
      <c r="AX971" s="111"/>
      <c r="AY971" s="111"/>
      <c r="AZ971" s="111"/>
      <c r="BA971" s="111"/>
      <c r="BB971" s="111"/>
      <c r="BC971" s="111"/>
      <c r="BD971" s="111"/>
      <c r="BE971" s="111"/>
      <c r="BF971" s="111"/>
    </row>
    <row r="972" ht="14.25" customHeight="1">
      <c r="A972" s="111"/>
      <c r="B972" s="111"/>
      <c r="C972" s="112"/>
      <c r="D972" s="112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  <c r="AJ972" s="111"/>
      <c r="AK972" s="111"/>
      <c r="AL972" s="111"/>
      <c r="AM972" s="111"/>
      <c r="AN972" s="111"/>
      <c r="AO972" s="111"/>
      <c r="AP972" s="111"/>
      <c r="AQ972" s="111"/>
      <c r="AR972" s="111"/>
      <c r="AS972" s="111"/>
      <c r="AT972" s="111"/>
      <c r="AU972" s="111"/>
      <c r="AV972" s="111"/>
      <c r="AW972" s="111"/>
      <c r="AX972" s="111"/>
      <c r="AY972" s="111"/>
      <c r="AZ972" s="111"/>
      <c r="BA972" s="111"/>
      <c r="BB972" s="111"/>
      <c r="BC972" s="111"/>
      <c r="BD972" s="111"/>
      <c r="BE972" s="111"/>
      <c r="BF972" s="111"/>
    </row>
    <row r="973" ht="14.25" customHeight="1">
      <c r="A973" s="111"/>
      <c r="B973" s="111"/>
      <c r="C973" s="112"/>
      <c r="D973" s="112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  <c r="AJ973" s="111"/>
      <c r="AK973" s="111"/>
      <c r="AL973" s="111"/>
      <c r="AM973" s="111"/>
      <c r="AN973" s="111"/>
      <c r="AO973" s="111"/>
      <c r="AP973" s="111"/>
      <c r="AQ973" s="111"/>
      <c r="AR973" s="111"/>
      <c r="AS973" s="111"/>
      <c r="AT973" s="111"/>
      <c r="AU973" s="111"/>
      <c r="AV973" s="111"/>
      <c r="AW973" s="111"/>
      <c r="AX973" s="111"/>
      <c r="AY973" s="111"/>
      <c r="AZ973" s="111"/>
      <c r="BA973" s="111"/>
      <c r="BB973" s="111"/>
      <c r="BC973" s="111"/>
      <c r="BD973" s="111"/>
      <c r="BE973" s="111"/>
      <c r="BF973" s="111"/>
    </row>
    <row r="974" ht="14.25" customHeight="1">
      <c r="A974" s="111"/>
      <c r="B974" s="111"/>
      <c r="C974" s="112"/>
      <c r="D974" s="112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/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/>
      <c r="BB974" s="111"/>
      <c r="BC974" s="111"/>
      <c r="BD974" s="111"/>
      <c r="BE974" s="111"/>
      <c r="BF974" s="111"/>
    </row>
    <row r="975" ht="14.25" customHeight="1">
      <c r="A975" s="111"/>
      <c r="B975" s="111"/>
      <c r="C975" s="112"/>
      <c r="D975" s="112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/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/>
      <c r="BB975" s="111"/>
      <c r="BC975" s="111"/>
      <c r="BD975" s="111"/>
      <c r="BE975" s="111"/>
      <c r="BF975" s="111"/>
    </row>
    <row r="976" ht="14.25" customHeight="1">
      <c r="A976" s="111"/>
      <c r="B976" s="111"/>
      <c r="C976" s="112"/>
      <c r="D976" s="112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  <c r="AJ976" s="111"/>
      <c r="AK976" s="111"/>
      <c r="AL976" s="111"/>
      <c r="AM976" s="111"/>
      <c r="AN976" s="111"/>
      <c r="AO976" s="111"/>
      <c r="AP976" s="111"/>
      <c r="AQ976" s="111"/>
      <c r="AR976" s="111"/>
      <c r="AS976" s="111"/>
      <c r="AT976" s="111"/>
      <c r="AU976" s="111"/>
      <c r="AV976" s="111"/>
      <c r="AW976" s="111"/>
      <c r="AX976" s="111"/>
      <c r="AY976" s="111"/>
      <c r="AZ976" s="111"/>
      <c r="BA976" s="111"/>
      <c r="BB976" s="111"/>
      <c r="BC976" s="111"/>
      <c r="BD976" s="111"/>
      <c r="BE976" s="111"/>
      <c r="BF976" s="111"/>
    </row>
    <row r="977" ht="14.25" customHeight="1">
      <c r="A977" s="111"/>
      <c r="B977" s="111"/>
      <c r="C977" s="112"/>
      <c r="D977" s="112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/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/>
      <c r="BB977" s="111"/>
      <c r="BC977" s="111"/>
      <c r="BD977" s="111"/>
      <c r="BE977" s="111"/>
      <c r="BF977" s="111"/>
    </row>
    <row r="978" ht="14.25" customHeight="1">
      <c r="A978" s="111"/>
      <c r="B978" s="111"/>
      <c r="C978" s="112"/>
      <c r="D978" s="112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  <c r="AJ978" s="111"/>
      <c r="AK978" s="111"/>
      <c r="AL978" s="111"/>
      <c r="AM978" s="111"/>
      <c r="AN978" s="111"/>
      <c r="AO978" s="111"/>
      <c r="AP978" s="111"/>
      <c r="AQ978" s="111"/>
      <c r="AR978" s="111"/>
      <c r="AS978" s="111"/>
      <c r="AT978" s="111"/>
      <c r="AU978" s="111"/>
      <c r="AV978" s="111"/>
      <c r="AW978" s="111"/>
      <c r="AX978" s="111"/>
      <c r="AY978" s="111"/>
      <c r="AZ978" s="111"/>
      <c r="BA978" s="111"/>
      <c r="BB978" s="111"/>
      <c r="BC978" s="111"/>
      <c r="BD978" s="111"/>
      <c r="BE978" s="111"/>
      <c r="BF978" s="111"/>
    </row>
    <row r="979" ht="14.25" customHeight="1">
      <c r="A979" s="111"/>
      <c r="B979" s="111"/>
      <c r="C979" s="112"/>
      <c r="D979" s="112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  <c r="AJ979" s="111"/>
      <c r="AK979" s="111"/>
      <c r="AL979" s="111"/>
      <c r="AM979" s="111"/>
      <c r="AN979" s="111"/>
      <c r="AO979" s="111"/>
      <c r="AP979" s="111"/>
      <c r="AQ979" s="111"/>
      <c r="AR979" s="111"/>
      <c r="AS979" s="111"/>
      <c r="AT979" s="111"/>
      <c r="AU979" s="111"/>
      <c r="AV979" s="111"/>
      <c r="AW979" s="111"/>
      <c r="AX979" s="111"/>
      <c r="AY979" s="111"/>
      <c r="AZ979" s="111"/>
      <c r="BA979" s="111"/>
      <c r="BB979" s="111"/>
      <c r="BC979" s="111"/>
      <c r="BD979" s="111"/>
      <c r="BE979" s="111"/>
      <c r="BF979" s="111"/>
    </row>
    <row r="980" ht="14.25" customHeight="1">
      <c r="A980" s="111"/>
      <c r="B980" s="111"/>
      <c r="C980" s="112"/>
      <c r="D980" s="112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  <c r="AJ980" s="111"/>
      <c r="AK980" s="111"/>
      <c r="AL980" s="111"/>
      <c r="AM980" s="111"/>
      <c r="AN980" s="111"/>
      <c r="AO980" s="111"/>
      <c r="AP980" s="111"/>
      <c r="AQ980" s="111"/>
      <c r="AR980" s="111"/>
      <c r="AS980" s="111"/>
      <c r="AT980" s="111"/>
      <c r="AU980" s="111"/>
      <c r="AV980" s="111"/>
      <c r="AW980" s="111"/>
      <c r="AX980" s="111"/>
      <c r="AY980" s="111"/>
      <c r="AZ980" s="111"/>
      <c r="BA980" s="111"/>
      <c r="BB980" s="111"/>
      <c r="BC980" s="111"/>
      <c r="BD980" s="111"/>
      <c r="BE980" s="111"/>
      <c r="BF980" s="111"/>
    </row>
    <row r="981" ht="14.25" customHeight="1">
      <c r="A981" s="111"/>
      <c r="B981" s="111"/>
      <c r="C981" s="112"/>
      <c r="D981" s="112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  <c r="AJ981" s="111"/>
      <c r="AK981" s="111"/>
      <c r="AL981" s="111"/>
      <c r="AM981" s="111"/>
      <c r="AN981" s="111"/>
      <c r="AO981" s="111"/>
      <c r="AP981" s="111"/>
      <c r="AQ981" s="111"/>
      <c r="AR981" s="111"/>
      <c r="AS981" s="111"/>
      <c r="AT981" s="111"/>
      <c r="AU981" s="111"/>
      <c r="AV981" s="111"/>
      <c r="AW981" s="111"/>
      <c r="AX981" s="111"/>
      <c r="AY981" s="111"/>
      <c r="AZ981" s="111"/>
      <c r="BA981" s="111"/>
      <c r="BB981" s="111"/>
      <c r="BC981" s="111"/>
      <c r="BD981" s="111"/>
      <c r="BE981" s="111"/>
      <c r="BF981" s="111"/>
    </row>
    <row r="982" ht="14.25" customHeight="1">
      <c r="A982" s="111"/>
      <c r="B982" s="111"/>
      <c r="C982" s="112"/>
      <c r="D982" s="112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  <c r="AJ982" s="111"/>
      <c r="AK982" s="111"/>
      <c r="AL982" s="111"/>
      <c r="AM982" s="111"/>
      <c r="AN982" s="111"/>
      <c r="AO982" s="111"/>
      <c r="AP982" s="111"/>
      <c r="AQ982" s="111"/>
      <c r="AR982" s="111"/>
      <c r="AS982" s="111"/>
      <c r="AT982" s="111"/>
      <c r="AU982" s="111"/>
      <c r="AV982" s="111"/>
      <c r="AW982" s="111"/>
      <c r="AX982" s="111"/>
      <c r="AY982" s="111"/>
      <c r="AZ982" s="111"/>
      <c r="BA982" s="111"/>
      <c r="BB982" s="111"/>
      <c r="BC982" s="111"/>
      <c r="BD982" s="111"/>
      <c r="BE982" s="111"/>
      <c r="BF982" s="111"/>
    </row>
    <row r="983" ht="14.25" customHeight="1">
      <c r="A983" s="111"/>
      <c r="B983" s="111"/>
      <c r="C983" s="112"/>
      <c r="D983" s="112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  <c r="AJ983" s="111"/>
      <c r="AK983" s="111"/>
      <c r="AL983" s="111"/>
      <c r="AM983" s="111"/>
      <c r="AN983" s="111"/>
      <c r="AO983" s="111"/>
      <c r="AP983" s="111"/>
      <c r="AQ983" s="111"/>
      <c r="AR983" s="111"/>
      <c r="AS983" s="111"/>
      <c r="AT983" s="111"/>
      <c r="AU983" s="111"/>
      <c r="AV983" s="111"/>
      <c r="AW983" s="111"/>
      <c r="AX983" s="111"/>
      <c r="AY983" s="111"/>
      <c r="AZ983" s="111"/>
      <c r="BA983" s="111"/>
      <c r="BB983" s="111"/>
      <c r="BC983" s="111"/>
      <c r="BD983" s="111"/>
      <c r="BE983" s="111"/>
      <c r="BF983" s="111"/>
    </row>
    <row r="984" ht="14.25" customHeight="1">
      <c r="A984" s="111"/>
      <c r="B984" s="111"/>
      <c r="C984" s="112"/>
      <c r="D984" s="112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  <c r="AJ984" s="111"/>
      <c r="AK984" s="111"/>
      <c r="AL984" s="111"/>
      <c r="AM984" s="111"/>
      <c r="AN984" s="111"/>
      <c r="AO984" s="111"/>
      <c r="AP984" s="111"/>
      <c r="AQ984" s="111"/>
      <c r="AR984" s="111"/>
      <c r="AS984" s="111"/>
      <c r="AT984" s="111"/>
      <c r="AU984" s="111"/>
      <c r="AV984" s="111"/>
      <c r="AW984" s="111"/>
      <c r="AX984" s="111"/>
      <c r="AY984" s="111"/>
      <c r="AZ984" s="111"/>
      <c r="BA984" s="111"/>
      <c r="BB984" s="111"/>
      <c r="BC984" s="111"/>
      <c r="BD984" s="111"/>
      <c r="BE984" s="111"/>
      <c r="BF984" s="111"/>
    </row>
    <row r="985" ht="14.25" customHeight="1">
      <c r="A985" s="111"/>
      <c r="B985" s="111"/>
      <c r="C985" s="112"/>
      <c r="D985" s="112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  <c r="AJ985" s="111"/>
      <c r="AK985" s="111"/>
      <c r="AL985" s="111"/>
      <c r="AM985" s="111"/>
      <c r="AN985" s="111"/>
      <c r="AO985" s="111"/>
      <c r="AP985" s="111"/>
      <c r="AQ985" s="111"/>
      <c r="AR985" s="111"/>
      <c r="AS985" s="111"/>
      <c r="AT985" s="111"/>
      <c r="AU985" s="111"/>
      <c r="AV985" s="111"/>
      <c r="AW985" s="111"/>
      <c r="AX985" s="111"/>
      <c r="AY985" s="111"/>
      <c r="AZ985" s="111"/>
      <c r="BA985" s="111"/>
      <c r="BB985" s="111"/>
      <c r="BC985" s="111"/>
      <c r="BD985" s="111"/>
      <c r="BE985" s="111"/>
      <c r="BF985" s="111"/>
    </row>
    <row r="986" ht="14.25" customHeight="1">
      <c r="A986" s="111"/>
      <c r="B986" s="111"/>
      <c r="C986" s="112"/>
      <c r="D986" s="112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  <c r="AJ986" s="111"/>
      <c r="AK986" s="111"/>
      <c r="AL986" s="111"/>
      <c r="AM986" s="111"/>
      <c r="AN986" s="111"/>
      <c r="AO986" s="111"/>
      <c r="AP986" s="111"/>
      <c r="AQ986" s="111"/>
      <c r="AR986" s="111"/>
      <c r="AS986" s="111"/>
      <c r="AT986" s="111"/>
      <c r="AU986" s="111"/>
      <c r="AV986" s="111"/>
      <c r="AW986" s="111"/>
      <c r="AX986" s="111"/>
      <c r="AY986" s="111"/>
      <c r="AZ986" s="111"/>
      <c r="BA986" s="111"/>
      <c r="BB986" s="111"/>
      <c r="BC986" s="111"/>
      <c r="BD986" s="111"/>
      <c r="BE986" s="111"/>
      <c r="BF986" s="111"/>
    </row>
    <row r="987" ht="14.25" customHeight="1">
      <c r="A987" s="111"/>
      <c r="B987" s="111"/>
      <c r="C987" s="112"/>
      <c r="D987" s="112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  <c r="AJ987" s="111"/>
      <c r="AK987" s="111"/>
      <c r="AL987" s="111"/>
      <c r="AM987" s="111"/>
      <c r="AN987" s="111"/>
      <c r="AO987" s="111"/>
      <c r="AP987" s="111"/>
      <c r="AQ987" s="111"/>
      <c r="AR987" s="111"/>
      <c r="AS987" s="111"/>
      <c r="AT987" s="111"/>
      <c r="AU987" s="111"/>
      <c r="AV987" s="111"/>
      <c r="AW987" s="111"/>
      <c r="AX987" s="111"/>
      <c r="AY987" s="111"/>
      <c r="AZ987" s="111"/>
      <c r="BA987" s="111"/>
      <c r="BB987" s="111"/>
      <c r="BC987" s="111"/>
      <c r="BD987" s="111"/>
      <c r="BE987" s="111"/>
      <c r="BF987" s="111"/>
    </row>
    <row r="988" ht="14.25" customHeight="1">
      <c r="A988" s="111"/>
      <c r="B988" s="111"/>
      <c r="C988" s="112"/>
      <c r="D988" s="112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  <c r="AJ988" s="111"/>
      <c r="AK988" s="111"/>
      <c r="AL988" s="111"/>
      <c r="AM988" s="111"/>
      <c r="AN988" s="111"/>
      <c r="AO988" s="111"/>
      <c r="AP988" s="111"/>
      <c r="AQ988" s="111"/>
      <c r="AR988" s="111"/>
      <c r="AS988" s="111"/>
      <c r="AT988" s="111"/>
      <c r="AU988" s="111"/>
      <c r="AV988" s="111"/>
      <c r="AW988" s="111"/>
      <c r="AX988" s="111"/>
      <c r="AY988" s="111"/>
      <c r="AZ988" s="111"/>
      <c r="BA988" s="111"/>
      <c r="BB988" s="111"/>
      <c r="BC988" s="111"/>
      <c r="BD988" s="111"/>
      <c r="BE988" s="111"/>
      <c r="BF988" s="111"/>
    </row>
    <row r="989" ht="14.25" customHeight="1">
      <c r="A989" s="111"/>
      <c r="B989" s="111"/>
      <c r="C989" s="112"/>
      <c r="D989" s="112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  <c r="AJ989" s="111"/>
      <c r="AK989" s="111"/>
      <c r="AL989" s="111"/>
      <c r="AM989" s="111"/>
      <c r="AN989" s="111"/>
      <c r="AO989" s="111"/>
      <c r="AP989" s="111"/>
      <c r="AQ989" s="111"/>
      <c r="AR989" s="111"/>
      <c r="AS989" s="111"/>
      <c r="AT989" s="111"/>
      <c r="AU989" s="111"/>
      <c r="AV989" s="111"/>
      <c r="AW989" s="111"/>
      <c r="AX989" s="111"/>
      <c r="AY989" s="111"/>
      <c r="AZ989" s="111"/>
      <c r="BA989" s="111"/>
      <c r="BB989" s="111"/>
      <c r="BC989" s="111"/>
      <c r="BD989" s="111"/>
      <c r="BE989" s="111"/>
      <c r="BF989" s="111"/>
    </row>
    <row r="990" ht="14.25" customHeight="1">
      <c r="A990" s="111"/>
      <c r="B990" s="111"/>
      <c r="C990" s="112"/>
      <c r="D990" s="112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  <c r="AJ990" s="111"/>
      <c r="AK990" s="111"/>
      <c r="AL990" s="111"/>
      <c r="AM990" s="111"/>
      <c r="AN990" s="111"/>
      <c r="AO990" s="111"/>
      <c r="AP990" s="111"/>
      <c r="AQ990" s="111"/>
      <c r="AR990" s="111"/>
      <c r="AS990" s="111"/>
      <c r="AT990" s="111"/>
      <c r="AU990" s="111"/>
      <c r="AV990" s="111"/>
      <c r="AW990" s="111"/>
      <c r="AX990" s="111"/>
      <c r="AY990" s="111"/>
      <c r="AZ990" s="111"/>
      <c r="BA990" s="111"/>
      <c r="BB990" s="111"/>
      <c r="BC990" s="111"/>
      <c r="BD990" s="111"/>
      <c r="BE990" s="111"/>
      <c r="BF990" s="111"/>
    </row>
    <row r="991" ht="14.25" customHeight="1">
      <c r="A991" s="111"/>
      <c r="B991" s="111"/>
      <c r="C991" s="112"/>
      <c r="D991" s="112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  <c r="AJ991" s="111"/>
      <c r="AK991" s="111"/>
      <c r="AL991" s="111"/>
      <c r="AM991" s="111"/>
      <c r="AN991" s="111"/>
      <c r="AO991" s="111"/>
      <c r="AP991" s="111"/>
      <c r="AQ991" s="111"/>
      <c r="AR991" s="111"/>
      <c r="AS991" s="111"/>
      <c r="AT991" s="111"/>
      <c r="AU991" s="111"/>
      <c r="AV991" s="111"/>
      <c r="AW991" s="111"/>
      <c r="AX991" s="111"/>
      <c r="AY991" s="111"/>
      <c r="AZ991" s="111"/>
      <c r="BA991" s="111"/>
      <c r="BB991" s="111"/>
      <c r="BC991" s="111"/>
      <c r="BD991" s="111"/>
      <c r="BE991" s="111"/>
      <c r="BF991" s="111"/>
    </row>
    <row r="992" ht="14.25" customHeight="1">
      <c r="A992" s="111"/>
      <c r="B992" s="111"/>
      <c r="C992" s="112"/>
      <c r="D992" s="112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  <c r="AJ992" s="111"/>
      <c r="AK992" s="111"/>
      <c r="AL992" s="111"/>
      <c r="AM992" s="111"/>
      <c r="AN992" s="111"/>
      <c r="AO992" s="111"/>
      <c r="AP992" s="111"/>
      <c r="AQ992" s="111"/>
      <c r="AR992" s="111"/>
      <c r="AS992" s="111"/>
      <c r="AT992" s="111"/>
      <c r="AU992" s="111"/>
      <c r="AV992" s="111"/>
      <c r="AW992" s="111"/>
      <c r="AX992" s="111"/>
      <c r="AY992" s="111"/>
      <c r="AZ992" s="111"/>
      <c r="BA992" s="111"/>
      <c r="BB992" s="111"/>
      <c r="BC992" s="111"/>
      <c r="BD992" s="111"/>
      <c r="BE992" s="111"/>
      <c r="BF992" s="111"/>
    </row>
    <row r="993" ht="14.25" customHeight="1">
      <c r="A993" s="111"/>
      <c r="B993" s="111"/>
      <c r="C993" s="112"/>
      <c r="D993" s="112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  <c r="AJ993" s="111"/>
      <c r="AK993" s="111"/>
      <c r="AL993" s="111"/>
      <c r="AM993" s="111"/>
      <c r="AN993" s="111"/>
      <c r="AO993" s="111"/>
      <c r="AP993" s="111"/>
      <c r="AQ993" s="111"/>
      <c r="AR993" s="111"/>
      <c r="AS993" s="111"/>
      <c r="AT993" s="111"/>
      <c r="AU993" s="111"/>
      <c r="AV993" s="111"/>
      <c r="AW993" s="111"/>
      <c r="AX993" s="111"/>
      <c r="AY993" s="111"/>
      <c r="AZ993" s="111"/>
      <c r="BA993" s="111"/>
      <c r="BB993" s="111"/>
      <c r="BC993" s="111"/>
      <c r="BD993" s="111"/>
      <c r="BE993" s="111"/>
      <c r="BF993" s="111"/>
    </row>
    <row r="994" ht="14.25" customHeight="1">
      <c r="A994" s="111"/>
      <c r="B994" s="111"/>
      <c r="C994" s="112"/>
      <c r="D994" s="112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  <c r="AJ994" s="111"/>
      <c r="AK994" s="111"/>
      <c r="AL994" s="111"/>
      <c r="AM994" s="111"/>
      <c r="AN994" s="111"/>
      <c r="AO994" s="111"/>
      <c r="AP994" s="111"/>
      <c r="AQ994" s="111"/>
      <c r="AR994" s="111"/>
      <c r="AS994" s="111"/>
      <c r="AT994" s="111"/>
      <c r="AU994" s="111"/>
      <c r="AV994" s="111"/>
      <c r="AW994" s="111"/>
      <c r="AX994" s="111"/>
      <c r="AY994" s="111"/>
      <c r="AZ994" s="111"/>
      <c r="BA994" s="111"/>
      <c r="BB994" s="111"/>
      <c r="BC994" s="111"/>
      <c r="BD994" s="111"/>
      <c r="BE994" s="111"/>
      <c r="BF994" s="111"/>
    </row>
    <row r="995" ht="14.25" customHeight="1">
      <c r="A995" s="111"/>
      <c r="B995" s="111"/>
      <c r="C995" s="112"/>
      <c r="D995" s="112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  <c r="AJ995" s="111"/>
      <c r="AK995" s="111"/>
      <c r="AL995" s="111"/>
      <c r="AM995" s="111"/>
      <c r="AN995" s="111"/>
      <c r="AO995" s="111"/>
      <c r="AP995" s="111"/>
      <c r="AQ995" s="111"/>
      <c r="AR995" s="111"/>
      <c r="AS995" s="111"/>
      <c r="AT995" s="111"/>
      <c r="AU995" s="111"/>
      <c r="AV995" s="111"/>
      <c r="AW995" s="111"/>
      <c r="AX995" s="111"/>
      <c r="AY995" s="111"/>
      <c r="AZ995" s="111"/>
      <c r="BA995" s="111"/>
      <c r="BB995" s="111"/>
      <c r="BC995" s="111"/>
      <c r="BD995" s="111"/>
      <c r="BE995" s="111"/>
      <c r="BF995" s="111"/>
    </row>
    <row r="996" ht="14.25" customHeight="1">
      <c r="A996" s="111"/>
      <c r="B996" s="111"/>
      <c r="C996" s="112"/>
      <c r="D996" s="112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  <c r="AJ996" s="111"/>
      <c r="AK996" s="111"/>
      <c r="AL996" s="111"/>
      <c r="AM996" s="111"/>
      <c r="AN996" s="111"/>
      <c r="AO996" s="111"/>
      <c r="AP996" s="111"/>
      <c r="AQ996" s="111"/>
      <c r="AR996" s="111"/>
      <c r="AS996" s="111"/>
      <c r="AT996" s="111"/>
      <c r="AU996" s="111"/>
      <c r="AV996" s="111"/>
      <c r="AW996" s="111"/>
      <c r="AX996" s="111"/>
      <c r="AY996" s="111"/>
      <c r="AZ996" s="111"/>
      <c r="BA996" s="111"/>
      <c r="BB996" s="111"/>
      <c r="BC996" s="111"/>
      <c r="BD996" s="111"/>
      <c r="BE996" s="111"/>
      <c r="BF996" s="111"/>
    </row>
    <row r="997" ht="14.25" customHeight="1">
      <c r="A997" s="111"/>
      <c r="B997" s="111"/>
      <c r="C997" s="112"/>
      <c r="D997" s="112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  <c r="AJ997" s="111"/>
      <c r="AK997" s="111"/>
      <c r="AL997" s="111"/>
      <c r="AM997" s="111"/>
      <c r="AN997" s="111"/>
      <c r="AO997" s="111"/>
      <c r="AP997" s="111"/>
      <c r="AQ997" s="111"/>
      <c r="AR997" s="111"/>
      <c r="AS997" s="111"/>
      <c r="AT997" s="111"/>
      <c r="AU997" s="111"/>
      <c r="AV997" s="111"/>
      <c r="AW997" s="111"/>
      <c r="AX997" s="111"/>
      <c r="AY997" s="111"/>
      <c r="AZ997" s="111"/>
      <c r="BA997" s="111"/>
      <c r="BB997" s="111"/>
      <c r="BC997" s="111"/>
      <c r="BD997" s="111"/>
      <c r="BE997" s="111"/>
      <c r="BF997" s="111"/>
    </row>
    <row r="998" ht="14.25" customHeight="1">
      <c r="A998" s="111"/>
      <c r="B998" s="111"/>
      <c r="C998" s="112"/>
      <c r="D998" s="112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  <c r="AJ998" s="111"/>
      <c r="AK998" s="111"/>
      <c r="AL998" s="111"/>
      <c r="AM998" s="111"/>
      <c r="AN998" s="111"/>
      <c r="AO998" s="111"/>
      <c r="AP998" s="111"/>
      <c r="AQ998" s="111"/>
      <c r="AR998" s="111"/>
      <c r="AS998" s="111"/>
      <c r="AT998" s="111"/>
      <c r="AU998" s="111"/>
      <c r="AV998" s="111"/>
      <c r="AW998" s="111"/>
      <c r="AX998" s="111"/>
      <c r="AY998" s="111"/>
      <c r="AZ998" s="111"/>
      <c r="BA998" s="111"/>
      <c r="BB998" s="111"/>
      <c r="BC998" s="111"/>
      <c r="BD998" s="111"/>
      <c r="BE998" s="111"/>
      <c r="BF998" s="111"/>
    </row>
    <row r="999" ht="14.25" customHeight="1">
      <c r="A999" s="111"/>
      <c r="B999" s="111"/>
      <c r="C999" s="112"/>
      <c r="D999" s="112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  <c r="AJ999" s="111"/>
      <c r="AK999" s="111"/>
      <c r="AL999" s="111"/>
      <c r="AM999" s="111"/>
      <c r="AN999" s="111"/>
      <c r="AO999" s="111"/>
      <c r="AP999" s="111"/>
      <c r="AQ999" s="111"/>
      <c r="AR999" s="111"/>
      <c r="AS999" s="111"/>
      <c r="AT999" s="111"/>
      <c r="AU999" s="111"/>
      <c r="AV999" s="111"/>
      <c r="AW999" s="111"/>
      <c r="AX999" s="111"/>
      <c r="AY999" s="111"/>
      <c r="AZ999" s="111"/>
      <c r="BA999" s="111"/>
      <c r="BB999" s="111"/>
      <c r="BC999" s="111"/>
      <c r="BD999" s="111"/>
      <c r="BE999" s="111"/>
      <c r="BF999" s="111"/>
    </row>
    <row r="1000" ht="14.25" customHeight="1">
      <c r="A1000" s="111"/>
      <c r="B1000" s="111"/>
      <c r="C1000" s="112"/>
      <c r="D1000" s="112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  <c r="AJ1000" s="111"/>
      <c r="AK1000" s="111"/>
      <c r="AL1000" s="111"/>
      <c r="AM1000" s="111"/>
      <c r="AN1000" s="111"/>
      <c r="AO1000" s="111"/>
      <c r="AP1000" s="111"/>
      <c r="AQ1000" s="111"/>
      <c r="AR1000" s="111"/>
      <c r="AS1000" s="111"/>
      <c r="AT1000" s="111"/>
      <c r="AU1000" s="111"/>
      <c r="AV1000" s="111"/>
      <c r="AW1000" s="111"/>
      <c r="AX1000" s="111"/>
      <c r="AY1000" s="111"/>
      <c r="AZ1000" s="111"/>
      <c r="BA1000" s="111"/>
      <c r="BB1000" s="111"/>
      <c r="BC1000" s="111"/>
      <c r="BD1000" s="111"/>
      <c r="BE1000" s="111"/>
      <c r="BF1000" s="111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7.22"/>
    <col customWidth="1" min="2" max="2" width="22.11"/>
    <col customWidth="1" min="3" max="3" width="22.67"/>
    <col customWidth="1" min="4" max="4" width="22.56"/>
    <col customWidth="1" min="5" max="5" width="20.0"/>
    <col customWidth="1" min="6" max="6" width="19.89"/>
    <col customWidth="1" min="7" max="7" width="45.22"/>
    <col customWidth="1" min="8" max="8" width="45.11"/>
    <col customWidth="1" min="9" max="9" width="46.0"/>
    <col customWidth="1" min="10" max="10" width="45.67"/>
    <col customWidth="1" min="11" max="11" width="30.56"/>
    <col customWidth="1" min="12" max="12" width="30.44"/>
    <col customWidth="1" min="13" max="13" width="51.67"/>
    <col customWidth="1" min="14" max="14" width="51.56"/>
    <col customWidth="1" min="15" max="15" width="52.22"/>
    <col customWidth="1" min="16" max="16" width="52.11"/>
    <col customWidth="1" min="17" max="17" width="43.67"/>
    <col customWidth="1" min="18" max="18" width="43.56"/>
    <col customWidth="1" min="19" max="19" width="43.22"/>
    <col customWidth="1" min="20" max="20" width="43.11"/>
    <col customWidth="1" min="21" max="21" width="23.22"/>
    <col customWidth="1" min="22" max="22" width="23.11"/>
    <col customWidth="1" min="23" max="24" width="20.44"/>
    <col customWidth="1" min="25" max="25" width="45.67"/>
    <col customWidth="1" min="26" max="26" width="45.56"/>
    <col customWidth="1" min="27" max="28" width="46.44"/>
    <col customWidth="1" min="29" max="29" width="31.11"/>
    <col customWidth="1" min="30" max="30" width="31.0"/>
    <col customWidth="1" min="31" max="31" width="52.22"/>
    <col customWidth="1" min="32" max="32" width="52.11"/>
    <col customWidth="1" min="33" max="33" width="52.67"/>
    <col customWidth="1" min="34" max="34" width="52.56"/>
    <col customWidth="1" min="35" max="35" width="44.22"/>
    <col customWidth="1" min="36" max="36" width="44.11"/>
    <col customWidth="1" min="37" max="37" width="43.67"/>
    <col customWidth="1" min="38" max="38" width="43.56"/>
  </cols>
  <sheetData>
    <row r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</row>
    <row r="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</row>
    <row r="6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</row>
    <row r="32">
      <c r="A32" s="119">
        <v>1.0</v>
      </c>
      <c r="B32" s="119">
        <v>2.0</v>
      </c>
      <c r="C32" s="119">
        <v>3.0</v>
      </c>
      <c r="D32" s="119">
        <v>4.0</v>
      </c>
      <c r="E32" s="119">
        <v>5.0</v>
      </c>
      <c r="F32" s="119">
        <v>6.0</v>
      </c>
      <c r="G32" s="119">
        <v>7.0</v>
      </c>
      <c r="H32" s="119">
        <v>8.0</v>
      </c>
      <c r="I32" s="119">
        <v>9.0</v>
      </c>
      <c r="J32" s="119">
        <v>10.0</v>
      </c>
      <c r="K32" s="119">
        <v>11.0</v>
      </c>
      <c r="L32" s="119">
        <v>12.0</v>
      </c>
      <c r="M32" s="119">
        <v>13.0</v>
      </c>
      <c r="N32" s="119">
        <v>14.0</v>
      </c>
      <c r="O32" s="119">
        <v>15.0</v>
      </c>
      <c r="P32" s="119">
        <v>16.0</v>
      </c>
      <c r="Q32" s="119">
        <v>17.0</v>
      </c>
      <c r="R32" s="119">
        <v>18.0</v>
      </c>
      <c r="S32" s="119">
        <v>19.0</v>
      </c>
      <c r="T32" s="119">
        <v>20.0</v>
      </c>
      <c r="U32" s="119">
        <v>21.0</v>
      </c>
      <c r="V32" s="119">
        <v>22.0</v>
      </c>
      <c r="W32" s="119">
        <v>23.0</v>
      </c>
      <c r="X32" s="119">
        <v>24.0</v>
      </c>
      <c r="Y32" s="119">
        <v>25.0</v>
      </c>
      <c r="Z32" s="119">
        <v>26.0</v>
      </c>
      <c r="AA32" s="119">
        <v>27.0</v>
      </c>
      <c r="AB32" s="119">
        <v>28.0</v>
      </c>
      <c r="AC32" s="119">
        <v>29.0</v>
      </c>
      <c r="AD32" s="119">
        <v>30.0</v>
      </c>
      <c r="AE32" s="119">
        <v>31.0</v>
      </c>
      <c r="AF32" s="119">
        <v>32.0</v>
      </c>
      <c r="AG32" s="119">
        <v>33.0</v>
      </c>
      <c r="AH32" s="119">
        <v>34.0</v>
      </c>
      <c r="AI32" s="119">
        <v>35.0</v>
      </c>
      <c r="AJ32" s="119">
        <v>36.0</v>
      </c>
      <c r="AK32" s="119">
        <v>37.0</v>
      </c>
      <c r="AL32" s="119">
        <v>38.0</v>
      </c>
    </row>
    <row r="33" ht="27.75" customHeight="1">
      <c r="A33" s="119" t="s">
        <v>136</v>
      </c>
      <c r="B33" s="119" t="s">
        <v>137</v>
      </c>
      <c r="C33" s="119" t="s">
        <v>138</v>
      </c>
      <c r="D33" s="119" t="s">
        <v>139</v>
      </c>
      <c r="E33" s="119" t="s">
        <v>140</v>
      </c>
      <c r="F33" s="119" t="s">
        <v>141</v>
      </c>
      <c r="G33" s="119" t="s">
        <v>142</v>
      </c>
      <c r="H33" s="119" t="s">
        <v>143</v>
      </c>
      <c r="I33" s="119" t="s">
        <v>144</v>
      </c>
      <c r="J33" s="119" t="s">
        <v>145</v>
      </c>
      <c r="K33" s="119" t="s">
        <v>146</v>
      </c>
      <c r="L33" s="119" t="s">
        <v>147</v>
      </c>
      <c r="M33" s="119" t="s">
        <v>148</v>
      </c>
      <c r="N33" s="119" t="s">
        <v>149</v>
      </c>
      <c r="O33" s="119" t="s">
        <v>150</v>
      </c>
      <c r="P33" s="119" t="s">
        <v>151</v>
      </c>
      <c r="Q33" s="119" t="s">
        <v>152</v>
      </c>
      <c r="R33" s="119" t="s">
        <v>153</v>
      </c>
      <c r="S33" s="119" t="s">
        <v>154</v>
      </c>
      <c r="T33" s="119" t="s">
        <v>155</v>
      </c>
      <c r="U33" s="119" t="s">
        <v>156</v>
      </c>
      <c r="V33" s="119" t="s">
        <v>157</v>
      </c>
      <c r="W33" s="119" t="s">
        <v>158</v>
      </c>
      <c r="X33" s="119" t="s">
        <v>159</v>
      </c>
      <c r="Y33" s="119" t="s">
        <v>160</v>
      </c>
      <c r="Z33" s="119" t="s">
        <v>161</v>
      </c>
      <c r="AA33" s="119" t="s">
        <v>162</v>
      </c>
      <c r="AB33" s="119" t="s">
        <v>163</v>
      </c>
      <c r="AC33" s="119" t="s">
        <v>164</v>
      </c>
      <c r="AD33" s="119" t="s">
        <v>165</v>
      </c>
      <c r="AE33" s="119" t="s">
        <v>166</v>
      </c>
      <c r="AF33" s="119" t="s">
        <v>167</v>
      </c>
      <c r="AG33" s="119" t="s">
        <v>168</v>
      </c>
      <c r="AH33" s="119" t="s">
        <v>169</v>
      </c>
      <c r="AI33" s="119" t="s">
        <v>170</v>
      </c>
      <c r="AJ33" s="119" t="s">
        <v>171</v>
      </c>
      <c r="AK33" s="119" t="s">
        <v>172</v>
      </c>
      <c r="AL33" s="119" t="s">
        <v>173</v>
      </c>
    </row>
    <row r="34">
      <c r="A34" s="35">
        <v>6.77410826E8</v>
      </c>
      <c r="B34" s="35" t="s">
        <v>50</v>
      </c>
      <c r="C34" s="35">
        <v>473.0</v>
      </c>
      <c r="D34" s="35">
        <v>0.0</v>
      </c>
      <c r="E34" s="120">
        <v>18340.68</v>
      </c>
      <c r="F34" s="120">
        <v>0.0</v>
      </c>
      <c r="G34" s="35">
        <v>1.15</v>
      </c>
      <c r="H34" s="35">
        <v>0.0</v>
      </c>
      <c r="I34" s="120">
        <v>44.62</v>
      </c>
      <c r="J34" s="120">
        <v>0.0</v>
      </c>
      <c r="K34" s="35">
        <v>255.0</v>
      </c>
      <c r="L34" s="35">
        <v>0.0</v>
      </c>
      <c r="M34" s="120">
        <v>-311.68</v>
      </c>
      <c r="N34" s="120">
        <v>0.0</v>
      </c>
      <c r="O34" s="35">
        <v>-8.0</v>
      </c>
      <c r="P34" s="35">
        <v>0.0</v>
      </c>
      <c r="Q34" s="35">
        <v>-20.0</v>
      </c>
      <c r="R34" s="35">
        <v>0.0</v>
      </c>
      <c r="S34" s="120">
        <v>-782.45</v>
      </c>
      <c r="T34" s="120">
        <v>0.0</v>
      </c>
      <c r="U34" s="35">
        <v>3991.0</v>
      </c>
      <c r="V34" s="35">
        <v>0.0</v>
      </c>
      <c r="W34" s="120">
        <v>154597.61</v>
      </c>
      <c r="X34" s="120">
        <v>0.0</v>
      </c>
      <c r="Y34" s="35">
        <v>0.07</v>
      </c>
      <c r="Z34" s="35">
        <v>0.0</v>
      </c>
      <c r="AA34" s="120">
        <v>2.89</v>
      </c>
      <c r="AB34" s="120">
        <v>0.0</v>
      </c>
      <c r="AC34" s="35">
        <v>11589.0</v>
      </c>
      <c r="AD34" s="35">
        <v>0.0</v>
      </c>
      <c r="AE34" s="120">
        <v>-3107.06</v>
      </c>
      <c r="AF34" s="120">
        <v>0.0</v>
      </c>
      <c r="AG34" s="35">
        <v>-80.0</v>
      </c>
      <c r="AH34" s="35">
        <v>0.0</v>
      </c>
      <c r="AI34" s="35">
        <v>-147.0</v>
      </c>
      <c r="AJ34" s="35">
        <v>0.0</v>
      </c>
      <c r="AK34" s="120">
        <v>-5686.73</v>
      </c>
      <c r="AL34" s="120">
        <v>0.0</v>
      </c>
    </row>
    <row r="35">
      <c r="A35" s="35">
        <v>6.77536463E8</v>
      </c>
      <c r="B35" s="35" t="s">
        <v>51</v>
      </c>
      <c r="C35" s="35">
        <v>268.0</v>
      </c>
      <c r="D35" s="35">
        <v>0.0</v>
      </c>
      <c r="E35" s="120">
        <v>10406.82</v>
      </c>
      <c r="F35" s="120">
        <v>0.0</v>
      </c>
      <c r="G35" s="35">
        <v>1.1</v>
      </c>
      <c r="H35" s="35">
        <v>0.0</v>
      </c>
      <c r="I35" s="120">
        <v>42.65</v>
      </c>
      <c r="J35" s="120">
        <v>0.0</v>
      </c>
      <c r="K35" s="35">
        <v>246.0</v>
      </c>
      <c r="L35" s="35">
        <v>0.0</v>
      </c>
      <c r="M35" s="120">
        <v>-116.88</v>
      </c>
      <c r="N35" s="120">
        <v>0.0</v>
      </c>
      <c r="O35" s="35">
        <v>-3.0</v>
      </c>
      <c r="P35" s="35">
        <v>0.0</v>
      </c>
      <c r="Q35" s="35">
        <v>-7.0</v>
      </c>
      <c r="R35" s="35">
        <v>0.0</v>
      </c>
      <c r="S35" s="120">
        <v>-272.72</v>
      </c>
      <c r="T35" s="120">
        <v>0.0</v>
      </c>
      <c r="U35" s="35">
        <v>2200.0</v>
      </c>
      <c r="V35" s="35">
        <v>0.0</v>
      </c>
      <c r="W35" s="120">
        <v>85139.68</v>
      </c>
      <c r="X35" s="120">
        <v>0.0</v>
      </c>
      <c r="Y35" s="35">
        <v>0.05</v>
      </c>
      <c r="Z35" s="35">
        <v>0.0</v>
      </c>
      <c r="AA35" s="120">
        <v>1.97</v>
      </c>
      <c r="AB35" s="120">
        <v>0.0</v>
      </c>
      <c r="AC35" s="35">
        <v>10842.0</v>
      </c>
      <c r="AD35" s="35">
        <v>0.0</v>
      </c>
      <c r="AE35" s="120">
        <v>-1129.84</v>
      </c>
      <c r="AF35" s="120">
        <v>0.0</v>
      </c>
      <c r="AG35" s="35">
        <v>-29.0</v>
      </c>
      <c r="AH35" s="35">
        <v>0.0</v>
      </c>
      <c r="AI35" s="35">
        <v>-53.0</v>
      </c>
      <c r="AJ35" s="35">
        <v>0.0</v>
      </c>
      <c r="AK35" s="120">
        <v>-2064.88</v>
      </c>
      <c r="AL35" s="120">
        <v>0.0</v>
      </c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7.22"/>
    <col customWidth="1" min="2" max="2" width="23.0"/>
    <col customWidth="1" min="3" max="4" width="24.44"/>
    <col customWidth="1" min="5" max="5" width="25.0"/>
    <col customWidth="1" min="6" max="6" width="24.89"/>
    <col customWidth="1" min="7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119" t="s">
        <v>136</v>
      </c>
      <c r="B21" s="119" t="s">
        <v>174</v>
      </c>
      <c r="C21" s="119" t="s">
        <v>175</v>
      </c>
      <c r="D21" s="119" t="s">
        <v>176</v>
      </c>
      <c r="E21" s="119" t="s">
        <v>177</v>
      </c>
      <c r="F21" s="119" t="s">
        <v>178</v>
      </c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>
      <c r="A22" s="116">
        <v>6.77410826E8</v>
      </c>
      <c r="B22" s="116" t="s">
        <v>50</v>
      </c>
      <c r="C22" s="122">
        <v>539.49</v>
      </c>
      <c r="D22" s="122">
        <v>0.0</v>
      </c>
      <c r="E22" s="122">
        <v>4589.44</v>
      </c>
      <c r="F22" s="122">
        <v>0.0</v>
      </c>
    </row>
    <row r="23">
      <c r="A23" s="116">
        <v>6.77536463E8</v>
      </c>
      <c r="B23" s="116" t="s">
        <v>51</v>
      </c>
      <c r="C23" s="122">
        <v>226.74</v>
      </c>
      <c r="D23" s="122">
        <v>0.0</v>
      </c>
      <c r="E23" s="122">
        <v>2018.0</v>
      </c>
      <c r="F23" s="122">
        <v>0.0</v>
      </c>
    </row>
    <row r="24">
      <c r="A24" s="116">
        <v>6.79250386E8</v>
      </c>
      <c r="B24" s="116" t="s">
        <v>179</v>
      </c>
      <c r="C24" s="116">
        <v>0.0</v>
      </c>
      <c r="D24" s="116">
        <v>0.0</v>
      </c>
      <c r="E24" s="116">
        <v>38.96</v>
      </c>
      <c r="F24" s="116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7.22"/>
    <col customWidth="1" min="3" max="3" width="22.11"/>
    <col customWidth="1" min="4" max="4" width="21.56"/>
    <col customWidth="1" min="5" max="5" width="29.89"/>
    <col customWidth="1" min="6" max="6" width="31.22"/>
    <col customWidth="1" min="7" max="7" width="13.67"/>
    <col customWidth="1" min="8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B21" s="119" t="s">
        <v>136</v>
      </c>
      <c r="C21" s="119" t="s">
        <v>137</v>
      </c>
      <c r="D21" s="119" t="s">
        <v>180</v>
      </c>
      <c r="E21" s="119" t="s">
        <v>181</v>
      </c>
      <c r="F21" s="119" t="s">
        <v>182</v>
      </c>
      <c r="G21" s="123" t="s">
        <v>183</v>
      </c>
    </row>
    <row r="22">
      <c r="B22" s="116">
        <v>6.77410826E8</v>
      </c>
      <c r="C22" s="116" t="s">
        <v>50</v>
      </c>
      <c r="D22" s="116">
        <v>3.0</v>
      </c>
      <c r="E22" s="52">
        <v>0.0</v>
      </c>
      <c r="F22" s="52">
        <v>263.0</v>
      </c>
      <c r="G22" s="52">
        <f t="shared" ref="G22:G25" si="1">F22*D22</f>
        <v>789</v>
      </c>
    </row>
    <row r="23">
      <c r="B23" s="116">
        <v>6.77536463E8</v>
      </c>
      <c r="C23" s="116" t="s">
        <v>51</v>
      </c>
      <c r="D23" s="116">
        <v>3.0</v>
      </c>
      <c r="E23" s="52">
        <v>0.0</v>
      </c>
      <c r="F23" s="52">
        <v>90.0</v>
      </c>
      <c r="G23" s="52">
        <f t="shared" si="1"/>
        <v>270</v>
      </c>
    </row>
    <row r="24">
      <c r="B24" s="116">
        <v>6.79250386E8</v>
      </c>
      <c r="C24" s="116" t="s">
        <v>179</v>
      </c>
      <c r="D24" s="116">
        <v>3.0</v>
      </c>
      <c r="E24" s="116">
        <v>0.0</v>
      </c>
      <c r="F24" s="116">
        <v>48.0</v>
      </c>
      <c r="G24" s="52">
        <f t="shared" si="1"/>
        <v>144</v>
      </c>
    </row>
    <row r="25">
      <c r="B25" s="116">
        <v>6.79250397E8</v>
      </c>
      <c r="C25" s="116" t="s">
        <v>179</v>
      </c>
      <c r="D25" s="116">
        <v>3.0</v>
      </c>
      <c r="E25" s="116">
        <v>0.0</v>
      </c>
      <c r="F25" s="116">
        <v>41.0</v>
      </c>
      <c r="G25" s="52">
        <f t="shared" si="1"/>
        <v>123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7.22"/>
    <col customWidth="1" min="2" max="2" width="22.11"/>
    <col customWidth="1" min="3" max="3" width="15.44"/>
    <col customWidth="1" min="4" max="4" width="18.11"/>
    <col customWidth="1" min="5" max="5" width="13.44"/>
    <col customWidth="1" min="6" max="6" width="22.22"/>
    <col customWidth="1" min="7" max="7" width="15.0"/>
    <col customWidth="1" min="8" max="8" width="20.56"/>
    <col customWidth="1" min="9" max="9" width="27.67"/>
    <col customWidth="1" min="10" max="10" width="13.56"/>
    <col customWidth="1" min="11" max="11" width="14.67"/>
    <col customWidth="1" min="12" max="12" width="25.0"/>
    <col customWidth="1" min="13" max="13" width="22.56"/>
    <col customWidth="1" min="14" max="14" width="14.44"/>
    <col customWidth="1" min="15" max="15" width="13.56"/>
    <col customWidth="1" min="16" max="16" width="10.56"/>
    <col customWidth="1" min="17" max="17" width="18.44"/>
    <col customWidth="1" min="18" max="18" width="22.0"/>
    <col customWidth="1" min="19" max="19" width="21.56"/>
    <col customWidth="1" min="20" max="20" width="13.44"/>
    <col customWidth="1" min="21" max="21" width="13.89"/>
    <col customWidth="1" min="22" max="22" width="22.11"/>
    <col customWidth="1" min="23" max="23" width="14.0"/>
    <col customWidth="1" min="24" max="24" width="26.89"/>
    <col customWidth="1" min="25" max="25" width="25.0"/>
    <col customWidth="1" min="26" max="26" width="41.22"/>
    <col customWidth="1" min="27" max="27" width="25.11"/>
    <col customWidth="1" min="28" max="28" width="16.67"/>
    <col customWidth="1" min="29" max="29" width="14.11"/>
    <col customWidth="1" min="30" max="30" width="10.89"/>
    <col customWidth="1" min="31" max="31" width="16.56"/>
    <col customWidth="1" min="32" max="32" width="18.44"/>
    <col customWidth="1" min="33" max="34" width="18.0"/>
    <col customWidth="1" min="35" max="35" width="17.44"/>
    <col customWidth="1" min="36" max="36" width="24.67"/>
    <col customWidth="1" min="37" max="38" width="24.44"/>
    <col customWidth="1" min="39" max="39" width="23.89"/>
    <col customWidth="1" min="40" max="40" width="28.0"/>
    <col customWidth="1" min="41" max="42" width="27.56"/>
    <col customWidth="1" min="43" max="43" width="27.11"/>
    <col customWidth="1" min="44" max="44" width="24.56"/>
    <col customWidth="1" min="45" max="46" width="32.44"/>
    <col customWidth="1" min="47" max="47" width="29.0"/>
    <col customWidth="1" min="48" max="48" width="32.67"/>
    <col customWidth="1" min="49" max="49" width="28.67"/>
    <col customWidth="1" min="50" max="50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38">
      <c r="A38" s="116" t="s">
        <v>136</v>
      </c>
      <c r="B38" s="116" t="s">
        <v>137</v>
      </c>
      <c r="C38" s="116" t="s">
        <v>184</v>
      </c>
      <c r="D38" s="116" t="s">
        <v>185</v>
      </c>
      <c r="E38" s="116" t="s">
        <v>186</v>
      </c>
      <c r="F38" s="116" t="s">
        <v>187</v>
      </c>
      <c r="G38" s="116" t="s">
        <v>188</v>
      </c>
      <c r="H38" s="116" t="s">
        <v>189</v>
      </c>
      <c r="I38" s="116" t="s">
        <v>190</v>
      </c>
      <c r="J38" s="116" t="s">
        <v>191</v>
      </c>
      <c r="K38" s="116" t="s">
        <v>192</v>
      </c>
      <c r="L38" s="116" t="s">
        <v>193</v>
      </c>
      <c r="M38" s="116" t="s">
        <v>194</v>
      </c>
      <c r="N38" s="116" t="s">
        <v>195</v>
      </c>
      <c r="O38" s="116" t="s">
        <v>196</v>
      </c>
      <c r="P38" s="116" t="s">
        <v>197</v>
      </c>
      <c r="Q38" s="116" t="s">
        <v>198</v>
      </c>
      <c r="R38" s="116" t="s">
        <v>199</v>
      </c>
      <c r="S38" s="116" t="s">
        <v>180</v>
      </c>
      <c r="T38" s="116" t="s">
        <v>200</v>
      </c>
      <c r="U38" s="116" t="s">
        <v>201</v>
      </c>
      <c r="V38" s="116" t="s">
        <v>202</v>
      </c>
      <c r="W38" s="116" t="s">
        <v>203</v>
      </c>
      <c r="X38" s="116" t="s">
        <v>204</v>
      </c>
      <c r="Y38" s="116" t="s">
        <v>205</v>
      </c>
      <c r="Z38" s="116" t="s">
        <v>206</v>
      </c>
      <c r="AA38" s="116" t="s">
        <v>207</v>
      </c>
      <c r="AB38" s="116" t="s">
        <v>208</v>
      </c>
      <c r="AC38" s="116" t="s">
        <v>209</v>
      </c>
      <c r="AD38" s="116" t="s">
        <v>210</v>
      </c>
      <c r="AE38" s="116" t="s">
        <v>211</v>
      </c>
      <c r="AF38" s="116" t="s">
        <v>212</v>
      </c>
      <c r="AG38" s="116" t="s">
        <v>213</v>
      </c>
      <c r="AH38" s="116" t="s">
        <v>214</v>
      </c>
      <c r="AI38" s="116" t="s">
        <v>215</v>
      </c>
      <c r="AJ38" s="116" t="s">
        <v>216</v>
      </c>
      <c r="AK38" s="116" t="s">
        <v>217</v>
      </c>
      <c r="AL38" s="116" t="s">
        <v>218</v>
      </c>
      <c r="AM38" s="116" t="s">
        <v>219</v>
      </c>
      <c r="AN38" s="116" t="s">
        <v>220</v>
      </c>
      <c r="AO38" s="116" t="s">
        <v>221</v>
      </c>
      <c r="AP38" s="116" t="s">
        <v>222</v>
      </c>
      <c r="AQ38" s="116" t="s">
        <v>223</v>
      </c>
      <c r="AR38" s="116" t="s">
        <v>224</v>
      </c>
      <c r="AS38" s="116" t="s">
        <v>225</v>
      </c>
      <c r="AT38" s="116" t="s">
        <v>226</v>
      </c>
      <c r="AU38" s="116" t="s">
        <v>227</v>
      </c>
      <c r="AV38" s="116" t="s">
        <v>228</v>
      </c>
      <c r="AW38" s="116" t="s">
        <v>229</v>
      </c>
      <c r="AX38" s="116" t="s">
        <v>230</v>
      </c>
    </row>
    <row r="39">
      <c r="A39" s="119" t="s">
        <v>136</v>
      </c>
      <c r="B39" s="119" t="s">
        <v>137</v>
      </c>
      <c r="C39" s="119" t="s">
        <v>184</v>
      </c>
      <c r="D39" s="119" t="s">
        <v>185</v>
      </c>
      <c r="E39" s="119" t="s">
        <v>186</v>
      </c>
      <c r="F39" s="119" t="s">
        <v>187</v>
      </c>
      <c r="G39" s="119" t="s">
        <v>188</v>
      </c>
      <c r="H39" s="119" t="s">
        <v>189</v>
      </c>
      <c r="I39" s="119" t="s">
        <v>190</v>
      </c>
      <c r="J39" s="119" t="s">
        <v>191</v>
      </c>
      <c r="K39" s="119" t="s">
        <v>192</v>
      </c>
      <c r="L39" s="119" t="s">
        <v>193</v>
      </c>
      <c r="M39" s="119" t="s">
        <v>194</v>
      </c>
      <c r="N39" s="119" t="s">
        <v>195</v>
      </c>
      <c r="O39" s="119" t="s">
        <v>196</v>
      </c>
      <c r="P39" s="119" t="s">
        <v>197</v>
      </c>
      <c r="Q39" s="119" t="s">
        <v>198</v>
      </c>
      <c r="R39" s="119" t="s">
        <v>199</v>
      </c>
      <c r="S39" s="119" t="s">
        <v>180</v>
      </c>
      <c r="T39" s="119" t="s">
        <v>200</v>
      </c>
      <c r="U39" s="119" t="s">
        <v>201</v>
      </c>
      <c r="V39" s="119" t="s">
        <v>202</v>
      </c>
      <c r="W39" s="119" t="s">
        <v>203</v>
      </c>
      <c r="X39" s="119" t="s">
        <v>204</v>
      </c>
      <c r="Y39" s="119" t="s">
        <v>205</v>
      </c>
      <c r="Z39" s="119" t="s">
        <v>206</v>
      </c>
      <c r="AA39" s="119" t="s">
        <v>207</v>
      </c>
      <c r="AB39" s="119" t="s">
        <v>208</v>
      </c>
      <c r="AC39" s="119" t="s">
        <v>209</v>
      </c>
      <c r="AD39" s="119" t="s">
        <v>210</v>
      </c>
      <c r="AE39" s="119" t="s">
        <v>211</v>
      </c>
      <c r="AF39" s="119" t="s">
        <v>212</v>
      </c>
      <c r="AG39" s="119" t="s">
        <v>213</v>
      </c>
      <c r="AH39" s="119" t="s">
        <v>214</v>
      </c>
      <c r="AI39" s="119" t="s">
        <v>215</v>
      </c>
      <c r="AJ39" s="119" t="s">
        <v>216</v>
      </c>
      <c r="AK39" s="119" t="s">
        <v>217</v>
      </c>
      <c r="AL39" s="119" t="s">
        <v>218</v>
      </c>
      <c r="AM39" s="119" t="s">
        <v>219</v>
      </c>
      <c r="AN39" s="119" t="s">
        <v>220</v>
      </c>
      <c r="AO39" s="119" t="s">
        <v>221</v>
      </c>
      <c r="AP39" s="119" t="s">
        <v>222</v>
      </c>
      <c r="AQ39" s="119" t="s">
        <v>223</v>
      </c>
      <c r="AR39" s="119" t="s">
        <v>134</v>
      </c>
      <c r="AS39" s="119" t="s">
        <v>135</v>
      </c>
      <c r="AT39" s="119" t="s">
        <v>231</v>
      </c>
      <c r="AU39" s="119" t="s">
        <v>232</v>
      </c>
      <c r="AV39" s="119" t="s">
        <v>233</v>
      </c>
      <c r="AW39" s="119" t="s">
        <v>234</v>
      </c>
      <c r="AX39" s="119" t="s">
        <v>235</v>
      </c>
    </row>
    <row r="40">
      <c r="A40" s="116">
        <v>6.77410826E8</v>
      </c>
      <c r="B40" s="116" t="s">
        <v>50</v>
      </c>
      <c r="C40" s="116" t="s">
        <v>61</v>
      </c>
      <c r="D40" s="116">
        <v>8.5007565805E10</v>
      </c>
      <c r="E40" s="124">
        <v>45796.0</v>
      </c>
      <c r="F40" s="124">
        <v>45797.0</v>
      </c>
      <c r="G40" s="122">
        <v>23.38</v>
      </c>
      <c r="H40" s="122">
        <v>38.96</v>
      </c>
      <c r="I40" s="116" t="s">
        <v>236</v>
      </c>
      <c r="J40" s="116">
        <v>20.0</v>
      </c>
      <c r="K40" s="116" t="s">
        <v>237</v>
      </c>
      <c r="L40" s="52">
        <v>1.0</v>
      </c>
      <c r="M40" s="52">
        <v>0.0</v>
      </c>
      <c r="N40" s="116" t="s">
        <v>238</v>
      </c>
      <c r="O40" s="116" t="s">
        <v>239</v>
      </c>
      <c r="P40" s="116" t="s">
        <v>240</v>
      </c>
      <c r="Q40" s="116">
        <v>24.0</v>
      </c>
      <c r="R40" s="122">
        <v>561.12</v>
      </c>
      <c r="S40" s="116">
        <v>3.0</v>
      </c>
      <c r="T40" s="116">
        <v>122289.0</v>
      </c>
      <c r="U40" s="116" t="s">
        <v>241</v>
      </c>
      <c r="V40" s="52">
        <v>0.0</v>
      </c>
      <c r="W40" s="116" t="s">
        <v>242</v>
      </c>
      <c r="X40" s="116">
        <v>2.0</v>
      </c>
      <c r="Y40" s="116" t="s">
        <v>243</v>
      </c>
      <c r="Z40" s="116" t="s">
        <v>244</v>
      </c>
      <c r="AA40" s="116" t="s">
        <v>245</v>
      </c>
      <c r="AB40" s="116" t="s">
        <v>246</v>
      </c>
      <c r="AC40" s="116">
        <v>607.0</v>
      </c>
      <c r="AD40" s="116">
        <v>2.2448832E8</v>
      </c>
      <c r="AE40" s="116">
        <v>0.068</v>
      </c>
      <c r="AF40" s="116">
        <v>0.96</v>
      </c>
      <c r="AG40" s="116">
        <v>9.5</v>
      </c>
      <c r="AH40" s="116">
        <v>3.1</v>
      </c>
      <c r="AI40" s="116">
        <v>4.0</v>
      </c>
      <c r="AJ40" s="116">
        <v>32.1</v>
      </c>
      <c r="AK40" s="116">
        <v>10.83</v>
      </c>
      <c r="AL40" s="116">
        <v>20.55</v>
      </c>
      <c r="AM40" s="116">
        <v>19.49</v>
      </c>
      <c r="AN40" s="116">
        <v>3.7</v>
      </c>
      <c r="AO40" s="116">
        <v>9.84</v>
      </c>
      <c r="AP40" s="116">
        <v>9.84</v>
      </c>
      <c r="AQ40" s="116">
        <v>4.53</v>
      </c>
      <c r="AR40" s="52">
        <v>1472.0</v>
      </c>
      <c r="AS40" s="116">
        <v>0.9871</v>
      </c>
      <c r="AT40" s="52">
        <v>7628.0</v>
      </c>
      <c r="AU40" s="116">
        <v>42.0</v>
      </c>
      <c r="AV40" s="116">
        <v>39.0</v>
      </c>
      <c r="AW40" s="52">
        <v>800.0</v>
      </c>
      <c r="AX40" s="52">
        <v>0.0</v>
      </c>
    </row>
    <row r="41">
      <c r="A41" s="116">
        <v>6.77536463E8</v>
      </c>
      <c r="B41" s="116" t="s">
        <v>51</v>
      </c>
      <c r="C41" s="116" t="s">
        <v>80</v>
      </c>
      <c r="D41" s="116">
        <v>8.5007565801E10</v>
      </c>
      <c r="E41" s="124">
        <v>45803.0</v>
      </c>
      <c r="F41" s="124">
        <v>45804.0</v>
      </c>
      <c r="G41" s="122">
        <v>23.38</v>
      </c>
      <c r="H41" s="122">
        <v>38.96</v>
      </c>
      <c r="I41" s="116" t="s">
        <v>236</v>
      </c>
      <c r="J41" s="116">
        <v>20.0</v>
      </c>
      <c r="K41" s="116" t="s">
        <v>237</v>
      </c>
      <c r="L41" s="52">
        <v>1.0</v>
      </c>
      <c r="M41" s="52">
        <v>0.0</v>
      </c>
      <c r="N41" s="116" t="s">
        <v>238</v>
      </c>
      <c r="O41" s="116" t="s">
        <v>239</v>
      </c>
      <c r="P41" s="116" t="s">
        <v>240</v>
      </c>
      <c r="Q41" s="116">
        <v>24.0</v>
      </c>
      <c r="R41" s="122">
        <v>561.12</v>
      </c>
      <c r="S41" s="116">
        <v>3.0</v>
      </c>
      <c r="T41" s="116">
        <v>122289.0</v>
      </c>
      <c r="U41" s="116" t="s">
        <v>241</v>
      </c>
      <c r="V41" s="52">
        <v>0.0</v>
      </c>
      <c r="W41" s="116" t="s">
        <v>242</v>
      </c>
      <c r="X41" s="116">
        <v>2.0</v>
      </c>
      <c r="Y41" s="116" t="s">
        <v>243</v>
      </c>
      <c r="Z41" s="116" t="s">
        <v>244</v>
      </c>
      <c r="AA41" s="116" t="s">
        <v>245</v>
      </c>
      <c r="AB41" s="116" t="s">
        <v>247</v>
      </c>
      <c r="AC41" s="116">
        <v>431.0</v>
      </c>
      <c r="AD41" s="116">
        <v>2.24537318E8</v>
      </c>
      <c r="AE41" s="116">
        <v>0.054</v>
      </c>
      <c r="AF41" s="116">
        <v>0.9</v>
      </c>
      <c r="AG41" s="116">
        <v>8.4</v>
      </c>
      <c r="AH41" s="116">
        <v>2.8</v>
      </c>
      <c r="AI41" s="116">
        <v>4.0</v>
      </c>
      <c r="AJ41" s="116">
        <v>27.5</v>
      </c>
      <c r="AK41" s="116">
        <v>10.08</v>
      </c>
      <c r="AL41" s="116">
        <v>19.09</v>
      </c>
      <c r="AM41" s="116">
        <v>18.7</v>
      </c>
      <c r="AN41" s="116">
        <v>3.2</v>
      </c>
      <c r="AO41" s="116">
        <v>8.9</v>
      </c>
      <c r="AP41" s="116">
        <v>4.45</v>
      </c>
      <c r="AQ41" s="116">
        <v>9.17</v>
      </c>
      <c r="AR41" s="52">
        <v>1473.0</v>
      </c>
      <c r="AS41" s="116">
        <v>0.9911</v>
      </c>
      <c r="AT41" s="52">
        <v>8810.0</v>
      </c>
      <c r="AU41" s="116">
        <v>51.0</v>
      </c>
      <c r="AV41" s="116">
        <v>54.0</v>
      </c>
      <c r="AW41" s="52">
        <v>261.0</v>
      </c>
      <c r="AX41" s="52">
        <v>0.0</v>
      </c>
    </row>
    <row r="42">
      <c r="A42" s="116">
        <v>6.79250386E8</v>
      </c>
      <c r="B42" s="116" t="s">
        <v>179</v>
      </c>
      <c r="C42" s="116" t="s">
        <v>248</v>
      </c>
      <c r="D42" s="116">
        <v>8.5007565803E10</v>
      </c>
      <c r="E42" s="116">
        <v>45890.0</v>
      </c>
      <c r="F42" s="116">
        <v>45891.0</v>
      </c>
      <c r="G42" s="116">
        <v>23.38</v>
      </c>
      <c r="H42" s="116">
        <v>38.96</v>
      </c>
      <c r="I42" s="116" t="s">
        <v>249</v>
      </c>
      <c r="J42" s="116">
        <v>20.0</v>
      </c>
      <c r="K42" s="116" t="s">
        <v>237</v>
      </c>
      <c r="L42" s="116">
        <v>1.0</v>
      </c>
      <c r="M42" s="116">
        <v>0.0</v>
      </c>
      <c r="N42" s="116" t="s">
        <v>250</v>
      </c>
      <c r="O42" s="116" t="s">
        <v>239</v>
      </c>
      <c r="P42" s="116" t="s">
        <v>251</v>
      </c>
      <c r="Q42" s="116">
        <v>24.0</v>
      </c>
      <c r="R42" s="116">
        <v>561.12</v>
      </c>
      <c r="S42" s="116">
        <v>3.0</v>
      </c>
      <c r="T42" s="116">
        <v>122289.0</v>
      </c>
      <c r="U42" s="116" t="s">
        <v>241</v>
      </c>
      <c r="V42" s="116">
        <v>0.0</v>
      </c>
      <c r="W42" s="116" t="s">
        <v>252</v>
      </c>
      <c r="X42" s="116">
        <v>2.0</v>
      </c>
      <c r="Y42" s="116" t="s">
        <v>243</v>
      </c>
      <c r="Z42" s="116" t="s">
        <v>244</v>
      </c>
      <c r="AA42" s="116" t="s">
        <v>253</v>
      </c>
      <c r="AB42" s="116" t="s">
        <v>254</v>
      </c>
      <c r="AC42" s="116">
        <v>9379.0</v>
      </c>
      <c r="AD42" s="116">
        <v>2.25525458E8</v>
      </c>
      <c r="AE42" s="116">
        <v>0.054</v>
      </c>
      <c r="AF42" s="116">
        <v>0.9</v>
      </c>
      <c r="AG42" s="116">
        <v>8.4</v>
      </c>
      <c r="AH42" s="116">
        <v>2.8</v>
      </c>
      <c r="AI42" s="116">
        <v>4.0</v>
      </c>
      <c r="AJ42" s="116">
        <v>27.5</v>
      </c>
      <c r="AK42" s="116">
        <v>10.1</v>
      </c>
      <c r="AL42" s="116">
        <v>19.1</v>
      </c>
      <c r="AM42" s="116">
        <v>18.7</v>
      </c>
      <c r="AN42" s="116">
        <v>3.2</v>
      </c>
      <c r="AO42" s="116">
        <v>8.9</v>
      </c>
      <c r="AP42" s="116">
        <v>4.5</v>
      </c>
      <c r="AQ42" s="116">
        <v>9.2</v>
      </c>
      <c r="AR42" s="116">
        <v>0.0</v>
      </c>
      <c r="AS42" s="116">
        <v>0.0</v>
      </c>
      <c r="AT42" s="116">
        <v>1.0</v>
      </c>
      <c r="AU42" s="116">
        <v>0.0</v>
      </c>
      <c r="AV42" s="116">
        <v>0.0</v>
      </c>
      <c r="AW42" s="116">
        <v>0.0</v>
      </c>
      <c r="AX42" s="116">
        <v>0.0</v>
      </c>
    </row>
    <row r="43">
      <c r="A43" s="116">
        <v>6.79250397E8</v>
      </c>
      <c r="B43" s="116" t="s">
        <v>179</v>
      </c>
      <c r="C43" s="116" t="s">
        <v>255</v>
      </c>
      <c r="D43" s="116">
        <v>8.5007565821E10</v>
      </c>
      <c r="E43" s="116">
        <v>45890.0</v>
      </c>
      <c r="F43" s="116">
        <v>45891.0</v>
      </c>
      <c r="G43" s="116">
        <v>23.38</v>
      </c>
      <c r="H43" s="116">
        <v>38.96</v>
      </c>
      <c r="I43" s="116" t="s">
        <v>249</v>
      </c>
      <c r="J43" s="116">
        <v>20.0</v>
      </c>
      <c r="K43" s="116" t="s">
        <v>237</v>
      </c>
      <c r="L43" s="116">
        <v>1.0</v>
      </c>
      <c r="M43" s="116">
        <v>0.0</v>
      </c>
      <c r="N43" s="116" t="s">
        <v>256</v>
      </c>
      <c r="O43" s="116" t="s">
        <v>239</v>
      </c>
      <c r="P43" s="116" t="s">
        <v>251</v>
      </c>
      <c r="Q43" s="116">
        <v>24.0</v>
      </c>
      <c r="R43" s="116">
        <v>561.12</v>
      </c>
      <c r="S43" s="116">
        <v>3.0</v>
      </c>
      <c r="T43" s="116">
        <v>122289.0</v>
      </c>
      <c r="U43" s="116" t="s">
        <v>241</v>
      </c>
      <c r="V43" s="116">
        <v>0.0</v>
      </c>
      <c r="W43" s="116" t="s">
        <v>252</v>
      </c>
      <c r="X43" s="116">
        <v>2.0</v>
      </c>
      <c r="Y43" s="116" t="s">
        <v>243</v>
      </c>
      <c r="Z43" s="116" t="s">
        <v>244</v>
      </c>
      <c r="AA43" s="116" t="s">
        <v>245</v>
      </c>
      <c r="AB43" s="116" t="s">
        <v>254</v>
      </c>
      <c r="AC43" s="116">
        <v>9379.0</v>
      </c>
      <c r="AD43" s="116">
        <v>2.2552546E8</v>
      </c>
      <c r="AE43" s="116">
        <v>0.068</v>
      </c>
      <c r="AF43" s="116">
        <v>0.96</v>
      </c>
      <c r="AG43" s="116">
        <v>9.5</v>
      </c>
      <c r="AH43" s="116">
        <v>3.1</v>
      </c>
      <c r="AI43" s="116">
        <v>4.0</v>
      </c>
      <c r="AJ43" s="116">
        <v>32.1</v>
      </c>
      <c r="AK43" s="116">
        <v>10.8</v>
      </c>
      <c r="AL43" s="116">
        <v>20.6</v>
      </c>
      <c r="AM43" s="116">
        <v>19.5</v>
      </c>
      <c r="AN43" s="116">
        <v>3.7</v>
      </c>
      <c r="AO43" s="116">
        <v>9.8</v>
      </c>
      <c r="AP43" s="116">
        <v>9.8</v>
      </c>
      <c r="AQ43" s="116">
        <v>4.5</v>
      </c>
      <c r="AR43" s="116">
        <v>0.0</v>
      </c>
      <c r="AS43" s="116">
        <v>0.0</v>
      </c>
      <c r="AT43" s="116">
        <v>2.0</v>
      </c>
      <c r="AU43" s="116">
        <v>0.0</v>
      </c>
      <c r="AV43" s="116">
        <v>0.0</v>
      </c>
      <c r="AW43" s="116">
        <v>0.0</v>
      </c>
      <c r="AX43" s="116">
        <v>0.0</v>
      </c>
    </row>
  </sheetData>
  <autoFilter ref="$A$39:$AW$41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44"/>
    <col customWidth="1" min="2" max="2" width="11.33"/>
    <col customWidth="1" min="3" max="3" width="10.22"/>
    <col customWidth="1" min="4" max="4" width="8.11"/>
    <col customWidth="1" min="5" max="5" width="12.44"/>
    <col customWidth="1" min="6" max="6" width="11.33"/>
    <col customWidth="1" min="7" max="7" width="8.11"/>
    <col customWidth="1" min="8" max="9" width="12.44"/>
    <col customWidth="1" min="10" max="10" width="8.11"/>
    <col customWidth="1" min="11" max="26" width="8.56"/>
  </cols>
  <sheetData>
    <row r="1">
      <c r="A1" s="125"/>
      <c r="B1" s="126" t="s">
        <v>257</v>
      </c>
      <c r="C1" s="94"/>
      <c r="D1" s="127"/>
      <c r="E1" s="128" t="s">
        <v>258</v>
      </c>
      <c r="F1" s="94"/>
      <c r="G1" s="127"/>
      <c r="H1" s="129" t="s">
        <v>259</v>
      </c>
      <c r="I1" s="94"/>
      <c r="J1" s="95"/>
    </row>
    <row r="2">
      <c r="A2" s="125"/>
      <c r="B2" s="130"/>
      <c r="C2" s="131"/>
      <c r="D2" s="132"/>
      <c r="E2" s="133"/>
      <c r="F2" s="131"/>
      <c r="G2" s="132"/>
      <c r="H2" s="133"/>
      <c r="I2" s="131"/>
      <c r="J2" s="134"/>
    </row>
    <row r="3">
      <c r="A3" s="135"/>
      <c r="B3" s="136" t="s">
        <v>260</v>
      </c>
      <c r="C3" s="136" t="s">
        <v>98</v>
      </c>
      <c r="D3" s="137" t="s">
        <v>261</v>
      </c>
      <c r="E3" s="138" t="s">
        <v>260</v>
      </c>
      <c r="F3" s="138" t="s">
        <v>98</v>
      </c>
      <c r="G3" s="139" t="s">
        <v>261</v>
      </c>
      <c r="H3" s="140" t="s">
        <v>97</v>
      </c>
      <c r="I3" s="140" t="s">
        <v>98</v>
      </c>
      <c r="J3" s="140" t="s">
        <v>261</v>
      </c>
    </row>
    <row r="4">
      <c r="A4" s="141" t="s">
        <v>262</v>
      </c>
      <c r="B4" s="142">
        <v>28747.5</v>
      </c>
      <c r="C4" s="142">
        <v>0.0</v>
      </c>
      <c r="D4" s="143">
        <v>1.0</v>
      </c>
      <c r="E4" s="142">
        <v>119691.77</v>
      </c>
      <c r="F4" s="142">
        <v>0.0</v>
      </c>
      <c r="G4" s="143">
        <v>1.0</v>
      </c>
      <c r="H4" s="142">
        <v>239737.29</v>
      </c>
      <c r="I4" s="142">
        <v>0.0</v>
      </c>
      <c r="J4" s="143">
        <v>1.0</v>
      </c>
    </row>
    <row r="5">
      <c r="A5" s="141" t="s">
        <v>263</v>
      </c>
      <c r="B5" s="144">
        <v>741.0</v>
      </c>
      <c r="C5" s="144">
        <v>0.0</v>
      </c>
      <c r="D5" s="143">
        <v>1.0</v>
      </c>
      <c r="E5" s="145">
        <v>3091.0</v>
      </c>
      <c r="F5" s="144">
        <v>0.0</v>
      </c>
      <c r="G5" s="143">
        <v>1.0</v>
      </c>
      <c r="H5" s="145">
        <v>6191.0</v>
      </c>
      <c r="I5" s="144">
        <v>0.0</v>
      </c>
      <c r="J5" s="143">
        <v>1.0</v>
      </c>
    </row>
    <row r="6">
      <c r="A6" s="141" t="s">
        <v>264</v>
      </c>
      <c r="B6" s="146">
        <v>38.79554655870445</v>
      </c>
      <c r="C6" s="146">
        <v>0.0</v>
      </c>
      <c r="D6" s="143">
        <v>1.0</v>
      </c>
      <c r="E6" s="146">
        <v>38.722669039145906</v>
      </c>
      <c r="F6" s="146">
        <v>0.0</v>
      </c>
      <c r="G6" s="143">
        <v>1.0</v>
      </c>
      <c r="H6" s="146">
        <v>38.7235163947666</v>
      </c>
      <c r="I6" s="146">
        <v>0.0</v>
      </c>
      <c r="J6" s="143">
        <v>1.0</v>
      </c>
    </row>
    <row r="7">
      <c r="A7" s="141" t="s">
        <v>265</v>
      </c>
      <c r="B7" s="142">
        <f>B4-B8</f>
        <v>27389.78</v>
      </c>
      <c r="C7" s="142">
        <v>0.0</v>
      </c>
      <c r="D7" s="143">
        <v>1.0</v>
      </c>
      <c r="E7" s="142">
        <f>E4-E8</f>
        <v>113044.33</v>
      </c>
      <c r="F7" s="142">
        <v>0.0</v>
      </c>
      <c r="G7" s="143">
        <v>1.0</v>
      </c>
      <c r="H7" s="142">
        <f>H4-H8</f>
        <v>231921.05</v>
      </c>
      <c r="I7" s="142">
        <v>0.0</v>
      </c>
      <c r="J7" s="143">
        <v>1.0</v>
      </c>
    </row>
    <row r="8">
      <c r="A8" s="141" t="s">
        <v>266</v>
      </c>
      <c r="B8" s="142">
        <v>1357.7200000000003</v>
      </c>
      <c r="C8" s="142">
        <v>0.0</v>
      </c>
      <c r="D8" s="143">
        <v>0.0</v>
      </c>
      <c r="E8" s="142">
        <v>6647.4400000000005</v>
      </c>
      <c r="F8" s="142">
        <v>0.0</v>
      </c>
      <c r="G8" s="143">
        <v>0.0</v>
      </c>
      <c r="H8" s="142">
        <v>7816.24</v>
      </c>
      <c r="I8" s="142">
        <v>0.0</v>
      </c>
      <c r="J8" s="143">
        <v>0.0</v>
      </c>
    </row>
    <row r="9"/>
    <row r="10"/>
    <row r="11"/>
    <row r="12"/>
    <row r="13"/>
    <row r="14"/>
    <row r="15"/>
    <row r="16"/>
    <row r="17"/>
    <row r="18"/>
    <row r="19"/>
    <row r="20"/>
  </sheetData>
  <mergeCells count="3">
    <mergeCell ref="B1:D2"/>
    <mergeCell ref="E1:G2"/>
    <mergeCell ref="H1:J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9.0"/>
    <col customWidth="1" min="2" max="2" width="89.67"/>
    <col customWidth="1" min="3" max="3" width="14.0"/>
    <col customWidth="1" min="4" max="4" width="14.44"/>
    <col customWidth="1" min="5" max="26" width="8.56"/>
  </cols>
  <sheetData>
    <row r="1">
      <c r="A1" s="147" t="s">
        <v>267</v>
      </c>
      <c r="B1" s="147" t="s">
        <v>268</v>
      </c>
      <c r="C1" s="147" t="s">
        <v>48</v>
      </c>
      <c r="D1" s="147" t="s">
        <v>269</v>
      </c>
    </row>
    <row r="2">
      <c r="A2" s="148" t="s">
        <v>270</v>
      </c>
      <c r="B2" s="149" t="s">
        <v>271</v>
      </c>
      <c r="C2" s="148" t="s">
        <v>272</v>
      </c>
      <c r="D2" s="150">
        <v>0.991</v>
      </c>
    </row>
    <row r="3" ht="28.5" customHeight="1">
      <c r="A3" s="148" t="s">
        <v>273</v>
      </c>
      <c r="B3" s="149" t="s">
        <v>274</v>
      </c>
      <c r="C3" s="148" t="s">
        <v>275</v>
      </c>
      <c r="D3" s="150">
        <v>0.991</v>
      </c>
    </row>
    <row r="4">
      <c r="A4" s="148" t="s">
        <v>276</v>
      </c>
      <c r="B4" s="149" t="s">
        <v>277</v>
      </c>
      <c r="C4" s="148" t="s">
        <v>278</v>
      </c>
      <c r="D4" s="150">
        <v>0.98</v>
      </c>
    </row>
    <row r="5">
      <c r="A5" s="148" t="s">
        <v>279</v>
      </c>
      <c r="B5" s="149" t="s">
        <v>280</v>
      </c>
      <c r="C5" s="148" t="s">
        <v>281</v>
      </c>
      <c r="D5" s="150">
        <v>0.97</v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customSheetViews>
    <customSheetView guid="{E140DE36-FAE0-410E-961A-7CA9FFF7FC5D}" filter="1" showAutoFilter="1">
      <autoFilter ref="$A$1:$D$5"/>
      <extLst>
        <ext uri="GoogleSheetsCustomDataVersion1">
          <go:sheetsCustomData xmlns:go="http://customooxmlschemas.google.com/" filterViewId="1443282238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5.44"/>
    <col customWidth="1" min="2" max="2" width="17.22"/>
    <col customWidth="1" min="3" max="3" width="22.11"/>
    <col customWidth="1" min="4" max="4" width="20.11"/>
    <col customWidth="1" min="5" max="5" width="16.0"/>
    <col customWidth="1" min="6" max="12" width="8.56"/>
    <col customWidth="1" min="13" max="13" width="24.44"/>
    <col customWidth="1" min="14" max="14" width="20.67"/>
    <col customWidth="1" min="15" max="15" width="21.44"/>
    <col customWidth="1" min="16" max="16" width="7.44"/>
    <col customWidth="1" min="17" max="20" width="8.56"/>
    <col customWidth="1" min="21" max="21" width="23.67"/>
    <col customWidth="1" min="22" max="22" width="15.22"/>
    <col customWidth="1" min="23" max="73" width="7.89"/>
    <col customWidth="1" min="74" max="74" width="6.78"/>
    <col customWidth="1" min="75" max="75" width="6.89"/>
    <col customWidth="1" min="76" max="76" width="10.8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 ht="15.0" customHeight="1">
      <c r="A19" s="119" t="s">
        <v>184</v>
      </c>
      <c r="B19" s="119" t="s">
        <v>136</v>
      </c>
      <c r="C19" s="119" t="s">
        <v>282</v>
      </c>
      <c r="D19" s="119" t="s">
        <v>283</v>
      </c>
      <c r="E19" s="119" t="s">
        <v>284</v>
      </c>
      <c r="F19" s="123" t="s">
        <v>285</v>
      </c>
      <c r="V19" s="116">
        <v>2.0</v>
      </c>
      <c r="W19" s="116">
        <v>3.0</v>
      </c>
      <c r="X19" s="116">
        <v>4.0</v>
      </c>
      <c r="Y19" s="116">
        <v>5.0</v>
      </c>
      <c r="Z19" s="116">
        <v>6.0</v>
      </c>
      <c r="AA19" s="116">
        <v>7.0</v>
      </c>
      <c r="AB19" s="116">
        <v>8.0</v>
      </c>
      <c r="AC19" s="116">
        <v>9.0</v>
      </c>
      <c r="AD19" s="116">
        <v>10.0</v>
      </c>
      <c r="AE19" s="116">
        <v>11.0</v>
      </c>
      <c r="AF19" s="116">
        <v>12.0</v>
      </c>
      <c r="AG19" s="116">
        <v>13.0</v>
      </c>
      <c r="AH19" s="116">
        <v>14.0</v>
      </c>
      <c r="AI19" s="116">
        <v>15.0</v>
      </c>
      <c r="AJ19" s="116">
        <v>16.0</v>
      </c>
      <c r="AK19" s="116">
        <v>17.0</v>
      </c>
      <c r="AL19" s="116">
        <v>18.0</v>
      </c>
      <c r="AM19" s="116">
        <v>19.0</v>
      </c>
      <c r="AN19" s="116">
        <v>20.0</v>
      </c>
      <c r="AO19" s="116">
        <v>21.0</v>
      </c>
      <c r="AP19" s="116">
        <v>22.0</v>
      </c>
      <c r="AQ19" s="116">
        <v>23.0</v>
      </c>
      <c r="AR19" s="116">
        <v>24.0</v>
      </c>
      <c r="AS19" s="116">
        <v>25.0</v>
      </c>
      <c r="AT19" s="116">
        <v>26.0</v>
      </c>
      <c r="AU19" s="116">
        <v>27.0</v>
      </c>
      <c r="AV19" s="116">
        <v>28.0</v>
      </c>
      <c r="AW19" s="116">
        <v>29.0</v>
      </c>
      <c r="AX19" s="116">
        <v>30.0</v>
      </c>
      <c r="AY19" s="116">
        <v>31.0</v>
      </c>
      <c r="AZ19" s="116">
        <v>32.0</v>
      </c>
      <c r="BA19" s="116">
        <v>33.0</v>
      </c>
      <c r="BB19" s="116">
        <v>34.0</v>
      </c>
      <c r="BC19" s="116">
        <v>35.0</v>
      </c>
      <c r="BD19" s="116">
        <v>36.0</v>
      </c>
      <c r="BE19" s="116">
        <v>37.0</v>
      </c>
      <c r="BF19" s="116">
        <v>38.0</v>
      </c>
      <c r="BG19" s="116">
        <v>39.0</v>
      </c>
      <c r="BH19" s="116">
        <v>40.0</v>
      </c>
      <c r="BI19" s="116">
        <v>41.0</v>
      </c>
      <c r="BJ19" s="116">
        <v>42.0</v>
      </c>
      <c r="BK19" s="116">
        <v>43.0</v>
      </c>
      <c r="BL19" s="116">
        <v>44.0</v>
      </c>
      <c r="BM19" s="116">
        <v>45.0</v>
      </c>
      <c r="BN19" s="116">
        <v>46.0</v>
      </c>
      <c r="BO19" s="116">
        <v>47.0</v>
      </c>
      <c r="BP19" s="116">
        <v>48.0</v>
      </c>
      <c r="BQ19" s="116">
        <v>49.0</v>
      </c>
      <c r="BR19" s="116">
        <v>50.0</v>
      </c>
      <c r="BS19" s="116">
        <v>51.0</v>
      </c>
      <c r="BT19" s="116">
        <v>52.0</v>
      </c>
      <c r="BU19" s="116">
        <v>53.0</v>
      </c>
      <c r="BV19" s="116">
        <v>54.0</v>
      </c>
      <c r="BW19" s="116">
        <v>55.0</v>
      </c>
      <c r="BX19" s="116">
        <v>56.0</v>
      </c>
    </row>
    <row r="20">
      <c r="A20" s="116" t="s">
        <v>61</v>
      </c>
      <c r="B20" s="116">
        <v>6.77410826E8</v>
      </c>
      <c r="C20" s="116" t="s">
        <v>50</v>
      </c>
      <c r="D20" s="116">
        <v>202629.0</v>
      </c>
      <c r="E20" s="116">
        <v>678.77</v>
      </c>
      <c r="F20" s="116" t="str">
        <f t="shared" ref="F20:F7632" si="1">RIGHT(D20,2)</f>
        <v>29</v>
      </c>
    </row>
    <row r="21">
      <c r="A21" s="116" t="s">
        <v>61</v>
      </c>
      <c r="B21" s="116">
        <v>6.77410826E8</v>
      </c>
      <c r="C21" s="116" t="s">
        <v>50</v>
      </c>
      <c r="D21" s="116">
        <v>202617.0</v>
      </c>
      <c r="E21" s="116">
        <v>620.19</v>
      </c>
      <c r="F21" s="116" t="str">
        <f t="shared" si="1"/>
        <v>17</v>
      </c>
    </row>
    <row r="22">
      <c r="A22" s="116" t="s">
        <v>61</v>
      </c>
      <c r="B22" s="116">
        <v>6.77410826E8</v>
      </c>
      <c r="C22" s="116" t="s">
        <v>50</v>
      </c>
      <c r="D22" s="116">
        <v>202722.0</v>
      </c>
      <c r="E22" s="116">
        <v>651.82</v>
      </c>
      <c r="F22" s="116" t="str">
        <f t="shared" si="1"/>
        <v>22</v>
      </c>
      <c r="BX22" s="153"/>
    </row>
    <row r="23">
      <c r="A23" s="116" t="s">
        <v>61</v>
      </c>
      <c r="B23" s="116">
        <v>6.77410826E8</v>
      </c>
      <c r="C23" s="116" t="s">
        <v>50</v>
      </c>
      <c r="D23" s="116">
        <v>202539.0</v>
      </c>
      <c r="E23" s="116">
        <v>737.0</v>
      </c>
      <c r="F23" s="116" t="str">
        <f t="shared" si="1"/>
        <v>39</v>
      </c>
      <c r="BX23" s="153"/>
    </row>
    <row r="24">
      <c r="A24" s="116" t="s">
        <v>61</v>
      </c>
      <c r="B24" s="116">
        <v>6.77410826E8</v>
      </c>
      <c r="C24" s="116" t="s">
        <v>50</v>
      </c>
      <c r="D24" s="116">
        <v>202704.0</v>
      </c>
      <c r="E24" s="116">
        <v>914.67</v>
      </c>
      <c r="F24" s="116" t="str">
        <f t="shared" si="1"/>
        <v>04</v>
      </c>
      <c r="P24" s="52"/>
      <c r="BX24" s="153"/>
    </row>
    <row r="25">
      <c r="A25" s="116" t="s">
        <v>61</v>
      </c>
      <c r="B25" s="116">
        <v>6.77410826E8</v>
      </c>
      <c r="C25" s="116" t="s">
        <v>50</v>
      </c>
      <c r="D25" s="116">
        <v>202702.0</v>
      </c>
      <c r="E25" s="116">
        <v>666.85</v>
      </c>
      <c r="F25" s="116" t="str">
        <f t="shared" si="1"/>
        <v>02</v>
      </c>
      <c r="BX25" s="153"/>
    </row>
    <row r="26">
      <c r="A26" s="116" t="s">
        <v>61</v>
      </c>
      <c r="B26" s="116">
        <v>6.77410826E8</v>
      </c>
      <c r="C26" s="116" t="s">
        <v>50</v>
      </c>
      <c r="D26" s="116">
        <v>202548.0</v>
      </c>
      <c r="E26" s="116">
        <v>766.33</v>
      </c>
      <c r="F26" s="116" t="str">
        <f t="shared" si="1"/>
        <v>48</v>
      </c>
    </row>
    <row r="27">
      <c r="A27" s="116" t="s">
        <v>61</v>
      </c>
      <c r="B27" s="116">
        <v>6.77410826E8</v>
      </c>
      <c r="C27" s="116" t="s">
        <v>50</v>
      </c>
      <c r="D27" s="116">
        <v>202533.0</v>
      </c>
      <c r="E27" s="116">
        <v>740.07</v>
      </c>
      <c r="F27" s="116" t="str">
        <f t="shared" si="1"/>
        <v>33</v>
      </c>
    </row>
    <row r="28">
      <c r="A28" s="116" t="s">
        <v>61</v>
      </c>
      <c r="B28" s="116">
        <v>6.77410826E8</v>
      </c>
      <c r="C28" s="116" t="s">
        <v>50</v>
      </c>
      <c r="D28" s="116">
        <v>202625.0</v>
      </c>
      <c r="E28" s="116">
        <v>648.6</v>
      </c>
      <c r="F28" s="116" t="str">
        <f t="shared" si="1"/>
        <v>25</v>
      </c>
    </row>
    <row r="29">
      <c r="A29" s="116" t="s">
        <v>61</v>
      </c>
      <c r="B29" s="116">
        <v>6.77410826E8</v>
      </c>
      <c r="C29" s="116" t="s">
        <v>50</v>
      </c>
      <c r="D29" s="116">
        <v>202703.0</v>
      </c>
      <c r="E29" s="116">
        <v>801.92</v>
      </c>
      <c r="F29" s="116" t="str">
        <f t="shared" si="1"/>
        <v>03</v>
      </c>
    </row>
    <row r="30">
      <c r="A30" s="116" t="s">
        <v>61</v>
      </c>
      <c r="B30" s="116">
        <v>6.77410826E8</v>
      </c>
      <c r="C30" s="116" t="s">
        <v>50</v>
      </c>
      <c r="D30" s="116">
        <v>202552.0</v>
      </c>
      <c r="E30" s="116">
        <v>588.3</v>
      </c>
      <c r="F30" s="116" t="str">
        <f t="shared" si="1"/>
        <v>52</v>
      </c>
    </row>
    <row r="31">
      <c r="A31" s="116" t="s">
        <v>61</v>
      </c>
      <c r="B31" s="116">
        <v>6.77410826E8</v>
      </c>
      <c r="C31" s="116" t="s">
        <v>50</v>
      </c>
      <c r="D31" s="116">
        <v>202726.0</v>
      </c>
      <c r="E31" s="116">
        <v>668.51</v>
      </c>
      <c r="F31" s="116" t="str">
        <f t="shared" si="1"/>
        <v>26</v>
      </c>
    </row>
    <row r="32">
      <c r="A32" s="116" t="s">
        <v>61</v>
      </c>
      <c r="B32" s="116">
        <v>6.77410826E8</v>
      </c>
      <c r="C32" s="116" t="s">
        <v>50</v>
      </c>
      <c r="D32" s="116">
        <v>202601.0</v>
      </c>
      <c r="E32" s="116">
        <v>580.77</v>
      </c>
      <c r="F32" s="116" t="str">
        <f t="shared" si="1"/>
        <v>01</v>
      </c>
    </row>
    <row r="33">
      <c r="A33" s="116" t="s">
        <v>61</v>
      </c>
      <c r="B33" s="116">
        <v>6.77410826E8</v>
      </c>
      <c r="C33" s="116" t="s">
        <v>50</v>
      </c>
      <c r="D33" s="116">
        <v>202711.0</v>
      </c>
      <c r="E33" s="116">
        <v>730.64</v>
      </c>
      <c r="F33" s="116" t="str">
        <f t="shared" si="1"/>
        <v>11</v>
      </c>
    </row>
    <row r="34">
      <c r="A34" s="116" t="s">
        <v>61</v>
      </c>
      <c r="B34" s="116">
        <v>6.77410826E8</v>
      </c>
      <c r="C34" s="116" t="s">
        <v>50</v>
      </c>
      <c r="D34" s="116">
        <v>202622.0</v>
      </c>
      <c r="E34" s="116">
        <v>652.28</v>
      </c>
      <c r="F34" s="116" t="str">
        <f t="shared" si="1"/>
        <v>22</v>
      </c>
    </row>
    <row r="35">
      <c r="A35" s="116" t="s">
        <v>61</v>
      </c>
      <c r="B35" s="116">
        <v>6.77410826E8</v>
      </c>
      <c r="C35" s="116" t="s">
        <v>50</v>
      </c>
      <c r="D35" s="116">
        <v>202636.0</v>
      </c>
      <c r="E35" s="116">
        <v>693.34</v>
      </c>
      <c r="F35" s="116" t="str">
        <f t="shared" si="1"/>
        <v>36</v>
      </c>
    </row>
    <row r="36">
      <c r="A36" s="116" t="s">
        <v>61</v>
      </c>
      <c r="B36" s="116">
        <v>6.77410826E8</v>
      </c>
      <c r="C36" s="116" t="s">
        <v>50</v>
      </c>
      <c r="D36" s="116">
        <v>202645.0</v>
      </c>
      <c r="E36" s="116">
        <v>849.93</v>
      </c>
      <c r="F36" s="116" t="str">
        <f t="shared" si="1"/>
        <v>45</v>
      </c>
    </row>
    <row r="37">
      <c r="A37" s="116" t="s">
        <v>61</v>
      </c>
      <c r="B37" s="116">
        <v>6.77410826E8</v>
      </c>
      <c r="C37" s="116" t="s">
        <v>50</v>
      </c>
      <c r="D37" s="116">
        <v>202717.0</v>
      </c>
      <c r="E37" s="116">
        <v>619.93</v>
      </c>
      <c r="F37" s="116" t="str">
        <f t="shared" si="1"/>
        <v>17</v>
      </c>
    </row>
    <row r="38">
      <c r="A38" s="116" t="s">
        <v>61</v>
      </c>
      <c r="B38" s="116">
        <v>6.77410826E8</v>
      </c>
      <c r="C38" s="116" t="s">
        <v>50</v>
      </c>
      <c r="D38" s="116">
        <v>202647.0</v>
      </c>
      <c r="E38" s="116">
        <v>1100.58</v>
      </c>
      <c r="F38" s="116" t="str">
        <f t="shared" si="1"/>
        <v>47</v>
      </c>
    </row>
    <row r="39">
      <c r="A39" s="116" t="s">
        <v>61</v>
      </c>
      <c r="B39" s="116">
        <v>6.77410826E8</v>
      </c>
      <c r="C39" s="116" t="s">
        <v>50</v>
      </c>
      <c r="D39" s="116">
        <v>202637.0</v>
      </c>
      <c r="E39" s="116">
        <v>711.09</v>
      </c>
      <c r="F39" s="116" t="str">
        <f t="shared" si="1"/>
        <v>37</v>
      </c>
    </row>
    <row r="40">
      <c r="A40" s="116" t="s">
        <v>61</v>
      </c>
      <c r="B40" s="116">
        <v>6.77410826E8</v>
      </c>
      <c r="C40" s="116" t="s">
        <v>50</v>
      </c>
      <c r="D40" s="116">
        <v>202642.0</v>
      </c>
      <c r="E40" s="116">
        <v>703.73</v>
      </c>
      <c r="F40" s="116" t="str">
        <f t="shared" si="1"/>
        <v>42</v>
      </c>
    </row>
    <row r="41">
      <c r="A41" s="116" t="s">
        <v>61</v>
      </c>
      <c r="B41" s="116">
        <v>6.77410826E8</v>
      </c>
      <c r="C41" s="116" t="s">
        <v>50</v>
      </c>
      <c r="D41" s="116">
        <v>202720.0</v>
      </c>
      <c r="E41" s="116">
        <v>678.96</v>
      </c>
      <c r="F41" s="116" t="str">
        <f t="shared" si="1"/>
        <v>20</v>
      </c>
    </row>
    <row r="42">
      <c r="A42" s="116" t="s">
        <v>61</v>
      </c>
      <c r="B42" s="116">
        <v>6.77410826E8</v>
      </c>
      <c r="C42" s="116" t="s">
        <v>50</v>
      </c>
      <c r="D42" s="116">
        <v>202602.0</v>
      </c>
      <c r="E42" s="116">
        <v>664.42</v>
      </c>
      <c r="F42" s="116" t="str">
        <f t="shared" si="1"/>
        <v>02</v>
      </c>
    </row>
    <row r="43">
      <c r="A43" s="116" t="s">
        <v>61</v>
      </c>
      <c r="B43" s="116">
        <v>6.77410826E8</v>
      </c>
      <c r="C43" s="116" t="s">
        <v>50</v>
      </c>
      <c r="D43" s="116">
        <v>202618.0</v>
      </c>
      <c r="E43" s="116">
        <v>669.63</v>
      </c>
      <c r="F43" s="116" t="str">
        <f t="shared" si="1"/>
        <v>18</v>
      </c>
    </row>
    <row r="44">
      <c r="A44" s="116" t="s">
        <v>61</v>
      </c>
      <c r="B44" s="116">
        <v>6.77410826E8</v>
      </c>
      <c r="C44" s="116" t="s">
        <v>50</v>
      </c>
      <c r="D44" s="116">
        <v>202650.0</v>
      </c>
      <c r="E44" s="116">
        <v>642.8</v>
      </c>
      <c r="F44" s="116" t="str">
        <f t="shared" si="1"/>
        <v>50</v>
      </c>
    </row>
    <row r="45">
      <c r="A45" s="116" t="s">
        <v>61</v>
      </c>
      <c r="B45" s="116">
        <v>6.77410826E8</v>
      </c>
      <c r="C45" s="116" t="s">
        <v>50</v>
      </c>
      <c r="D45" s="116">
        <v>202538.0</v>
      </c>
      <c r="E45" s="116">
        <v>717.61</v>
      </c>
      <c r="F45" s="116" t="str">
        <f t="shared" si="1"/>
        <v>38</v>
      </c>
    </row>
    <row r="46">
      <c r="A46" s="116" t="s">
        <v>61</v>
      </c>
      <c r="B46" s="116">
        <v>6.77410826E8</v>
      </c>
      <c r="C46" s="116" t="s">
        <v>50</v>
      </c>
      <c r="D46" s="116">
        <v>202640.0</v>
      </c>
      <c r="E46" s="116">
        <v>748.8</v>
      </c>
      <c r="F46" s="116" t="str">
        <f t="shared" si="1"/>
        <v>40</v>
      </c>
      <c r="P46" s="52"/>
    </row>
    <row r="47">
      <c r="A47" s="116" t="s">
        <v>61</v>
      </c>
      <c r="B47" s="116">
        <v>6.77410826E8</v>
      </c>
      <c r="C47" s="116" t="s">
        <v>50</v>
      </c>
      <c r="D47" s="116">
        <v>202705.0</v>
      </c>
      <c r="E47" s="116">
        <v>915.95</v>
      </c>
      <c r="F47" s="116" t="str">
        <f t="shared" si="1"/>
        <v>05</v>
      </c>
      <c r="P47" s="52"/>
    </row>
    <row r="48">
      <c r="A48" s="116" t="s">
        <v>61</v>
      </c>
      <c r="B48" s="116">
        <v>6.77410826E8</v>
      </c>
      <c r="C48" s="116" t="s">
        <v>50</v>
      </c>
      <c r="D48" s="116">
        <v>202708.0</v>
      </c>
      <c r="E48" s="116">
        <v>789.49</v>
      </c>
      <c r="F48" s="116" t="str">
        <f t="shared" si="1"/>
        <v>08</v>
      </c>
      <c r="P48" s="52"/>
    </row>
    <row r="49">
      <c r="A49" s="116" t="s">
        <v>61</v>
      </c>
      <c r="B49" s="116">
        <v>6.77410826E8</v>
      </c>
      <c r="C49" s="116" t="s">
        <v>50</v>
      </c>
      <c r="D49" s="116">
        <v>202543.0</v>
      </c>
      <c r="E49" s="116">
        <v>622.02</v>
      </c>
      <c r="F49" s="116" t="str">
        <f t="shared" si="1"/>
        <v>43</v>
      </c>
      <c r="P49" s="52"/>
    </row>
    <row r="50">
      <c r="A50" s="116" t="s">
        <v>61</v>
      </c>
      <c r="B50" s="116">
        <v>6.77410826E8</v>
      </c>
      <c r="C50" s="116" t="s">
        <v>50</v>
      </c>
      <c r="D50" s="116">
        <v>202632.0</v>
      </c>
      <c r="E50" s="116">
        <v>618.35</v>
      </c>
      <c r="F50" s="116" t="str">
        <f t="shared" si="1"/>
        <v>32</v>
      </c>
      <c r="P50" s="52"/>
    </row>
    <row r="51">
      <c r="A51" s="116" t="s">
        <v>61</v>
      </c>
      <c r="B51" s="116">
        <v>6.77410826E8</v>
      </c>
      <c r="C51" s="116" t="s">
        <v>50</v>
      </c>
      <c r="D51" s="116">
        <v>202709.0</v>
      </c>
      <c r="E51" s="116">
        <v>781.63</v>
      </c>
      <c r="F51" s="116" t="str">
        <f t="shared" si="1"/>
        <v>09</v>
      </c>
      <c r="P51" s="52"/>
    </row>
    <row r="52">
      <c r="A52" s="116" t="s">
        <v>61</v>
      </c>
      <c r="B52" s="116">
        <v>6.77410826E8</v>
      </c>
      <c r="C52" s="116" t="s">
        <v>50</v>
      </c>
      <c r="D52" s="116">
        <v>202713.0</v>
      </c>
      <c r="E52" s="116">
        <v>705.95</v>
      </c>
      <c r="F52" s="116" t="str">
        <f t="shared" si="1"/>
        <v>13</v>
      </c>
      <c r="P52" s="52"/>
    </row>
    <row r="53">
      <c r="A53" s="116" t="s">
        <v>61</v>
      </c>
      <c r="B53" s="116">
        <v>6.77410826E8</v>
      </c>
      <c r="C53" s="116" t="s">
        <v>50</v>
      </c>
      <c r="D53" s="116">
        <v>202643.0</v>
      </c>
      <c r="E53" s="116">
        <v>621.51</v>
      </c>
      <c r="F53" s="116" t="str">
        <f t="shared" si="1"/>
        <v>43</v>
      </c>
      <c r="P53" s="52"/>
    </row>
    <row r="54">
      <c r="A54" s="116" t="s">
        <v>61</v>
      </c>
      <c r="B54" s="116">
        <v>6.77410826E8</v>
      </c>
      <c r="C54" s="116" t="s">
        <v>50</v>
      </c>
      <c r="D54" s="116">
        <v>202715.0</v>
      </c>
      <c r="E54" s="116">
        <v>642.96</v>
      </c>
      <c r="F54" s="116" t="str">
        <f t="shared" si="1"/>
        <v>15</v>
      </c>
      <c r="P54" s="52"/>
    </row>
    <row r="55">
      <c r="A55" s="116" t="s">
        <v>61</v>
      </c>
      <c r="B55" s="116">
        <v>6.77410826E8</v>
      </c>
      <c r="C55" s="116" t="s">
        <v>50</v>
      </c>
      <c r="D55" s="116">
        <v>202719.0</v>
      </c>
      <c r="E55" s="116">
        <v>652.86</v>
      </c>
      <c r="F55" s="116" t="str">
        <f t="shared" si="1"/>
        <v>19</v>
      </c>
      <c r="P55" s="52"/>
    </row>
    <row r="56">
      <c r="A56" s="116" t="s">
        <v>61</v>
      </c>
      <c r="B56" s="116">
        <v>6.77410826E8</v>
      </c>
      <c r="C56" s="116" t="s">
        <v>50</v>
      </c>
      <c r="D56" s="116">
        <v>202649.0</v>
      </c>
      <c r="E56" s="116">
        <v>724.61</v>
      </c>
      <c r="F56" s="116" t="str">
        <f t="shared" si="1"/>
        <v>49</v>
      </c>
      <c r="P56" s="52"/>
    </row>
    <row r="57">
      <c r="A57" s="116" t="s">
        <v>61</v>
      </c>
      <c r="B57" s="116">
        <v>6.77410826E8</v>
      </c>
      <c r="C57" s="116" t="s">
        <v>50</v>
      </c>
      <c r="D57" s="116">
        <v>202537.0</v>
      </c>
      <c r="E57" s="116">
        <v>712.69</v>
      </c>
      <c r="F57" s="116" t="str">
        <f t="shared" si="1"/>
        <v>37</v>
      </c>
      <c r="P57" s="52"/>
    </row>
    <row r="58">
      <c r="A58" s="116" t="s">
        <v>61</v>
      </c>
      <c r="B58" s="116">
        <v>6.77410826E8</v>
      </c>
      <c r="C58" s="116" t="s">
        <v>50</v>
      </c>
      <c r="D58" s="116">
        <v>202549.0</v>
      </c>
      <c r="E58" s="116">
        <v>726.04</v>
      </c>
      <c r="F58" s="116" t="str">
        <f t="shared" si="1"/>
        <v>49</v>
      </c>
      <c r="P58" s="52"/>
    </row>
    <row r="59">
      <c r="A59" s="116" t="s">
        <v>61</v>
      </c>
      <c r="B59" s="116">
        <v>6.77410826E8</v>
      </c>
      <c r="C59" s="116" t="s">
        <v>50</v>
      </c>
      <c r="D59" s="116">
        <v>202701.0</v>
      </c>
      <c r="E59" s="116">
        <v>579.61</v>
      </c>
      <c r="F59" s="116" t="str">
        <f t="shared" si="1"/>
        <v>01</v>
      </c>
      <c r="P59" s="52"/>
    </row>
    <row r="60">
      <c r="A60" s="116" t="s">
        <v>61</v>
      </c>
      <c r="B60" s="116">
        <v>6.77410826E8</v>
      </c>
      <c r="C60" s="116" t="s">
        <v>50</v>
      </c>
      <c r="D60" s="116">
        <v>202547.0</v>
      </c>
      <c r="E60" s="116">
        <v>1102.58</v>
      </c>
      <c r="F60" s="116" t="str">
        <f t="shared" si="1"/>
        <v>47</v>
      </c>
      <c r="P60" s="52"/>
    </row>
    <row r="61">
      <c r="A61" s="116" t="s">
        <v>61</v>
      </c>
      <c r="B61" s="116">
        <v>6.77410826E8</v>
      </c>
      <c r="C61" s="116" t="s">
        <v>50</v>
      </c>
      <c r="D61" s="116">
        <v>202604.0</v>
      </c>
      <c r="E61" s="116">
        <v>913.55</v>
      </c>
      <c r="F61" s="116" t="str">
        <f t="shared" si="1"/>
        <v>04</v>
      </c>
      <c r="P61" s="52"/>
    </row>
    <row r="62">
      <c r="A62" s="116" t="s">
        <v>61</v>
      </c>
      <c r="B62" s="116">
        <v>6.77410826E8</v>
      </c>
      <c r="C62" s="116" t="s">
        <v>50</v>
      </c>
      <c r="D62" s="116">
        <v>202721.0</v>
      </c>
      <c r="E62" s="116">
        <v>678.96</v>
      </c>
      <c r="F62" s="116" t="str">
        <f t="shared" si="1"/>
        <v>21</v>
      </c>
      <c r="P62" s="52"/>
    </row>
    <row r="63">
      <c r="A63" s="116" t="s">
        <v>61</v>
      </c>
      <c r="B63" s="116">
        <v>6.77410826E8</v>
      </c>
      <c r="C63" s="116" t="s">
        <v>50</v>
      </c>
      <c r="D63" s="116">
        <v>202535.0</v>
      </c>
      <c r="E63" s="116">
        <v>769.15</v>
      </c>
      <c r="F63" s="116" t="str">
        <f t="shared" si="1"/>
        <v>35</v>
      </c>
      <c r="P63" s="52"/>
    </row>
    <row r="64">
      <c r="A64" s="116" t="s">
        <v>61</v>
      </c>
      <c r="B64" s="116">
        <v>6.77410826E8</v>
      </c>
      <c r="C64" s="116" t="s">
        <v>50</v>
      </c>
      <c r="D64" s="116">
        <v>202616.0</v>
      </c>
      <c r="E64" s="116">
        <v>639.06</v>
      </c>
      <c r="F64" s="116" t="str">
        <f t="shared" si="1"/>
        <v>16</v>
      </c>
      <c r="P64" s="52"/>
    </row>
    <row r="65">
      <c r="A65" s="116" t="s">
        <v>61</v>
      </c>
      <c r="B65" s="116">
        <v>6.77410826E8</v>
      </c>
      <c r="C65" s="116" t="s">
        <v>50</v>
      </c>
      <c r="D65" s="116">
        <v>202716.0</v>
      </c>
      <c r="E65" s="116">
        <v>638.59</v>
      </c>
      <c r="F65" s="116" t="str">
        <f t="shared" si="1"/>
        <v>16</v>
      </c>
      <c r="P65" s="52"/>
    </row>
    <row r="66">
      <c r="A66" s="116" t="s">
        <v>61</v>
      </c>
      <c r="B66" s="116">
        <v>6.77410826E8</v>
      </c>
      <c r="C66" s="116" t="s">
        <v>50</v>
      </c>
      <c r="D66" s="116">
        <v>202608.0</v>
      </c>
      <c r="E66" s="116">
        <v>789.6</v>
      </c>
      <c r="F66" s="116" t="str">
        <f t="shared" si="1"/>
        <v>08</v>
      </c>
      <c r="P66" s="52"/>
    </row>
    <row r="67">
      <c r="A67" s="116" t="s">
        <v>61</v>
      </c>
      <c r="B67" s="116">
        <v>6.77410826E8</v>
      </c>
      <c r="C67" s="116" t="s">
        <v>50</v>
      </c>
      <c r="D67" s="116">
        <v>202614.0</v>
      </c>
      <c r="E67" s="116">
        <v>657.35</v>
      </c>
      <c r="F67" s="116" t="str">
        <f t="shared" si="1"/>
        <v>14</v>
      </c>
      <c r="P67" s="52"/>
    </row>
    <row r="68">
      <c r="A68" s="116" t="s">
        <v>61</v>
      </c>
      <c r="B68" s="116">
        <v>6.77410826E8</v>
      </c>
      <c r="C68" s="116" t="s">
        <v>50</v>
      </c>
      <c r="D68" s="116">
        <v>202644.0</v>
      </c>
      <c r="E68" s="116">
        <v>771.92</v>
      </c>
      <c r="F68" s="116" t="str">
        <f t="shared" si="1"/>
        <v>44</v>
      </c>
      <c r="P68" s="52"/>
    </row>
    <row r="69">
      <c r="A69" s="116" t="s">
        <v>61</v>
      </c>
      <c r="B69" s="116">
        <v>6.77410826E8</v>
      </c>
      <c r="C69" s="116" t="s">
        <v>50</v>
      </c>
      <c r="D69" s="116">
        <v>202718.0</v>
      </c>
      <c r="E69" s="116">
        <v>669.25</v>
      </c>
      <c r="F69" s="116" t="str">
        <f t="shared" si="1"/>
        <v>18</v>
      </c>
      <c r="P69" s="52"/>
    </row>
    <row r="70">
      <c r="A70" s="116" t="s">
        <v>61</v>
      </c>
      <c r="B70" s="116">
        <v>6.77410826E8</v>
      </c>
      <c r="C70" s="116" t="s">
        <v>50</v>
      </c>
      <c r="D70" s="116">
        <v>202630.0</v>
      </c>
      <c r="E70" s="116">
        <v>678.77</v>
      </c>
      <c r="F70" s="116" t="str">
        <f t="shared" si="1"/>
        <v>30</v>
      </c>
      <c r="P70" s="52"/>
    </row>
    <row r="71">
      <c r="A71" s="116" t="s">
        <v>61</v>
      </c>
      <c r="B71" s="116">
        <v>6.77410826E8</v>
      </c>
      <c r="C71" s="116" t="s">
        <v>50</v>
      </c>
      <c r="D71" s="116">
        <v>202648.0</v>
      </c>
      <c r="E71" s="116">
        <v>765.2</v>
      </c>
      <c r="F71" s="116" t="str">
        <f t="shared" si="1"/>
        <v>48</v>
      </c>
      <c r="P71" s="52"/>
    </row>
    <row r="72">
      <c r="A72" s="116" t="s">
        <v>61</v>
      </c>
      <c r="B72" s="116">
        <v>6.77410826E8</v>
      </c>
      <c r="C72" s="116" t="s">
        <v>50</v>
      </c>
      <c r="D72" s="116">
        <v>202626.0</v>
      </c>
      <c r="E72" s="116">
        <v>669.01</v>
      </c>
      <c r="F72" s="116" t="str">
        <f t="shared" si="1"/>
        <v>26</v>
      </c>
      <c r="P72" s="52"/>
    </row>
    <row r="73">
      <c r="A73" s="116" t="s">
        <v>61</v>
      </c>
      <c r="B73" s="116">
        <v>6.77410826E8</v>
      </c>
      <c r="C73" s="116" t="s">
        <v>50</v>
      </c>
      <c r="D73" s="116">
        <v>202651.0</v>
      </c>
      <c r="E73" s="116">
        <v>520.91</v>
      </c>
      <c r="F73" s="116" t="str">
        <f t="shared" si="1"/>
        <v>51</v>
      </c>
      <c r="P73" s="52"/>
    </row>
    <row r="74">
      <c r="A74" s="116" t="s">
        <v>61</v>
      </c>
      <c r="B74" s="116">
        <v>6.77410826E8</v>
      </c>
      <c r="C74" s="116" t="s">
        <v>50</v>
      </c>
      <c r="D74" s="116">
        <v>202613.0</v>
      </c>
      <c r="E74" s="116">
        <v>705.2</v>
      </c>
      <c r="F74" s="116" t="str">
        <f t="shared" si="1"/>
        <v>13</v>
      </c>
      <c r="P74" s="52"/>
    </row>
    <row r="75">
      <c r="A75" s="116" t="s">
        <v>61</v>
      </c>
      <c r="B75" s="116">
        <v>6.77410826E8</v>
      </c>
      <c r="C75" s="116" t="s">
        <v>50</v>
      </c>
      <c r="D75" s="116">
        <v>202611.0</v>
      </c>
      <c r="E75" s="116">
        <v>729.54</v>
      </c>
      <c r="F75" s="116" t="str">
        <f t="shared" si="1"/>
        <v>11</v>
      </c>
      <c r="P75" s="52"/>
    </row>
    <row r="76">
      <c r="A76" s="116" t="s">
        <v>61</v>
      </c>
      <c r="B76" s="116">
        <v>6.77410826E8</v>
      </c>
      <c r="C76" s="116" t="s">
        <v>50</v>
      </c>
      <c r="D76" s="116">
        <v>202624.0</v>
      </c>
      <c r="E76" s="116">
        <v>650.44</v>
      </c>
      <c r="F76" s="116" t="str">
        <f t="shared" si="1"/>
        <v>24</v>
      </c>
      <c r="P76" s="52"/>
    </row>
    <row r="77">
      <c r="A77" s="116" t="s">
        <v>61</v>
      </c>
      <c r="B77" s="116">
        <v>6.77410826E8</v>
      </c>
      <c r="C77" s="116" t="s">
        <v>50</v>
      </c>
      <c r="D77" s="116">
        <v>202714.0</v>
      </c>
      <c r="E77" s="116">
        <v>657.03</v>
      </c>
      <c r="F77" s="116" t="str">
        <f t="shared" si="1"/>
        <v>14</v>
      </c>
      <c r="P77" s="52"/>
    </row>
    <row r="78">
      <c r="A78" s="116" t="s">
        <v>61</v>
      </c>
      <c r="B78" s="116">
        <v>6.77410826E8</v>
      </c>
      <c r="C78" s="116" t="s">
        <v>50</v>
      </c>
      <c r="D78" s="116">
        <v>202641.0</v>
      </c>
      <c r="E78" s="116">
        <v>752.08</v>
      </c>
      <c r="F78" s="116" t="str">
        <f t="shared" si="1"/>
        <v>41</v>
      </c>
      <c r="P78" s="52"/>
    </row>
    <row r="79">
      <c r="A79" s="116" t="s">
        <v>61</v>
      </c>
      <c r="B79" s="116">
        <v>6.77410826E8</v>
      </c>
      <c r="C79" s="116" t="s">
        <v>50</v>
      </c>
      <c r="D79" s="116">
        <v>202732.0</v>
      </c>
      <c r="E79" s="116">
        <v>730.19</v>
      </c>
      <c r="F79" s="116" t="str">
        <f t="shared" si="1"/>
        <v>32</v>
      </c>
      <c r="P79" s="52"/>
    </row>
    <row r="80">
      <c r="A80" s="116" t="s">
        <v>61</v>
      </c>
      <c r="B80" s="116">
        <v>6.77410826E8</v>
      </c>
      <c r="C80" s="116" t="s">
        <v>50</v>
      </c>
      <c r="D80" s="116">
        <v>202550.0</v>
      </c>
      <c r="E80" s="116">
        <v>644.68</v>
      </c>
      <c r="F80" s="116" t="str">
        <f t="shared" si="1"/>
        <v>50</v>
      </c>
      <c r="P80" s="52"/>
    </row>
    <row r="81">
      <c r="A81" s="116" t="s">
        <v>61</v>
      </c>
      <c r="B81" s="116">
        <v>6.77410826E8</v>
      </c>
      <c r="C81" s="116" t="s">
        <v>50</v>
      </c>
      <c r="D81" s="116">
        <v>202712.0</v>
      </c>
      <c r="E81" s="116">
        <v>685.96</v>
      </c>
      <c r="F81" s="116" t="str">
        <f t="shared" si="1"/>
        <v>12</v>
      </c>
      <c r="P81" s="52"/>
    </row>
    <row r="82">
      <c r="A82" s="116" t="s">
        <v>61</v>
      </c>
      <c r="B82" s="116">
        <v>6.77410826E8</v>
      </c>
      <c r="C82" s="116" t="s">
        <v>50</v>
      </c>
      <c r="D82" s="116">
        <v>202638.0</v>
      </c>
      <c r="E82" s="116">
        <v>716.31</v>
      </c>
      <c r="F82" s="116" t="str">
        <f t="shared" si="1"/>
        <v>38</v>
      </c>
      <c r="P82" s="52"/>
    </row>
    <row r="83">
      <c r="A83" s="116" t="s">
        <v>61</v>
      </c>
      <c r="B83" s="116">
        <v>6.77410826E8</v>
      </c>
      <c r="C83" s="116" t="s">
        <v>50</v>
      </c>
      <c r="D83" s="116">
        <v>202634.0</v>
      </c>
      <c r="E83" s="116">
        <v>695.51</v>
      </c>
      <c r="F83" s="116" t="str">
        <f t="shared" si="1"/>
        <v>34</v>
      </c>
      <c r="P83" s="52"/>
    </row>
    <row r="84">
      <c r="A84" s="116" t="s">
        <v>61</v>
      </c>
      <c r="B84" s="116">
        <v>6.77410826E8</v>
      </c>
      <c r="C84" s="116" t="s">
        <v>50</v>
      </c>
      <c r="D84" s="116">
        <v>202541.0</v>
      </c>
      <c r="E84" s="116">
        <v>752.76</v>
      </c>
      <c r="F84" s="116" t="str">
        <f t="shared" si="1"/>
        <v>41</v>
      </c>
      <c r="P84" s="52"/>
    </row>
    <row r="85">
      <c r="A85" s="116" t="s">
        <v>61</v>
      </c>
      <c r="B85" s="116">
        <v>6.77410826E8</v>
      </c>
      <c r="C85" s="116" t="s">
        <v>50</v>
      </c>
      <c r="D85" s="116">
        <v>202534.0</v>
      </c>
      <c r="E85" s="116">
        <v>700.31</v>
      </c>
      <c r="F85" s="116" t="str">
        <f t="shared" si="1"/>
        <v>34</v>
      </c>
      <c r="P85" s="52"/>
    </row>
    <row r="86">
      <c r="A86" s="116" t="s">
        <v>61</v>
      </c>
      <c r="B86" s="116">
        <v>6.77410826E8</v>
      </c>
      <c r="C86" s="116" t="s">
        <v>50</v>
      </c>
      <c r="D86" s="116">
        <v>202627.0</v>
      </c>
      <c r="E86" s="116">
        <v>665.29</v>
      </c>
      <c r="F86" s="116" t="str">
        <f t="shared" si="1"/>
        <v>27</v>
      </c>
      <c r="P86" s="52"/>
    </row>
    <row r="87">
      <c r="A87" s="116" t="s">
        <v>61</v>
      </c>
      <c r="B87" s="116">
        <v>6.77410826E8</v>
      </c>
      <c r="C87" s="116" t="s">
        <v>50</v>
      </c>
      <c r="D87" s="116">
        <v>202606.0</v>
      </c>
      <c r="E87" s="116">
        <v>812.76</v>
      </c>
      <c r="F87" s="116" t="str">
        <f t="shared" si="1"/>
        <v>06</v>
      </c>
      <c r="P87" s="52"/>
    </row>
    <row r="88">
      <c r="A88" s="116" t="s">
        <v>61</v>
      </c>
      <c r="B88" s="116">
        <v>6.77410826E8</v>
      </c>
      <c r="C88" s="116" t="s">
        <v>50</v>
      </c>
      <c r="D88" s="116">
        <v>202542.0</v>
      </c>
      <c r="E88" s="116">
        <v>704.49</v>
      </c>
      <c r="F88" s="116" t="str">
        <f t="shared" si="1"/>
        <v>42</v>
      </c>
      <c r="P88" s="52"/>
    </row>
    <row r="89">
      <c r="A89" s="116" t="s">
        <v>61</v>
      </c>
      <c r="B89" s="116">
        <v>6.77410826E8</v>
      </c>
      <c r="C89" s="116" t="s">
        <v>50</v>
      </c>
      <c r="D89" s="116">
        <v>202725.0</v>
      </c>
      <c r="E89" s="116">
        <v>648.08</v>
      </c>
      <c r="F89" s="116" t="str">
        <f t="shared" si="1"/>
        <v>25</v>
      </c>
      <c r="P89" s="52"/>
    </row>
    <row r="90">
      <c r="A90" s="116" t="s">
        <v>61</v>
      </c>
      <c r="B90" s="116">
        <v>6.77410826E8</v>
      </c>
      <c r="C90" s="116" t="s">
        <v>50</v>
      </c>
      <c r="D90" s="116">
        <v>202536.0</v>
      </c>
      <c r="E90" s="116">
        <v>697.01</v>
      </c>
      <c r="F90" s="116" t="str">
        <f t="shared" si="1"/>
        <v>36</v>
      </c>
      <c r="P90" s="52"/>
    </row>
    <row r="91">
      <c r="A91" s="116" t="s">
        <v>61</v>
      </c>
      <c r="B91" s="116">
        <v>6.77410826E8</v>
      </c>
      <c r="C91" s="116" t="s">
        <v>50</v>
      </c>
      <c r="D91" s="116">
        <v>202544.0</v>
      </c>
      <c r="E91" s="116">
        <v>771.94</v>
      </c>
      <c r="F91" s="116" t="str">
        <f t="shared" si="1"/>
        <v>44</v>
      </c>
      <c r="P91" s="52"/>
    </row>
    <row r="92">
      <c r="A92" s="116" t="s">
        <v>61</v>
      </c>
      <c r="B92" s="116">
        <v>6.77410826E8</v>
      </c>
      <c r="C92" s="116" t="s">
        <v>50</v>
      </c>
      <c r="D92" s="116">
        <v>202607.0</v>
      </c>
      <c r="E92" s="116">
        <v>802.9</v>
      </c>
      <c r="F92" s="116" t="str">
        <f t="shared" si="1"/>
        <v>07</v>
      </c>
      <c r="P92" s="52"/>
    </row>
    <row r="93">
      <c r="A93" s="116" t="s">
        <v>61</v>
      </c>
      <c r="B93" s="116">
        <v>6.77410826E8</v>
      </c>
      <c r="C93" s="116" t="s">
        <v>50</v>
      </c>
      <c r="D93" s="116">
        <v>202727.0</v>
      </c>
      <c r="E93" s="116">
        <v>665.12</v>
      </c>
      <c r="F93" s="116" t="str">
        <f t="shared" si="1"/>
        <v>27</v>
      </c>
      <c r="P93" s="52"/>
    </row>
    <row r="94">
      <c r="A94" s="116" t="s">
        <v>61</v>
      </c>
      <c r="B94" s="116">
        <v>6.77410826E8</v>
      </c>
      <c r="C94" s="116" t="s">
        <v>50</v>
      </c>
      <c r="D94" s="116">
        <v>202546.0</v>
      </c>
      <c r="E94" s="116">
        <v>1107.21</v>
      </c>
      <c r="F94" s="116" t="str">
        <f t="shared" si="1"/>
        <v>46</v>
      </c>
      <c r="P94" s="52"/>
    </row>
    <row r="95">
      <c r="A95" s="116" t="s">
        <v>61</v>
      </c>
      <c r="B95" s="116">
        <v>6.77410826E8</v>
      </c>
      <c r="C95" s="116" t="s">
        <v>50</v>
      </c>
      <c r="D95" s="116">
        <v>202610.0</v>
      </c>
      <c r="E95" s="116">
        <v>746.44</v>
      </c>
      <c r="F95" s="116" t="str">
        <f t="shared" si="1"/>
        <v>10</v>
      </c>
      <c r="P95" s="52"/>
    </row>
    <row r="96">
      <c r="A96" s="116" t="s">
        <v>61</v>
      </c>
      <c r="B96" s="116">
        <v>6.77410826E8</v>
      </c>
      <c r="C96" s="116" t="s">
        <v>50</v>
      </c>
      <c r="D96" s="116">
        <v>202652.0</v>
      </c>
      <c r="E96" s="116">
        <v>587.43</v>
      </c>
      <c r="F96" s="116" t="str">
        <f t="shared" si="1"/>
        <v>52</v>
      </c>
      <c r="P96" s="52"/>
    </row>
    <row r="97">
      <c r="A97" s="116" t="s">
        <v>61</v>
      </c>
      <c r="B97" s="116">
        <v>6.77410826E8</v>
      </c>
      <c r="C97" s="116" t="s">
        <v>50</v>
      </c>
      <c r="D97" s="116">
        <v>202631.0</v>
      </c>
      <c r="E97" s="116">
        <v>641.64</v>
      </c>
      <c r="F97" s="116" t="str">
        <f t="shared" si="1"/>
        <v>31</v>
      </c>
      <c r="P97" s="52"/>
    </row>
    <row r="98">
      <c r="A98" s="116" t="s">
        <v>61</v>
      </c>
      <c r="B98" s="116">
        <v>6.77410826E8</v>
      </c>
      <c r="C98" s="116" t="s">
        <v>50</v>
      </c>
      <c r="D98" s="116">
        <v>202621.0</v>
      </c>
      <c r="E98" s="116">
        <v>679.65</v>
      </c>
      <c r="F98" s="116" t="str">
        <f t="shared" si="1"/>
        <v>21</v>
      </c>
      <c r="P98" s="52"/>
    </row>
    <row r="99">
      <c r="A99" s="116" t="s">
        <v>61</v>
      </c>
      <c r="B99" s="116">
        <v>6.77410826E8</v>
      </c>
      <c r="C99" s="116" t="s">
        <v>50</v>
      </c>
      <c r="D99" s="116">
        <v>202619.0</v>
      </c>
      <c r="E99" s="116">
        <v>653.4</v>
      </c>
      <c r="F99" s="116" t="str">
        <f t="shared" si="1"/>
        <v>19</v>
      </c>
      <c r="P99" s="52"/>
    </row>
    <row r="100">
      <c r="A100" s="116" t="s">
        <v>61</v>
      </c>
      <c r="B100" s="116">
        <v>6.77410826E8</v>
      </c>
      <c r="C100" s="116" t="s">
        <v>50</v>
      </c>
      <c r="D100" s="116">
        <v>202612.0</v>
      </c>
      <c r="E100" s="116">
        <v>685.46</v>
      </c>
      <c r="F100" s="116" t="str">
        <f t="shared" si="1"/>
        <v>12</v>
      </c>
      <c r="P100" s="52"/>
    </row>
    <row r="101">
      <c r="A101" s="116" t="s">
        <v>61</v>
      </c>
      <c r="B101" s="116">
        <v>6.77410826E8</v>
      </c>
      <c r="C101" s="116" t="s">
        <v>50</v>
      </c>
      <c r="D101" s="116">
        <v>202724.0</v>
      </c>
      <c r="E101" s="116">
        <v>650.18</v>
      </c>
      <c r="F101" s="116" t="str">
        <f t="shared" si="1"/>
        <v>24</v>
      </c>
      <c r="P101" s="52"/>
    </row>
    <row r="102">
      <c r="A102" s="116" t="s">
        <v>61</v>
      </c>
      <c r="B102" s="116">
        <v>6.77410826E8</v>
      </c>
      <c r="C102" s="116" t="s">
        <v>50</v>
      </c>
      <c r="D102" s="116">
        <v>202639.0</v>
      </c>
      <c r="E102" s="116">
        <v>736.25</v>
      </c>
      <c r="F102" s="116" t="str">
        <f t="shared" si="1"/>
        <v>39</v>
      </c>
      <c r="P102" s="52"/>
    </row>
    <row r="103">
      <c r="A103" s="116" t="s">
        <v>61</v>
      </c>
      <c r="B103" s="116">
        <v>6.77410826E8</v>
      </c>
      <c r="C103" s="116" t="s">
        <v>50</v>
      </c>
      <c r="D103" s="116">
        <v>202728.0</v>
      </c>
      <c r="E103" s="116">
        <v>687.31</v>
      </c>
      <c r="F103" s="116" t="str">
        <f t="shared" si="1"/>
        <v>28</v>
      </c>
      <c r="P103" s="52"/>
    </row>
    <row r="104">
      <c r="A104" s="116" t="s">
        <v>61</v>
      </c>
      <c r="B104" s="116">
        <v>6.77410826E8</v>
      </c>
      <c r="C104" s="116" t="s">
        <v>50</v>
      </c>
      <c r="D104" s="116">
        <v>202551.0</v>
      </c>
      <c r="E104" s="116">
        <v>522.61</v>
      </c>
      <c r="F104" s="116" t="str">
        <f t="shared" si="1"/>
        <v>51</v>
      </c>
      <c r="P104" s="52"/>
    </row>
    <row r="105">
      <c r="A105" s="116" t="s">
        <v>61</v>
      </c>
      <c r="B105" s="116">
        <v>6.77410826E8</v>
      </c>
      <c r="C105" s="116" t="s">
        <v>50</v>
      </c>
      <c r="D105" s="116">
        <v>202540.0</v>
      </c>
      <c r="E105" s="116">
        <v>749.44</v>
      </c>
      <c r="F105" s="116" t="str">
        <f t="shared" si="1"/>
        <v>40</v>
      </c>
      <c r="P105" s="52"/>
    </row>
    <row r="106">
      <c r="A106" s="116" t="s">
        <v>61</v>
      </c>
      <c r="B106" s="116">
        <v>6.77410826E8</v>
      </c>
      <c r="C106" s="116" t="s">
        <v>50</v>
      </c>
      <c r="D106" s="116">
        <v>202635.0</v>
      </c>
      <c r="E106" s="116">
        <v>764.4</v>
      </c>
      <c r="F106" s="116" t="str">
        <f t="shared" si="1"/>
        <v>35</v>
      </c>
      <c r="P106" s="52"/>
    </row>
    <row r="107">
      <c r="A107" s="116" t="s">
        <v>61</v>
      </c>
      <c r="B107" s="116">
        <v>6.77410826E8</v>
      </c>
      <c r="C107" s="116" t="s">
        <v>50</v>
      </c>
      <c r="D107" s="116">
        <v>202706.0</v>
      </c>
      <c r="E107" s="116">
        <v>813.15</v>
      </c>
      <c r="F107" s="116" t="str">
        <f t="shared" si="1"/>
        <v>06</v>
      </c>
      <c r="P107" s="52"/>
    </row>
    <row r="108">
      <c r="A108" s="116" t="s">
        <v>61</v>
      </c>
      <c r="B108" s="116">
        <v>6.77410826E8</v>
      </c>
      <c r="C108" s="116" t="s">
        <v>50</v>
      </c>
      <c r="D108" s="116">
        <v>202615.0</v>
      </c>
      <c r="E108" s="116">
        <v>643.26</v>
      </c>
      <c r="F108" s="116" t="str">
        <f t="shared" si="1"/>
        <v>15</v>
      </c>
      <c r="P108" s="52"/>
    </row>
    <row r="109">
      <c r="A109" s="116" t="s">
        <v>61</v>
      </c>
      <c r="B109" s="116">
        <v>6.77410826E8</v>
      </c>
      <c r="C109" s="116" t="s">
        <v>50</v>
      </c>
      <c r="D109" s="116">
        <v>202623.0</v>
      </c>
      <c r="E109" s="116">
        <v>650.07</v>
      </c>
      <c r="F109" s="116" t="str">
        <f t="shared" si="1"/>
        <v>23</v>
      </c>
      <c r="P109" s="52"/>
    </row>
    <row r="110">
      <c r="A110" s="116" t="s">
        <v>61</v>
      </c>
      <c r="B110" s="116">
        <v>6.77410826E8</v>
      </c>
      <c r="C110" s="116" t="s">
        <v>50</v>
      </c>
      <c r="D110" s="116">
        <v>202609.0</v>
      </c>
      <c r="E110" s="116">
        <v>781.29</v>
      </c>
      <c r="F110" s="116" t="str">
        <f t="shared" si="1"/>
        <v>09</v>
      </c>
      <c r="P110" s="52"/>
    </row>
    <row r="111">
      <c r="A111" s="116" t="s">
        <v>61</v>
      </c>
      <c r="B111" s="116">
        <v>6.77410826E8</v>
      </c>
      <c r="C111" s="116" t="s">
        <v>50</v>
      </c>
      <c r="D111" s="116">
        <v>202710.0</v>
      </c>
      <c r="E111" s="116">
        <v>746.41</v>
      </c>
      <c r="F111" s="116" t="str">
        <f t="shared" si="1"/>
        <v>10</v>
      </c>
      <c r="P111" s="52"/>
    </row>
    <row r="112">
      <c r="A112" s="116" t="s">
        <v>61</v>
      </c>
      <c r="B112" s="116">
        <v>6.77410826E8</v>
      </c>
      <c r="C112" s="116" t="s">
        <v>50</v>
      </c>
      <c r="D112" s="116">
        <v>202707.0</v>
      </c>
      <c r="E112" s="116">
        <v>802.75</v>
      </c>
      <c r="F112" s="116" t="str">
        <f t="shared" si="1"/>
        <v>07</v>
      </c>
      <c r="P112" s="52"/>
    </row>
    <row r="113">
      <c r="A113" s="116" t="s">
        <v>61</v>
      </c>
      <c r="B113" s="116">
        <v>6.77410826E8</v>
      </c>
      <c r="C113" s="116" t="s">
        <v>50</v>
      </c>
      <c r="D113" s="116">
        <v>202633.0</v>
      </c>
      <c r="E113" s="116">
        <v>732.65</v>
      </c>
      <c r="F113" s="116" t="str">
        <f t="shared" si="1"/>
        <v>33</v>
      </c>
      <c r="P113" s="52"/>
    </row>
    <row r="114">
      <c r="A114" s="116" t="s">
        <v>61</v>
      </c>
      <c r="B114" s="116">
        <v>6.77410826E8</v>
      </c>
      <c r="C114" s="116" t="s">
        <v>50</v>
      </c>
      <c r="D114" s="116">
        <v>202628.0</v>
      </c>
      <c r="E114" s="116">
        <v>687.55</v>
      </c>
      <c r="F114" s="116" t="str">
        <f t="shared" si="1"/>
        <v>28</v>
      </c>
      <c r="P114" s="52"/>
    </row>
    <row r="115">
      <c r="A115" s="116" t="s">
        <v>61</v>
      </c>
      <c r="B115" s="116">
        <v>6.77410826E8</v>
      </c>
      <c r="C115" s="116" t="s">
        <v>50</v>
      </c>
      <c r="D115" s="116">
        <v>202545.0</v>
      </c>
      <c r="E115" s="116">
        <v>850.21</v>
      </c>
      <c r="F115" s="116" t="str">
        <f t="shared" si="1"/>
        <v>45</v>
      </c>
      <c r="P115" s="52"/>
    </row>
    <row r="116">
      <c r="A116" s="116" t="s">
        <v>61</v>
      </c>
      <c r="B116" s="116">
        <v>6.77410826E8</v>
      </c>
      <c r="C116" s="116" t="s">
        <v>50</v>
      </c>
      <c r="D116" s="116">
        <v>202605.0</v>
      </c>
      <c r="E116" s="116">
        <v>914.4</v>
      </c>
      <c r="F116" s="116" t="str">
        <f t="shared" si="1"/>
        <v>05</v>
      </c>
      <c r="P116" s="52"/>
    </row>
    <row r="117">
      <c r="A117" s="116" t="s">
        <v>61</v>
      </c>
      <c r="B117" s="116">
        <v>6.77410826E8</v>
      </c>
      <c r="C117" s="116" t="s">
        <v>50</v>
      </c>
      <c r="D117" s="116">
        <v>202723.0</v>
      </c>
      <c r="E117" s="116">
        <v>649.82</v>
      </c>
      <c r="F117" s="116" t="str">
        <f t="shared" si="1"/>
        <v>23</v>
      </c>
      <c r="P117" s="52"/>
    </row>
    <row r="118">
      <c r="A118" s="116" t="s">
        <v>61</v>
      </c>
      <c r="B118" s="116">
        <v>6.77410826E8</v>
      </c>
      <c r="C118" s="116" t="s">
        <v>50</v>
      </c>
      <c r="D118" s="116">
        <v>202730.0</v>
      </c>
      <c r="E118" s="116">
        <v>641.21</v>
      </c>
      <c r="F118" s="116" t="str">
        <f t="shared" si="1"/>
        <v>30</v>
      </c>
      <c r="P118" s="52"/>
    </row>
    <row r="119">
      <c r="A119" s="116" t="s">
        <v>61</v>
      </c>
      <c r="B119" s="116">
        <v>6.77410826E8</v>
      </c>
      <c r="C119" s="116" t="s">
        <v>50</v>
      </c>
      <c r="D119" s="116">
        <v>202603.0</v>
      </c>
      <c r="E119" s="116">
        <v>801.73</v>
      </c>
      <c r="F119" s="116" t="str">
        <f t="shared" si="1"/>
        <v>03</v>
      </c>
      <c r="P119" s="52"/>
    </row>
    <row r="120">
      <c r="A120" s="116" t="s">
        <v>61</v>
      </c>
      <c r="B120" s="116">
        <v>6.77410826E8</v>
      </c>
      <c r="C120" s="116" t="s">
        <v>50</v>
      </c>
      <c r="D120" s="116">
        <v>202620.0</v>
      </c>
      <c r="E120" s="116">
        <v>679.65</v>
      </c>
      <c r="F120" s="116" t="str">
        <f t="shared" si="1"/>
        <v>20</v>
      </c>
      <c r="P120" s="52"/>
    </row>
    <row r="121">
      <c r="A121" s="116" t="s">
        <v>61</v>
      </c>
      <c r="B121" s="116">
        <v>6.77410826E8</v>
      </c>
      <c r="C121" s="116" t="s">
        <v>50</v>
      </c>
      <c r="D121" s="116">
        <v>202731.0</v>
      </c>
      <c r="E121" s="116">
        <v>603.47</v>
      </c>
      <c r="F121" s="116" t="str">
        <f t="shared" si="1"/>
        <v>31</v>
      </c>
      <c r="P121" s="52"/>
    </row>
    <row r="122">
      <c r="A122" s="116" t="s">
        <v>61</v>
      </c>
      <c r="B122" s="116">
        <v>6.77410826E8</v>
      </c>
      <c r="C122" s="116" t="s">
        <v>50</v>
      </c>
      <c r="D122" s="116">
        <v>202729.0</v>
      </c>
      <c r="E122" s="116">
        <v>678.07</v>
      </c>
      <c r="F122" s="116" t="str">
        <f t="shared" si="1"/>
        <v>29</v>
      </c>
      <c r="P122" s="52"/>
    </row>
    <row r="123">
      <c r="A123" s="116" t="s">
        <v>61</v>
      </c>
      <c r="B123" s="116">
        <v>6.77410826E8</v>
      </c>
      <c r="C123" s="116" t="s">
        <v>50</v>
      </c>
      <c r="D123" s="116">
        <v>202646.0</v>
      </c>
      <c r="E123" s="116">
        <v>1107.35</v>
      </c>
      <c r="F123" s="116" t="str">
        <f t="shared" si="1"/>
        <v>46</v>
      </c>
      <c r="P123" s="52"/>
    </row>
    <row r="124">
      <c r="A124" s="116" t="s">
        <v>80</v>
      </c>
      <c r="B124" s="116">
        <v>6.77536463E8</v>
      </c>
      <c r="C124" s="116" t="s">
        <v>51</v>
      </c>
      <c r="D124" s="116">
        <v>202622.0</v>
      </c>
      <c r="E124" s="116">
        <v>606.67</v>
      </c>
      <c r="F124" s="116" t="str">
        <f t="shared" si="1"/>
        <v>22</v>
      </c>
      <c r="P124" s="52"/>
    </row>
    <row r="125">
      <c r="A125" s="116" t="s">
        <v>80</v>
      </c>
      <c r="B125" s="116">
        <v>6.77536463E8</v>
      </c>
      <c r="C125" s="116" t="s">
        <v>51</v>
      </c>
      <c r="D125" s="116">
        <v>202719.0</v>
      </c>
      <c r="E125" s="116">
        <v>602.64</v>
      </c>
      <c r="F125" s="116" t="str">
        <f t="shared" si="1"/>
        <v>19</v>
      </c>
      <c r="P125" s="52"/>
    </row>
    <row r="126">
      <c r="A126" s="116" t="s">
        <v>80</v>
      </c>
      <c r="B126" s="116">
        <v>6.77536463E8</v>
      </c>
      <c r="C126" s="116" t="s">
        <v>51</v>
      </c>
      <c r="D126" s="116">
        <v>202627.0</v>
      </c>
      <c r="E126" s="116">
        <v>676.03</v>
      </c>
      <c r="F126" s="116" t="str">
        <f t="shared" si="1"/>
        <v>27</v>
      </c>
      <c r="P126" s="52"/>
    </row>
    <row r="127">
      <c r="A127" s="116" t="s">
        <v>80</v>
      </c>
      <c r="B127" s="116">
        <v>6.77536463E8</v>
      </c>
      <c r="C127" s="116" t="s">
        <v>51</v>
      </c>
      <c r="D127" s="116">
        <v>202608.0</v>
      </c>
      <c r="E127" s="116">
        <v>822.5</v>
      </c>
      <c r="F127" s="116" t="str">
        <f t="shared" si="1"/>
        <v>08</v>
      </c>
      <c r="P127" s="52"/>
    </row>
    <row r="128">
      <c r="A128" s="116" t="s">
        <v>80</v>
      </c>
      <c r="B128" s="116">
        <v>6.77536463E8</v>
      </c>
      <c r="C128" s="116" t="s">
        <v>51</v>
      </c>
      <c r="D128" s="116">
        <v>202647.0</v>
      </c>
      <c r="E128" s="116">
        <v>1265.56</v>
      </c>
      <c r="F128" s="116" t="str">
        <f t="shared" si="1"/>
        <v>47</v>
      </c>
      <c r="P128" s="52"/>
    </row>
    <row r="129">
      <c r="A129" s="116" t="s">
        <v>80</v>
      </c>
      <c r="B129" s="116">
        <v>6.77536463E8</v>
      </c>
      <c r="C129" s="116" t="s">
        <v>51</v>
      </c>
      <c r="D129" s="116">
        <v>202616.0</v>
      </c>
      <c r="E129" s="116">
        <v>583.6</v>
      </c>
      <c r="F129" s="116" t="str">
        <f t="shared" si="1"/>
        <v>16</v>
      </c>
      <c r="P129" s="52"/>
    </row>
    <row r="130">
      <c r="A130" s="116" t="s">
        <v>80</v>
      </c>
      <c r="B130" s="116">
        <v>6.77536463E8</v>
      </c>
      <c r="C130" s="116" t="s">
        <v>51</v>
      </c>
      <c r="D130" s="116">
        <v>202614.0</v>
      </c>
      <c r="E130" s="116">
        <v>634.13</v>
      </c>
      <c r="F130" s="116" t="str">
        <f t="shared" si="1"/>
        <v>14</v>
      </c>
      <c r="P130" s="52"/>
    </row>
    <row r="131">
      <c r="A131" s="116" t="s">
        <v>80</v>
      </c>
      <c r="B131" s="116">
        <v>6.77536463E8</v>
      </c>
      <c r="C131" s="116" t="s">
        <v>51</v>
      </c>
      <c r="D131" s="116">
        <v>202623.0</v>
      </c>
      <c r="E131" s="116">
        <v>607.27</v>
      </c>
      <c r="F131" s="116" t="str">
        <f t="shared" si="1"/>
        <v>23</v>
      </c>
      <c r="P131" s="52"/>
    </row>
    <row r="132">
      <c r="A132" s="116" t="s">
        <v>80</v>
      </c>
      <c r="B132" s="116">
        <v>6.77536463E8</v>
      </c>
      <c r="C132" s="116" t="s">
        <v>51</v>
      </c>
      <c r="D132" s="116">
        <v>202728.0</v>
      </c>
      <c r="E132" s="116">
        <v>740.61</v>
      </c>
      <c r="F132" s="116" t="str">
        <f t="shared" si="1"/>
        <v>28</v>
      </c>
      <c r="P132" s="52"/>
    </row>
    <row r="133">
      <c r="A133" s="116" t="s">
        <v>80</v>
      </c>
      <c r="B133" s="116">
        <v>6.77536463E8</v>
      </c>
      <c r="C133" s="116" t="s">
        <v>51</v>
      </c>
      <c r="D133" s="116">
        <v>202546.0</v>
      </c>
      <c r="E133" s="116">
        <v>1231.73</v>
      </c>
      <c r="F133" s="116" t="str">
        <f t="shared" si="1"/>
        <v>46</v>
      </c>
      <c r="P133" s="52"/>
    </row>
    <row r="134">
      <c r="A134" s="116" t="s">
        <v>80</v>
      </c>
      <c r="B134" s="116">
        <v>6.77536463E8</v>
      </c>
      <c r="C134" s="116" t="s">
        <v>51</v>
      </c>
      <c r="D134" s="116">
        <v>202714.0</v>
      </c>
      <c r="E134" s="116">
        <v>633.63</v>
      </c>
      <c r="F134" s="116" t="str">
        <f t="shared" si="1"/>
        <v>14</v>
      </c>
      <c r="P134" s="52"/>
    </row>
    <row r="135">
      <c r="A135" s="116" t="s">
        <v>80</v>
      </c>
      <c r="B135" s="116">
        <v>6.77536463E8</v>
      </c>
      <c r="C135" s="116" t="s">
        <v>51</v>
      </c>
      <c r="D135" s="116">
        <v>202703.0</v>
      </c>
      <c r="E135" s="116">
        <v>730.93</v>
      </c>
      <c r="F135" s="116" t="str">
        <f t="shared" si="1"/>
        <v>03</v>
      </c>
      <c r="P135" s="52"/>
    </row>
    <row r="136">
      <c r="A136" s="116" t="s">
        <v>80</v>
      </c>
      <c r="B136" s="116">
        <v>6.77536463E8</v>
      </c>
      <c r="C136" s="116" t="s">
        <v>51</v>
      </c>
      <c r="D136" s="116">
        <v>202705.0</v>
      </c>
      <c r="E136" s="116">
        <v>876.48</v>
      </c>
      <c r="F136" s="116" t="str">
        <f t="shared" si="1"/>
        <v>05</v>
      </c>
      <c r="P136" s="52"/>
    </row>
    <row r="137">
      <c r="A137" s="116" t="s">
        <v>80</v>
      </c>
      <c r="B137" s="116">
        <v>6.77536463E8</v>
      </c>
      <c r="C137" s="116" t="s">
        <v>51</v>
      </c>
      <c r="D137" s="116">
        <v>202618.0</v>
      </c>
      <c r="E137" s="116">
        <v>589.4</v>
      </c>
      <c r="F137" s="116" t="str">
        <f t="shared" si="1"/>
        <v>18</v>
      </c>
      <c r="P137" s="52"/>
    </row>
    <row r="138">
      <c r="A138" s="116" t="s">
        <v>80</v>
      </c>
      <c r="B138" s="116">
        <v>6.77536463E8</v>
      </c>
      <c r="C138" s="116" t="s">
        <v>51</v>
      </c>
      <c r="D138" s="116">
        <v>202649.0</v>
      </c>
      <c r="E138" s="116">
        <v>686.02</v>
      </c>
      <c r="F138" s="116" t="str">
        <f t="shared" si="1"/>
        <v>49</v>
      </c>
      <c r="P138" s="52"/>
    </row>
    <row r="139">
      <c r="A139" s="116" t="s">
        <v>80</v>
      </c>
      <c r="B139" s="116">
        <v>6.77536463E8</v>
      </c>
      <c r="C139" s="116" t="s">
        <v>51</v>
      </c>
      <c r="D139" s="116">
        <v>202620.0</v>
      </c>
      <c r="E139" s="116">
        <v>624.25</v>
      </c>
      <c r="F139" s="116" t="str">
        <f t="shared" si="1"/>
        <v>20</v>
      </c>
      <c r="P139" s="52"/>
    </row>
    <row r="140">
      <c r="A140" s="116" t="s">
        <v>80</v>
      </c>
      <c r="B140" s="116">
        <v>6.77536463E8</v>
      </c>
      <c r="C140" s="116" t="s">
        <v>51</v>
      </c>
      <c r="D140" s="116">
        <v>202539.0</v>
      </c>
      <c r="E140" s="116">
        <v>787.75</v>
      </c>
      <c r="F140" s="116" t="str">
        <f t="shared" si="1"/>
        <v>39</v>
      </c>
      <c r="P140" s="52"/>
    </row>
    <row r="141">
      <c r="A141" s="116" t="s">
        <v>80</v>
      </c>
      <c r="B141" s="116">
        <v>6.77536463E8</v>
      </c>
      <c r="C141" s="116" t="s">
        <v>51</v>
      </c>
      <c r="D141" s="116">
        <v>202642.0</v>
      </c>
      <c r="E141" s="116">
        <v>728.72</v>
      </c>
      <c r="F141" s="116" t="str">
        <f t="shared" si="1"/>
        <v>42</v>
      </c>
      <c r="P141" s="52"/>
    </row>
    <row r="142">
      <c r="A142" s="116" t="s">
        <v>80</v>
      </c>
      <c r="B142" s="116">
        <v>6.77536463E8</v>
      </c>
      <c r="C142" s="116" t="s">
        <v>51</v>
      </c>
      <c r="D142" s="116">
        <v>202721.0</v>
      </c>
      <c r="E142" s="116">
        <v>623.54</v>
      </c>
      <c r="F142" s="116" t="str">
        <f t="shared" si="1"/>
        <v>21</v>
      </c>
      <c r="P142" s="52"/>
    </row>
    <row r="143">
      <c r="A143" s="116" t="s">
        <v>80</v>
      </c>
      <c r="B143" s="116">
        <v>6.77536463E8</v>
      </c>
      <c r="C143" s="116" t="s">
        <v>51</v>
      </c>
      <c r="D143" s="116">
        <v>202610.0</v>
      </c>
      <c r="E143" s="116">
        <v>754.93</v>
      </c>
      <c r="F143" s="116" t="str">
        <f t="shared" si="1"/>
        <v>10</v>
      </c>
      <c r="P143" s="52"/>
    </row>
    <row r="144">
      <c r="A144" s="116" t="s">
        <v>80</v>
      </c>
      <c r="B144" s="116">
        <v>6.77536463E8</v>
      </c>
      <c r="C144" s="116" t="s">
        <v>51</v>
      </c>
      <c r="D144" s="116">
        <v>202638.0</v>
      </c>
      <c r="E144" s="116">
        <v>727.94</v>
      </c>
      <c r="F144" s="116" t="str">
        <f t="shared" si="1"/>
        <v>38</v>
      </c>
      <c r="P144" s="52"/>
    </row>
    <row r="145">
      <c r="A145" s="116" t="s">
        <v>80</v>
      </c>
      <c r="B145" s="116">
        <v>6.77536463E8</v>
      </c>
      <c r="C145" s="116" t="s">
        <v>51</v>
      </c>
      <c r="D145" s="116">
        <v>202706.0</v>
      </c>
      <c r="E145" s="116">
        <v>812.8</v>
      </c>
      <c r="F145" s="116" t="str">
        <f t="shared" si="1"/>
        <v>06</v>
      </c>
      <c r="P145" s="52"/>
    </row>
    <row r="146">
      <c r="A146" s="116" t="s">
        <v>80</v>
      </c>
      <c r="B146" s="116">
        <v>6.77536463E8</v>
      </c>
      <c r="C146" s="116" t="s">
        <v>51</v>
      </c>
      <c r="D146" s="116">
        <v>202542.0</v>
      </c>
      <c r="E146" s="116">
        <v>730.58</v>
      </c>
      <c r="F146" s="116" t="str">
        <f t="shared" si="1"/>
        <v>42</v>
      </c>
      <c r="P146" s="52"/>
    </row>
    <row r="147">
      <c r="A147" s="116" t="s">
        <v>80</v>
      </c>
      <c r="B147" s="116">
        <v>6.77536463E8</v>
      </c>
      <c r="C147" s="116" t="s">
        <v>51</v>
      </c>
      <c r="D147" s="116">
        <v>202607.0</v>
      </c>
      <c r="E147" s="116">
        <v>818.06</v>
      </c>
      <c r="F147" s="116" t="str">
        <f t="shared" si="1"/>
        <v>07</v>
      </c>
      <c r="P147" s="52"/>
    </row>
    <row r="148">
      <c r="A148" s="116" t="s">
        <v>80</v>
      </c>
      <c r="B148" s="116">
        <v>6.77536463E8</v>
      </c>
      <c r="C148" s="116" t="s">
        <v>51</v>
      </c>
      <c r="D148" s="116">
        <v>202634.0</v>
      </c>
      <c r="E148" s="116">
        <v>768.85</v>
      </c>
      <c r="F148" s="116" t="str">
        <f t="shared" si="1"/>
        <v>34</v>
      </c>
      <c r="P148" s="52"/>
    </row>
    <row r="149">
      <c r="A149" s="116" t="s">
        <v>80</v>
      </c>
      <c r="B149" s="116">
        <v>6.77536463E8</v>
      </c>
      <c r="C149" s="116" t="s">
        <v>51</v>
      </c>
      <c r="D149" s="116">
        <v>202552.0</v>
      </c>
      <c r="E149" s="116">
        <v>557.29</v>
      </c>
      <c r="F149" s="116" t="str">
        <f t="shared" si="1"/>
        <v>52</v>
      </c>
      <c r="P149" s="52"/>
    </row>
    <row r="150">
      <c r="A150" s="116" t="s">
        <v>80</v>
      </c>
      <c r="B150" s="116">
        <v>6.77536463E8</v>
      </c>
      <c r="C150" s="116" t="s">
        <v>51</v>
      </c>
      <c r="D150" s="116">
        <v>202612.0</v>
      </c>
      <c r="E150" s="116">
        <v>699.55</v>
      </c>
      <c r="F150" s="116" t="str">
        <f t="shared" si="1"/>
        <v>12</v>
      </c>
      <c r="P150" s="52"/>
    </row>
    <row r="151">
      <c r="A151" s="116" t="s">
        <v>80</v>
      </c>
      <c r="B151" s="116">
        <v>6.77536463E8</v>
      </c>
      <c r="C151" s="116" t="s">
        <v>51</v>
      </c>
      <c r="D151" s="116">
        <v>202651.0</v>
      </c>
      <c r="E151" s="116">
        <v>530.53</v>
      </c>
      <c r="F151" s="116" t="str">
        <f t="shared" si="1"/>
        <v>51</v>
      </c>
      <c r="P151" s="52"/>
    </row>
    <row r="152">
      <c r="A152" s="116" t="s">
        <v>80</v>
      </c>
      <c r="B152" s="116">
        <v>6.77536463E8</v>
      </c>
      <c r="C152" s="116" t="s">
        <v>51</v>
      </c>
      <c r="D152" s="116">
        <v>202604.0</v>
      </c>
      <c r="E152" s="116">
        <v>932.18</v>
      </c>
      <c r="F152" s="116" t="str">
        <f t="shared" si="1"/>
        <v>04</v>
      </c>
      <c r="P152" s="52"/>
    </row>
    <row r="153">
      <c r="A153" s="116" t="s">
        <v>80</v>
      </c>
      <c r="B153" s="116">
        <v>6.77536463E8</v>
      </c>
      <c r="C153" s="116" t="s">
        <v>51</v>
      </c>
      <c r="D153" s="116">
        <v>202717.0</v>
      </c>
      <c r="E153" s="116">
        <v>541.99</v>
      </c>
      <c r="F153" s="116" t="str">
        <f t="shared" si="1"/>
        <v>17</v>
      </c>
      <c r="P153" s="52"/>
    </row>
    <row r="154">
      <c r="A154" s="116" t="s">
        <v>80</v>
      </c>
      <c r="B154" s="116">
        <v>6.77536463E8</v>
      </c>
      <c r="C154" s="116" t="s">
        <v>51</v>
      </c>
      <c r="D154" s="116">
        <v>202543.0</v>
      </c>
      <c r="E154" s="116">
        <v>630.8</v>
      </c>
      <c r="F154" s="116" t="str">
        <f t="shared" si="1"/>
        <v>43</v>
      </c>
      <c r="P154" s="52"/>
    </row>
    <row r="155">
      <c r="A155" s="116" t="s">
        <v>80</v>
      </c>
      <c r="B155" s="116">
        <v>6.77536463E8</v>
      </c>
      <c r="C155" s="116" t="s">
        <v>51</v>
      </c>
      <c r="D155" s="116">
        <v>202535.0</v>
      </c>
      <c r="E155" s="116">
        <v>841.22</v>
      </c>
      <c r="F155" s="116" t="str">
        <f t="shared" si="1"/>
        <v>35</v>
      </c>
      <c r="P155" s="52"/>
    </row>
    <row r="156">
      <c r="A156" s="116" t="s">
        <v>80</v>
      </c>
      <c r="B156" s="116">
        <v>6.77536463E8</v>
      </c>
      <c r="C156" s="116" t="s">
        <v>51</v>
      </c>
      <c r="D156" s="116">
        <v>202637.0</v>
      </c>
      <c r="E156" s="116">
        <v>745.65</v>
      </c>
      <c r="F156" s="116" t="str">
        <f t="shared" si="1"/>
        <v>37</v>
      </c>
      <c r="P156" s="52"/>
    </row>
    <row r="157">
      <c r="A157" s="116" t="s">
        <v>80</v>
      </c>
      <c r="B157" s="116">
        <v>6.77536463E8</v>
      </c>
      <c r="C157" s="116" t="s">
        <v>51</v>
      </c>
      <c r="D157" s="116">
        <v>202732.0</v>
      </c>
      <c r="E157" s="116">
        <v>740.43</v>
      </c>
      <c r="F157" s="116" t="str">
        <f t="shared" si="1"/>
        <v>32</v>
      </c>
      <c r="P157" s="52"/>
    </row>
    <row r="158">
      <c r="A158" s="116" t="s">
        <v>80</v>
      </c>
      <c r="B158" s="116">
        <v>6.77536463E8</v>
      </c>
      <c r="C158" s="116" t="s">
        <v>51</v>
      </c>
      <c r="D158" s="116">
        <v>202547.0</v>
      </c>
      <c r="E158" s="116">
        <v>1268.89</v>
      </c>
      <c r="F158" s="116" t="str">
        <f t="shared" si="1"/>
        <v>47</v>
      </c>
      <c r="P158" s="52"/>
    </row>
    <row r="159">
      <c r="A159" s="116" t="s">
        <v>80</v>
      </c>
      <c r="B159" s="116">
        <v>6.77536463E8</v>
      </c>
      <c r="C159" s="116" t="s">
        <v>51</v>
      </c>
      <c r="D159" s="116">
        <v>202533.0</v>
      </c>
      <c r="E159" s="116">
        <v>730.97</v>
      </c>
      <c r="F159" s="116" t="str">
        <f t="shared" si="1"/>
        <v>33</v>
      </c>
      <c r="P159" s="52"/>
    </row>
    <row r="160">
      <c r="A160" s="116" t="s">
        <v>80</v>
      </c>
      <c r="B160" s="116">
        <v>6.77536463E8</v>
      </c>
      <c r="C160" s="116" t="s">
        <v>51</v>
      </c>
      <c r="D160" s="116">
        <v>202731.0</v>
      </c>
      <c r="E160" s="116">
        <v>579.53</v>
      </c>
      <c r="F160" s="116" t="str">
        <f t="shared" si="1"/>
        <v>31</v>
      </c>
      <c r="P160" s="52"/>
    </row>
    <row r="161">
      <c r="A161" s="116" t="s">
        <v>80</v>
      </c>
      <c r="B161" s="116">
        <v>6.77536463E8</v>
      </c>
      <c r="C161" s="116" t="s">
        <v>51</v>
      </c>
      <c r="D161" s="116">
        <v>202643.0</v>
      </c>
      <c r="E161" s="116">
        <v>629.09</v>
      </c>
      <c r="F161" s="116" t="str">
        <f t="shared" si="1"/>
        <v>43</v>
      </c>
      <c r="P161" s="52"/>
    </row>
    <row r="162">
      <c r="A162" s="116" t="s">
        <v>80</v>
      </c>
      <c r="B162" s="116">
        <v>6.77536463E8</v>
      </c>
      <c r="C162" s="116" t="s">
        <v>51</v>
      </c>
      <c r="D162" s="116">
        <v>202603.0</v>
      </c>
      <c r="E162" s="116">
        <v>731.65</v>
      </c>
      <c r="F162" s="116" t="str">
        <f t="shared" si="1"/>
        <v>03</v>
      </c>
      <c r="P162" s="52"/>
    </row>
    <row r="163">
      <c r="A163" s="116" t="s">
        <v>80</v>
      </c>
      <c r="B163" s="116">
        <v>6.77536463E8</v>
      </c>
      <c r="C163" s="116" t="s">
        <v>51</v>
      </c>
      <c r="D163" s="116">
        <v>202621.0</v>
      </c>
      <c r="E163" s="116">
        <v>624.25</v>
      </c>
      <c r="F163" s="116" t="str">
        <f t="shared" si="1"/>
        <v>21</v>
      </c>
      <c r="P163" s="52"/>
    </row>
    <row r="164">
      <c r="A164" s="116" t="s">
        <v>80</v>
      </c>
      <c r="B164" s="116">
        <v>6.77536463E8</v>
      </c>
      <c r="C164" s="116" t="s">
        <v>51</v>
      </c>
      <c r="D164" s="116">
        <v>202641.0</v>
      </c>
      <c r="E164" s="116">
        <v>757.1</v>
      </c>
      <c r="F164" s="116" t="str">
        <f t="shared" si="1"/>
        <v>41</v>
      </c>
      <c r="P164" s="52"/>
    </row>
    <row r="165">
      <c r="A165" s="116" t="s">
        <v>80</v>
      </c>
      <c r="B165" s="116">
        <v>6.77536463E8</v>
      </c>
      <c r="C165" s="116" t="s">
        <v>51</v>
      </c>
      <c r="D165" s="116">
        <v>202702.0</v>
      </c>
      <c r="E165" s="116">
        <v>578.75</v>
      </c>
      <c r="F165" s="116" t="str">
        <f t="shared" si="1"/>
        <v>02</v>
      </c>
      <c r="P165" s="52"/>
    </row>
    <row r="166">
      <c r="A166" s="116" t="s">
        <v>80</v>
      </c>
      <c r="B166" s="116">
        <v>6.77536463E8</v>
      </c>
      <c r="C166" s="116" t="s">
        <v>51</v>
      </c>
      <c r="D166" s="116">
        <v>202708.0</v>
      </c>
      <c r="E166" s="116">
        <v>822.19</v>
      </c>
      <c r="F166" s="116" t="str">
        <f t="shared" si="1"/>
        <v>08</v>
      </c>
      <c r="P166" s="52"/>
    </row>
    <row r="167">
      <c r="A167" s="116" t="s">
        <v>80</v>
      </c>
      <c r="B167" s="116">
        <v>6.77536463E8</v>
      </c>
      <c r="C167" s="116" t="s">
        <v>51</v>
      </c>
      <c r="D167" s="116">
        <v>202716.0</v>
      </c>
      <c r="E167" s="116">
        <v>582.91</v>
      </c>
      <c r="F167" s="116" t="str">
        <f t="shared" si="1"/>
        <v>16</v>
      </c>
      <c r="P167" s="52"/>
    </row>
    <row r="168">
      <c r="A168" s="116" t="s">
        <v>80</v>
      </c>
      <c r="B168" s="116">
        <v>6.77536463E8</v>
      </c>
      <c r="C168" s="116" t="s">
        <v>51</v>
      </c>
      <c r="D168" s="116">
        <v>202545.0</v>
      </c>
      <c r="E168" s="116">
        <v>931.42</v>
      </c>
      <c r="F168" s="116" t="str">
        <f t="shared" si="1"/>
        <v>45</v>
      </c>
      <c r="P168" s="52"/>
    </row>
    <row r="169">
      <c r="A169" s="116" t="s">
        <v>80</v>
      </c>
      <c r="B169" s="116">
        <v>6.77536463E8</v>
      </c>
      <c r="C169" s="116" t="s">
        <v>51</v>
      </c>
      <c r="D169" s="116">
        <v>202650.0</v>
      </c>
      <c r="E169" s="116">
        <v>636.25</v>
      </c>
      <c r="F169" s="116" t="str">
        <f t="shared" si="1"/>
        <v>50</v>
      </c>
      <c r="P169" s="52"/>
    </row>
    <row r="170">
      <c r="A170" s="116" t="s">
        <v>80</v>
      </c>
      <c r="B170" s="116">
        <v>6.77536463E8</v>
      </c>
      <c r="C170" s="116" t="s">
        <v>51</v>
      </c>
      <c r="D170" s="116">
        <v>202720.0</v>
      </c>
      <c r="E170" s="116">
        <v>623.54</v>
      </c>
      <c r="F170" s="116" t="str">
        <f t="shared" si="1"/>
        <v>20</v>
      </c>
      <c r="P170" s="52"/>
    </row>
    <row r="171">
      <c r="A171" s="116" t="s">
        <v>80</v>
      </c>
      <c r="B171" s="116">
        <v>6.77536463E8</v>
      </c>
      <c r="C171" s="116" t="s">
        <v>51</v>
      </c>
      <c r="D171" s="116">
        <v>202632.0</v>
      </c>
      <c r="E171" s="116">
        <v>584.81</v>
      </c>
      <c r="F171" s="116" t="str">
        <f t="shared" si="1"/>
        <v>32</v>
      </c>
      <c r="P171" s="52"/>
    </row>
    <row r="172">
      <c r="A172" s="116" t="s">
        <v>80</v>
      </c>
      <c r="B172" s="116">
        <v>6.77536463E8</v>
      </c>
      <c r="C172" s="116" t="s">
        <v>51</v>
      </c>
      <c r="D172" s="116">
        <v>202704.0</v>
      </c>
      <c r="E172" s="116">
        <v>931.67</v>
      </c>
      <c r="F172" s="116" t="str">
        <f t="shared" si="1"/>
        <v>04</v>
      </c>
      <c r="P172" s="52"/>
    </row>
    <row r="173">
      <c r="A173" s="116" t="s">
        <v>80</v>
      </c>
      <c r="B173" s="116">
        <v>6.77536463E8</v>
      </c>
      <c r="C173" s="116" t="s">
        <v>51</v>
      </c>
      <c r="D173" s="116">
        <v>202626.0</v>
      </c>
      <c r="E173" s="116">
        <v>669.88</v>
      </c>
      <c r="F173" s="116" t="str">
        <f t="shared" si="1"/>
        <v>26</v>
      </c>
      <c r="P173" s="52"/>
    </row>
    <row r="174">
      <c r="A174" s="116" t="s">
        <v>80</v>
      </c>
      <c r="B174" s="116">
        <v>6.77536463E8</v>
      </c>
      <c r="C174" s="116" t="s">
        <v>51</v>
      </c>
      <c r="D174" s="116">
        <v>202629.0</v>
      </c>
      <c r="E174" s="116">
        <v>669.34</v>
      </c>
      <c r="F174" s="116" t="str">
        <f t="shared" si="1"/>
        <v>29</v>
      </c>
      <c r="P174" s="52"/>
    </row>
    <row r="175">
      <c r="A175" s="116" t="s">
        <v>80</v>
      </c>
      <c r="B175" s="116">
        <v>6.77536463E8</v>
      </c>
      <c r="C175" s="116" t="s">
        <v>51</v>
      </c>
      <c r="D175" s="116">
        <v>202710.0</v>
      </c>
      <c r="E175" s="116">
        <v>754.61</v>
      </c>
      <c r="F175" s="116" t="str">
        <f t="shared" si="1"/>
        <v>10</v>
      </c>
      <c r="P175" s="52"/>
    </row>
    <row r="176">
      <c r="A176" s="116" t="s">
        <v>80</v>
      </c>
      <c r="B176" s="116">
        <v>6.77536463E8</v>
      </c>
      <c r="C176" s="116" t="s">
        <v>51</v>
      </c>
      <c r="D176" s="116">
        <v>202536.0</v>
      </c>
      <c r="E176" s="116">
        <v>759.64</v>
      </c>
      <c r="F176" s="116" t="str">
        <f t="shared" si="1"/>
        <v>36</v>
      </c>
      <c r="P176" s="52"/>
    </row>
    <row r="177">
      <c r="A177" s="116" t="s">
        <v>80</v>
      </c>
      <c r="B177" s="116">
        <v>6.77536463E8</v>
      </c>
      <c r="C177" s="116" t="s">
        <v>51</v>
      </c>
      <c r="D177" s="116">
        <v>202711.0</v>
      </c>
      <c r="E177" s="116">
        <v>749.35</v>
      </c>
      <c r="F177" s="116" t="str">
        <f t="shared" si="1"/>
        <v>11</v>
      </c>
      <c r="P177" s="52"/>
    </row>
    <row r="178">
      <c r="A178" s="116" t="s">
        <v>80</v>
      </c>
      <c r="B178" s="116">
        <v>6.77536463E8</v>
      </c>
      <c r="C178" s="116" t="s">
        <v>51</v>
      </c>
      <c r="D178" s="116">
        <v>202709.0</v>
      </c>
      <c r="E178" s="116">
        <v>792.69</v>
      </c>
      <c r="F178" s="116" t="str">
        <f t="shared" si="1"/>
        <v>09</v>
      </c>
      <c r="P178" s="52"/>
    </row>
    <row r="179">
      <c r="A179" s="116" t="s">
        <v>80</v>
      </c>
      <c r="B179" s="116">
        <v>6.77536463E8</v>
      </c>
      <c r="C179" s="116" t="s">
        <v>51</v>
      </c>
      <c r="D179" s="116">
        <v>202724.0</v>
      </c>
      <c r="E179" s="116">
        <v>600.65</v>
      </c>
      <c r="F179" s="116" t="str">
        <f t="shared" si="1"/>
        <v>24</v>
      </c>
      <c r="P179" s="52"/>
    </row>
    <row r="180">
      <c r="A180" s="116" t="s">
        <v>80</v>
      </c>
      <c r="B180" s="116">
        <v>6.77536463E8</v>
      </c>
      <c r="C180" s="116" t="s">
        <v>51</v>
      </c>
      <c r="D180" s="116">
        <v>202538.0</v>
      </c>
      <c r="E180" s="116">
        <v>729.84</v>
      </c>
      <c r="F180" s="116" t="str">
        <f t="shared" si="1"/>
        <v>38</v>
      </c>
      <c r="P180" s="52"/>
    </row>
    <row r="181">
      <c r="A181" s="116" t="s">
        <v>80</v>
      </c>
      <c r="B181" s="116">
        <v>6.77536463E8</v>
      </c>
      <c r="C181" s="116" t="s">
        <v>51</v>
      </c>
      <c r="D181" s="116">
        <v>202631.0</v>
      </c>
      <c r="E181" s="116">
        <v>635.64</v>
      </c>
      <c r="F181" s="116" t="str">
        <f t="shared" si="1"/>
        <v>31</v>
      </c>
      <c r="P181" s="52"/>
    </row>
    <row r="182">
      <c r="A182" s="116" t="s">
        <v>80</v>
      </c>
      <c r="B182" s="116">
        <v>6.77536463E8</v>
      </c>
      <c r="C182" s="116" t="s">
        <v>51</v>
      </c>
      <c r="D182" s="116">
        <v>202615.0</v>
      </c>
      <c r="E182" s="116">
        <v>617.39</v>
      </c>
      <c r="F182" s="116" t="str">
        <f t="shared" si="1"/>
        <v>15</v>
      </c>
      <c r="P182" s="52"/>
    </row>
    <row r="183">
      <c r="A183" s="116" t="s">
        <v>80</v>
      </c>
      <c r="B183" s="116">
        <v>6.77536463E8</v>
      </c>
      <c r="C183" s="116" t="s">
        <v>51</v>
      </c>
      <c r="D183" s="116">
        <v>202718.0</v>
      </c>
      <c r="E183" s="116">
        <v>588.73</v>
      </c>
      <c r="F183" s="116" t="str">
        <f t="shared" si="1"/>
        <v>18</v>
      </c>
      <c r="P183" s="52"/>
    </row>
    <row r="184">
      <c r="A184" s="116" t="s">
        <v>80</v>
      </c>
      <c r="B184" s="116">
        <v>6.77536463E8</v>
      </c>
      <c r="C184" s="116" t="s">
        <v>51</v>
      </c>
      <c r="D184" s="116">
        <v>202611.0</v>
      </c>
      <c r="E184" s="116">
        <v>750.0</v>
      </c>
      <c r="F184" s="116" t="str">
        <f t="shared" si="1"/>
        <v>11</v>
      </c>
      <c r="P184" s="52"/>
    </row>
    <row r="185">
      <c r="A185" s="116" t="s">
        <v>80</v>
      </c>
      <c r="B185" s="116">
        <v>6.77536463E8</v>
      </c>
      <c r="C185" s="116" t="s">
        <v>51</v>
      </c>
      <c r="D185" s="116">
        <v>202729.0</v>
      </c>
      <c r="E185" s="116">
        <v>668.72</v>
      </c>
      <c r="F185" s="116" t="str">
        <f t="shared" si="1"/>
        <v>29</v>
      </c>
      <c r="P185" s="52"/>
    </row>
    <row r="186">
      <c r="A186" s="116" t="s">
        <v>80</v>
      </c>
      <c r="B186" s="116">
        <v>6.77536463E8</v>
      </c>
      <c r="C186" s="116" t="s">
        <v>51</v>
      </c>
      <c r="D186" s="116">
        <v>202645.0</v>
      </c>
      <c r="E186" s="116">
        <v>928.77</v>
      </c>
      <c r="F186" s="116" t="str">
        <f t="shared" si="1"/>
        <v>45</v>
      </c>
      <c r="P186" s="52"/>
    </row>
    <row r="187">
      <c r="A187" s="116" t="s">
        <v>80</v>
      </c>
      <c r="B187" s="116">
        <v>6.77536463E8</v>
      </c>
      <c r="C187" s="116" t="s">
        <v>51</v>
      </c>
      <c r="D187" s="116">
        <v>202712.0</v>
      </c>
      <c r="E187" s="116">
        <v>698.86</v>
      </c>
      <c r="F187" s="116" t="str">
        <f t="shared" si="1"/>
        <v>12</v>
      </c>
      <c r="P187" s="52"/>
    </row>
    <row r="188">
      <c r="A188" s="116" t="s">
        <v>80</v>
      </c>
      <c r="B188" s="116">
        <v>6.77536463E8</v>
      </c>
      <c r="C188" s="116" t="s">
        <v>51</v>
      </c>
      <c r="D188" s="116">
        <v>202648.0</v>
      </c>
      <c r="E188" s="116">
        <v>772.17</v>
      </c>
      <c r="F188" s="116" t="str">
        <f t="shared" si="1"/>
        <v>48</v>
      </c>
      <c r="P188" s="52"/>
    </row>
    <row r="189">
      <c r="A189" s="116" t="s">
        <v>80</v>
      </c>
      <c r="B189" s="116">
        <v>6.77536463E8</v>
      </c>
      <c r="C189" s="116" t="s">
        <v>51</v>
      </c>
      <c r="D189" s="116">
        <v>202630.0</v>
      </c>
      <c r="E189" s="116">
        <v>669.34</v>
      </c>
      <c r="F189" s="116" t="str">
        <f t="shared" si="1"/>
        <v>30</v>
      </c>
      <c r="P189" s="52"/>
    </row>
    <row r="190">
      <c r="A190" s="116" t="s">
        <v>80</v>
      </c>
      <c r="B190" s="116">
        <v>6.77536463E8</v>
      </c>
      <c r="C190" s="116" t="s">
        <v>51</v>
      </c>
      <c r="D190" s="116">
        <v>202537.0</v>
      </c>
      <c r="E190" s="116">
        <v>748.35</v>
      </c>
      <c r="F190" s="116" t="str">
        <f t="shared" si="1"/>
        <v>37</v>
      </c>
      <c r="P190" s="52"/>
    </row>
    <row r="191">
      <c r="A191" s="116" t="s">
        <v>80</v>
      </c>
      <c r="B191" s="116">
        <v>6.77536463E8</v>
      </c>
      <c r="C191" s="116" t="s">
        <v>51</v>
      </c>
      <c r="D191" s="116">
        <v>202730.0</v>
      </c>
      <c r="E191" s="116">
        <v>634.7</v>
      </c>
      <c r="F191" s="116" t="str">
        <f t="shared" si="1"/>
        <v>30</v>
      </c>
      <c r="P191" s="52"/>
    </row>
    <row r="192">
      <c r="A192" s="116" t="s">
        <v>80</v>
      </c>
      <c r="B192" s="116">
        <v>6.77536463E8</v>
      </c>
      <c r="C192" s="116" t="s">
        <v>51</v>
      </c>
      <c r="D192" s="116">
        <v>202725.0</v>
      </c>
      <c r="E192" s="116">
        <v>617.75</v>
      </c>
      <c r="F192" s="116" t="str">
        <f t="shared" si="1"/>
        <v>25</v>
      </c>
      <c r="P192" s="52"/>
    </row>
    <row r="193">
      <c r="A193" s="116" t="s">
        <v>80</v>
      </c>
      <c r="B193" s="116">
        <v>6.77536463E8</v>
      </c>
      <c r="C193" s="116" t="s">
        <v>51</v>
      </c>
      <c r="D193" s="116">
        <v>202624.0</v>
      </c>
      <c r="E193" s="116">
        <v>601.32</v>
      </c>
      <c r="F193" s="116" t="str">
        <f t="shared" si="1"/>
        <v>24</v>
      </c>
      <c r="P193" s="52"/>
    </row>
    <row r="194">
      <c r="A194" s="116" t="s">
        <v>80</v>
      </c>
      <c r="B194" s="116">
        <v>6.77536463E8</v>
      </c>
      <c r="C194" s="116" t="s">
        <v>51</v>
      </c>
      <c r="D194" s="116">
        <v>202713.0</v>
      </c>
      <c r="E194" s="116">
        <v>705.26</v>
      </c>
      <c r="F194" s="116" t="str">
        <f t="shared" si="1"/>
        <v>13</v>
      </c>
      <c r="P194" s="52"/>
    </row>
    <row r="195">
      <c r="A195" s="116" t="s">
        <v>80</v>
      </c>
      <c r="B195" s="116">
        <v>6.77536463E8</v>
      </c>
      <c r="C195" s="116" t="s">
        <v>51</v>
      </c>
      <c r="D195" s="116">
        <v>202635.0</v>
      </c>
      <c r="E195" s="116">
        <v>837.92</v>
      </c>
      <c r="F195" s="116" t="str">
        <f t="shared" si="1"/>
        <v>35</v>
      </c>
      <c r="P195" s="52"/>
    </row>
    <row r="196">
      <c r="A196" s="116" t="s">
        <v>80</v>
      </c>
      <c r="B196" s="116">
        <v>6.77536463E8</v>
      </c>
      <c r="C196" s="116" t="s">
        <v>51</v>
      </c>
      <c r="D196" s="116">
        <v>202722.0</v>
      </c>
      <c r="E196" s="116">
        <v>606.07</v>
      </c>
      <c r="F196" s="116" t="str">
        <f t="shared" si="1"/>
        <v>22</v>
      </c>
      <c r="P196" s="52"/>
    </row>
    <row r="197">
      <c r="A197" s="116" t="s">
        <v>80</v>
      </c>
      <c r="B197" s="116">
        <v>6.77536463E8</v>
      </c>
      <c r="C197" s="116" t="s">
        <v>51</v>
      </c>
      <c r="D197" s="116">
        <v>202541.0</v>
      </c>
      <c r="E197" s="116">
        <v>759.0</v>
      </c>
      <c r="F197" s="116" t="str">
        <f t="shared" si="1"/>
        <v>41</v>
      </c>
      <c r="P197" s="52"/>
    </row>
    <row r="198">
      <c r="A198" s="116" t="s">
        <v>80</v>
      </c>
      <c r="B198" s="116">
        <v>6.77536463E8</v>
      </c>
      <c r="C198" s="116" t="s">
        <v>51</v>
      </c>
      <c r="D198" s="116">
        <v>202605.0</v>
      </c>
      <c r="E198" s="116">
        <v>877.31</v>
      </c>
      <c r="F198" s="116" t="str">
        <f t="shared" si="1"/>
        <v>05</v>
      </c>
      <c r="P198" s="52"/>
    </row>
    <row r="199">
      <c r="A199" s="116" t="s">
        <v>80</v>
      </c>
      <c r="B199" s="116">
        <v>6.77536463E8</v>
      </c>
      <c r="C199" s="116" t="s">
        <v>51</v>
      </c>
      <c r="D199" s="116">
        <v>202715.0</v>
      </c>
      <c r="E199" s="116">
        <v>616.88</v>
      </c>
      <c r="F199" s="116" t="str">
        <f t="shared" si="1"/>
        <v>15</v>
      </c>
      <c r="P199" s="52"/>
    </row>
    <row r="200">
      <c r="A200" s="116" t="s">
        <v>80</v>
      </c>
      <c r="B200" s="116">
        <v>6.77536463E8</v>
      </c>
      <c r="C200" s="116" t="s">
        <v>51</v>
      </c>
      <c r="D200" s="116">
        <v>202726.0</v>
      </c>
      <c r="E200" s="116">
        <v>668.63</v>
      </c>
      <c r="F200" s="116" t="str">
        <f t="shared" si="1"/>
        <v>26</v>
      </c>
      <c r="P200" s="52"/>
    </row>
    <row r="201">
      <c r="A201" s="116" t="s">
        <v>80</v>
      </c>
      <c r="B201" s="116">
        <v>6.77536463E8</v>
      </c>
      <c r="C201" s="116" t="s">
        <v>51</v>
      </c>
      <c r="D201" s="116">
        <v>202551.0</v>
      </c>
      <c r="E201" s="116">
        <v>531.53</v>
      </c>
      <c r="F201" s="116" t="str">
        <f t="shared" si="1"/>
        <v>51</v>
      </c>
      <c r="P201" s="52"/>
    </row>
    <row r="202">
      <c r="A202" s="116" t="s">
        <v>80</v>
      </c>
      <c r="B202" s="116">
        <v>6.77536463E8</v>
      </c>
      <c r="C202" s="116" t="s">
        <v>51</v>
      </c>
      <c r="D202" s="116">
        <v>202640.0</v>
      </c>
      <c r="E202" s="116">
        <v>772.03</v>
      </c>
      <c r="F202" s="116" t="str">
        <f t="shared" si="1"/>
        <v>40</v>
      </c>
      <c r="P202" s="52"/>
    </row>
    <row r="203">
      <c r="A203" s="116" t="s">
        <v>80</v>
      </c>
      <c r="B203" s="116">
        <v>6.77536463E8</v>
      </c>
      <c r="C203" s="116" t="s">
        <v>51</v>
      </c>
      <c r="D203" s="116">
        <v>202646.0</v>
      </c>
      <c r="E203" s="116">
        <v>1228.6</v>
      </c>
      <c r="F203" s="116" t="str">
        <f t="shared" si="1"/>
        <v>46</v>
      </c>
      <c r="P203" s="52"/>
    </row>
    <row r="204">
      <c r="A204" s="116" t="s">
        <v>80</v>
      </c>
      <c r="B204" s="116">
        <v>6.77536463E8</v>
      </c>
      <c r="C204" s="116" t="s">
        <v>51</v>
      </c>
      <c r="D204" s="116">
        <v>202652.0</v>
      </c>
      <c r="E204" s="116">
        <v>556.51</v>
      </c>
      <c r="F204" s="116" t="str">
        <f t="shared" si="1"/>
        <v>52</v>
      </c>
      <c r="P204" s="52"/>
    </row>
    <row r="205">
      <c r="A205" s="116" t="s">
        <v>80</v>
      </c>
      <c r="B205" s="116">
        <v>6.77536463E8</v>
      </c>
      <c r="C205" s="116" t="s">
        <v>51</v>
      </c>
      <c r="D205" s="116">
        <v>202602.0</v>
      </c>
      <c r="E205" s="116">
        <v>579.46</v>
      </c>
      <c r="F205" s="116" t="str">
        <f t="shared" si="1"/>
        <v>02</v>
      </c>
      <c r="P205" s="52"/>
    </row>
    <row r="206">
      <c r="A206" s="116" t="s">
        <v>80</v>
      </c>
      <c r="B206" s="116">
        <v>6.77536463E8</v>
      </c>
      <c r="C206" s="116" t="s">
        <v>51</v>
      </c>
      <c r="D206" s="116">
        <v>202633.0</v>
      </c>
      <c r="E206" s="116">
        <v>728.12</v>
      </c>
      <c r="F206" s="116" t="str">
        <f t="shared" si="1"/>
        <v>33</v>
      </c>
      <c r="P206" s="52"/>
    </row>
    <row r="207">
      <c r="A207" s="116" t="s">
        <v>80</v>
      </c>
      <c r="B207" s="116">
        <v>6.77536463E8</v>
      </c>
      <c r="C207" s="116" t="s">
        <v>51</v>
      </c>
      <c r="D207" s="116">
        <v>202619.0</v>
      </c>
      <c r="E207" s="116">
        <v>603.23</v>
      </c>
      <c r="F207" s="116" t="str">
        <f t="shared" si="1"/>
        <v>19</v>
      </c>
      <c r="P207" s="52"/>
    </row>
    <row r="208">
      <c r="A208" s="116" t="s">
        <v>80</v>
      </c>
      <c r="B208" s="116">
        <v>6.77536463E8</v>
      </c>
      <c r="C208" s="116" t="s">
        <v>51</v>
      </c>
      <c r="D208" s="116">
        <v>202639.0</v>
      </c>
      <c r="E208" s="116">
        <v>785.44</v>
      </c>
      <c r="F208" s="116" t="str">
        <f t="shared" si="1"/>
        <v>39</v>
      </c>
      <c r="P208" s="52"/>
    </row>
    <row r="209">
      <c r="A209" s="116" t="s">
        <v>80</v>
      </c>
      <c r="B209" s="116">
        <v>6.77536463E8</v>
      </c>
      <c r="C209" s="116" t="s">
        <v>51</v>
      </c>
      <c r="D209" s="116">
        <v>202540.0</v>
      </c>
      <c r="E209" s="116">
        <v>774.03</v>
      </c>
      <c r="F209" s="116" t="str">
        <f t="shared" si="1"/>
        <v>40</v>
      </c>
      <c r="P209" s="52"/>
    </row>
    <row r="210">
      <c r="A210" s="116" t="s">
        <v>80</v>
      </c>
      <c r="B210" s="116">
        <v>6.77536463E8</v>
      </c>
      <c r="C210" s="116" t="s">
        <v>51</v>
      </c>
      <c r="D210" s="116">
        <v>202613.0</v>
      </c>
      <c r="E210" s="116">
        <v>705.81</v>
      </c>
      <c r="F210" s="116" t="str">
        <f t="shared" si="1"/>
        <v>13</v>
      </c>
      <c r="P210" s="52"/>
    </row>
    <row r="211">
      <c r="A211" s="116" t="s">
        <v>80</v>
      </c>
      <c r="B211" s="116">
        <v>6.77536463E8</v>
      </c>
      <c r="C211" s="116" t="s">
        <v>51</v>
      </c>
      <c r="D211" s="116">
        <v>202549.0</v>
      </c>
      <c r="E211" s="116">
        <v>687.7</v>
      </c>
      <c r="F211" s="116" t="str">
        <f t="shared" si="1"/>
        <v>49</v>
      </c>
      <c r="P211" s="52"/>
    </row>
    <row r="212">
      <c r="A212" s="116" t="s">
        <v>80</v>
      </c>
      <c r="B212" s="116">
        <v>6.77536463E8</v>
      </c>
      <c r="C212" s="116" t="s">
        <v>51</v>
      </c>
      <c r="D212" s="116">
        <v>202707.0</v>
      </c>
      <c r="E212" s="116">
        <v>817.39</v>
      </c>
      <c r="F212" s="116" t="str">
        <f t="shared" si="1"/>
        <v>07</v>
      </c>
      <c r="P212" s="52"/>
    </row>
    <row r="213">
      <c r="A213" s="116" t="s">
        <v>80</v>
      </c>
      <c r="B213" s="116">
        <v>6.77536463E8</v>
      </c>
      <c r="C213" s="116" t="s">
        <v>51</v>
      </c>
      <c r="D213" s="116">
        <v>202617.0</v>
      </c>
      <c r="E213" s="116">
        <v>542.75</v>
      </c>
      <c r="F213" s="116" t="str">
        <f t="shared" si="1"/>
        <v>17</v>
      </c>
      <c r="P213" s="52"/>
    </row>
    <row r="214">
      <c r="A214" s="116" t="s">
        <v>80</v>
      </c>
      <c r="B214" s="116">
        <v>6.77536463E8</v>
      </c>
      <c r="C214" s="116" t="s">
        <v>51</v>
      </c>
      <c r="D214" s="116">
        <v>202636.0</v>
      </c>
      <c r="E214" s="116">
        <v>757.3</v>
      </c>
      <c r="F214" s="116" t="str">
        <f t="shared" si="1"/>
        <v>36</v>
      </c>
      <c r="P214" s="52"/>
    </row>
    <row r="215">
      <c r="A215" s="116" t="s">
        <v>80</v>
      </c>
      <c r="B215" s="116">
        <v>6.77536463E8</v>
      </c>
      <c r="C215" s="116" t="s">
        <v>51</v>
      </c>
      <c r="D215" s="116">
        <v>202625.0</v>
      </c>
      <c r="E215" s="116">
        <v>618.89</v>
      </c>
      <c r="F215" s="116" t="str">
        <f t="shared" si="1"/>
        <v>25</v>
      </c>
      <c r="P215" s="52"/>
    </row>
    <row r="216">
      <c r="A216" s="116" t="s">
        <v>80</v>
      </c>
      <c r="B216" s="116">
        <v>6.77536463E8</v>
      </c>
      <c r="C216" s="116" t="s">
        <v>51</v>
      </c>
      <c r="D216" s="116">
        <v>202550.0</v>
      </c>
      <c r="E216" s="116">
        <v>638.08</v>
      </c>
      <c r="F216" s="116" t="str">
        <f t="shared" si="1"/>
        <v>50</v>
      </c>
      <c r="P216" s="52"/>
    </row>
    <row r="217">
      <c r="A217" s="116" t="s">
        <v>80</v>
      </c>
      <c r="B217" s="116">
        <v>6.77536463E8</v>
      </c>
      <c r="C217" s="116" t="s">
        <v>51</v>
      </c>
      <c r="D217" s="116">
        <v>202701.0</v>
      </c>
      <c r="E217" s="116">
        <v>535.43</v>
      </c>
      <c r="F217" s="116" t="str">
        <f t="shared" si="1"/>
        <v>01</v>
      </c>
      <c r="P217" s="52"/>
    </row>
    <row r="218">
      <c r="A218" s="116" t="s">
        <v>80</v>
      </c>
      <c r="B218" s="116">
        <v>6.77536463E8</v>
      </c>
      <c r="C218" s="116" t="s">
        <v>51</v>
      </c>
      <c r="D218" s="116">
        <v>202727.0</v>
      </c>
      <c r="E218" s="116">
        <v>675.2</v>
      </c>
      <c r="F218" s="116" t="str">
        <f t="shared" si="1"/>
        <v>27</v>
      </c>
      <c r="P218" s="52"/>
    </row>
    <row r="219">
      <c r="A219" s="116" t="s">
        <v>80</v>
      </c>
      <c r="B219" s="116">
        <v>6.77536463E8</v>
      </c>
      <c r="C219" s="116" t="s">
        <v>51</v>
      </c>
      <c r="D219" s="116">
        <v>202644.0</v>
      </c>
      <c r="E219" s="116">
        <v>819.01</v>
      </c>
      <c r="F219" s="116" t="str">
        <f t="shared" si="1"/>
        <v>44</v>
      </c>
      <c r="P219" s="52"/>
    </row>
    <row r="220">
      <c r="A220" s="116" t="s">
        <v>80</v>
      </c>
      <c r="B220" s="116">
        <v>6.77536463E8</v>
      </c>
      <c r="C220" s="116" t="s">
        <v>51</v>
      </c>
      <c r="D220" s="116">
        <v>202534.0</v>
      </c>
      <c r="E220" s="116">
        <v>772.18</v>
      </c>
      <c r="F220" s="116" t="str">
        <f t="shared" si="1"/>
        <v>34</v>
      </c>
      <c r="P220" s="52"/>
    </row>
    <row r="221">
      <c r="A221" s="116" t="s">
        <v>80</v>
      </c>
      <c r="B221" s="116">
        <v>6.77536463E8</v>
      </c>
      <c r="C221" s="116" t="s">
        <v>51</v>
      </c>
      <c r="D221" s="116">
        <v>202606.0</v>
      </c>
      <c r="E221" s="116">
        <v>813.02</v>
      </c>
      <c r="F221" s="116" t="str">
        <f t="shared" si="1"/>
        <v>06</v>
      </c>
      <c r="P221" s="52"/>
    </row>
    <row r="222">
      <c r="A222" s="116" t="s">
        <v>80</v>
      </c>
      <c r="B222" s="116">
        <v>6.77536463E8</v>
      </c>
      <c r="C222" s="116" t="s">
        <v>51</v>
      </c>
      <c r="D222" s="116">
        <v>202609.0</v>
      </c>
      <c r="E222" s="116">
        <v>793.07</v>
      </c>
      <c r="F222" s="116" t="str">
        <f t="shared" si="1"/>
        <v>09</v>
      </c>
      <c r="P222" s="52"/>
    </row>
    <row r="223">
      <c r="A223" s="116" t="s">
        <v>80</v>
      </c>
      <c r="B223" s="116">
        <v>6.77536463E8</v>
      </c>
      <c r="C223" s="116" t="s">
        <v>51</v>
      </c>
      <c r="D223" s="116">
        <v>202628.0</v>
      </c>
      <c r="E223" s="116">
        <v>741.08</v>
      </c>
      <c r="F223" s="116" t="str">
        <f t="shared" si="1"/>
        <v>28</v>
      </c>
      <c r="P223" s="52"/>
    </row>
    <row r="224">
      <c r="A224" s="116" t="s">
        <v>80</v>
      </c>
      <c r="B224" s="116">
        <v>6.77536463E8</v>
      </c>
      <c r="C224" s="116" t="s">
        <v>51</v>
      </c>
      <c r="D224" s="116">
        <v>202544.0</v>
      </c>
      <c r="E224" s="116">
        <v>821.41</v>
      </c>
      <c r="F224" s="116" t="str">
        <f t="shared" si="1"/>
        <v>44</v>
      </c>
      <c r="P224" s="52"/>
    </row>
    <row r="225">
      <c r="A225" s="116" t="s">
        <v>80</v>
      </c>
      <c r="B225" s="116">
        <v>6.77536463E8</v>
      </c>
      <c r="C225" s="116" t="s">
        <v>51</v>
      </c>
      <c r="D225" s="116">
        <v>202601.0</v>
      </c>
      <c r="E225" s="116">
        <v>536.41</v>
      </c>
      <c r="F225" s="116" t="str">
        <f t="shared" si="1"/>
        <v>01</v>
      </c>
      <c r="P225" s="52"/>
    </row>
    <row r="226">
      <c r="A226" s="116" t="s">
        <v>80</v>
      </c>
      <c r="B226" s="116">
        <v>6.77536463E8</v>
      </c>
      <c r="C226" s="116" t="s">
        <v>51</v>
      </c>
      <c r="D226" s="116">
        <v>202548.0</v>
      </c>
      <c r="E226" s="116">
        <v>774.2</v>
      </c>
      <c r="F226" s="116" t="str">
        <f t="shared" si="1"/>
        <v>48</v>
      </c>
      <c r="P226" s="52"/>
    </row>
    <row r="227">
      <c r="A227" s="116" t="s">
        <v>80</v>
      </c>
      <c r="B227" s="116">
        <v>6.77536463E8</v>
      </c>
      <c r="C227" s="116" t="s">
        <v>51</v>
      </c>
      <c r="D227" s="116">
        <v>202723.0</v>
      </c>
      <c r="E227" s="116">
        <v>606.63</v>
      </c>
      <c r="F227" s="116" t="str">
        <f t="shared" si="1"/>
        <v>23</v>
      </c>
      <c r="P227" s="52"/>
    </row>
    <row r="228">
      <c r="F228" s="116" t="str">
        <f t="shared" si="1"/>
        <v/>
      </c>
      <c r="P228" s="52"/>
    </row>
    <row r="229">
      <c r="F229" s="116" t="str">
        <f t="shared" si="1"/>
        <v/>
      </c>
      <c r="P229" s="52"/>
    </row>
    <row r="230">
      <c r="F230" s="116" t="str">
        <f t="shared" si="1"/>
        <v/>
      </c>
      <c r="P230" s="52"/>
    </row>
    <row r="231">
      <c r="F231" s="116" t="str">
        <f t="shared" si="1"/>
        <v/>
      </c>
      <c r="P231" s="52"/>
    </row>
    <row r="232">
      <c r="F232" s="116" t="str">
        <f t="shared" si="1"/>
        <v/>
      </c>
      <c r="P232" s="52"/>
    </row>
    <row r="233">
      <c r="F233" s="116" t="str">
        <f t="shared" si="1"/>
        <v/>
      </c>
      <c r="P233" s="52"/>
    </row>
    <row r="234">
      <c r="F234" s="116" t="str">
        <f t="shared" si="1"/>
        <v/>
      </c>
      <c r="P234" s="52"/>
    </row>
    <row r="235">
      <c r="F235" s="116" t="str">
        <f t="shared" si="1"/>
        <v/>
      </c>
      <c r="P235" s="52"/>
    </row>
    <row r="236">
      <c r="F236" s="116" t="str">
        <f t="shared" si="1"/>
        <v/>
      </c>
      <c r="P236" s="52"/>
    </row>
    <row r="237">
      <c r="F237" s="116" t="str">
        <f t="shared" si="1"/>
        <v/>
      </c>
      <c r="P237" s="52"/>
    </row>
    <row r="238">
      <c r="F238" s="116" t="str">
        <f t="shared" si="1"/>
        <v/>
      </c>
      <c r="P238" s="52"/>
    </row>
    <row r="239">
      <c r="F239" s="116" t="str">
        <f t="shared" si="1"/>
        <v/>
      </c>
      <c r="P239" s="52"/>
    </row>
    <row r="240">
      <c r="F240" s="116" t="str">
        <f t="shared" si="1"/>
        <v/>
      </c>
      <c r="P240" s="52"/>
    </row>
    <row r="241">
      <c r="F241" s="116" t="str">
        <f t="shared" si="1"/>
        <v/>
      </c>
      <c r="P241" s="52"/>
    </row>
    <row r="242">
      <c r="F242" s="116" t="str">
        <f t="shared" si="1"/>
        <v/>
      </c>
      <c r="P242" s="52"/>
    </row>
    <row r="243">
      <c r="F243" s="116" t="str">
        <f t="shared" si="1"/>
        <v/>
      </c>
      <c r="P243" s="52"/>
    </row>
    <row r="244">
      <c r="F244" s="116" t="str">
        <f t="shared" si="1"/>
        <v/>
      </c>
      <c r="P244" s="52"/>
    </row>
    <row r="245">
      <c r="F245" s="116" t="str">
        <f t="shared" si="1"/>
        <v/>
      </c>
      <c r="P245" s="52"/>
    </row>
    <row r="246">
      <c r="F246" s="116" t="str">
        <f t="shared" si="1"/>
        <v/>
      </c>
      <c r="P246" s="52"/>
    </row>
    <row r="247">
      <c r="F247" s="116" t="str">
        <f t="shared" si="1"/>
        <v/>
      </c>
      <c r="P247" s="52"/>
    </row>
    <row r="248">
      <c r="F248" s="116" t="str">
        <f t="shared" si="1"/>
        <v/>
      </c>
      <c r="P248" s="52"/>
    </row>
    <row r="249">
      <c r="F249" s="116" t="str">
        <f t="shared" si="1"/>
        <v/>
      </c>
      <c r="P249" s="52"/>
    </row>
    <row r="250">
      <c r="F250" s="116" t="str">
        <f t="shared" si="1"/>
        <v/>
      </c>
      <c r="P250" s="52"/>
    </row>
    <row r="251">
      <c r="F251" s="116" t="str">
        <f t="shared" si="1"/>
        <v/>
      </c>
      <c r="P251" s="52"/>
    </row>
    <row r="252">
      <c r="F252" s="116" t="str">
        <f t="shared" si="1"/>
        <v/>
      </c>
      <c r="P252" s="52"/>
    </row>
    <row r="253">
      <c r="F253" s="116" t="str">
        <f t="shared" si="1"/>
        <v/>
      </c>
      <c r="P253" s="52"/>
    </row>
    <row r="254">
      <c r="F254" s="116" t="str">
        <f t="shared" si="1"/>
        <v/>
      </c>
      <c r="P254" s="52"/>
    </row>
    <row r="255">
      <c r="F255" s="116" t="str">
        <f t="shared" si="1"/>
        <v/>
      </c>
      <c r="P255" s="52"/>
    </row>
    <row r="256">
      <c r="F256" s="116" t="str">
        <f t="shared" si="1"/>
        <v/>
      </c>
      <c r="P256" s="52"/>
    </row>
    <row r="257">
      <c r="F257" s="116" t="str">
        <f t="shared" si="1"/>
        <v/>
      </c>
      <c r="P257" s="52"/>
    </row>
    <row r="258">
      <c r="F258" s="116" t="str">
        <f t="shared" si="1"/>
        <v/>
      </c>
      <c r="P258" s="52"/>
    </row>
    <row r="259">
      <c r="F259" s="116" t="str">
        <f t="shared" si="1"/>
        <v/>
      </c>
      <c r="P259" s="52"/>
    </row>
    <row r="260">
      <c r="F260" s="116" t="str">
        <f t="shared" si="1"/>
        <v/>
      </c>
      <c r="P260" s="52"/>
    </row>
    <row r="261">
      <c r="F261" s="116" t="str">
        <f t="shared" si="1"/>
        <v/>
      </c>
      <c r="P261" s="52"/>
    </row>
    <row r="262">
      <c r="F262" s="116" t="str">
        <f t="shared" si="1"/>
        <v/>
      </c>
      <c r="P262" s="52"/>
    </row>
    <row r="263">
      <c r="F263" s="116" t="str">
        <f t="shared" si="1"/>
        <v/>
      </c>
      <c r="P263" s="52"/>
    </row>
    <row r="264">
      <c r="F264" s="116" t="str">
        <f t="shared" si="1"/>
        <v/>
      </c>
      <c r="P264" s="52"/>
    </row>
    <row r="265">
      <c r="F265" s="116" t="str">
        <f t="shared" si="1"/>
        <v/>
      </c>
      <c r="P265" s="52"/>
    </row>
    <row r="266">
      <c r="F266" s="116" t="str">
        <f t="shared" si="1"/>
        <v/>
      </c>
      <c r="P266" s="52"/>
    </row>
    <row r="267">
      <c r="F267" s="116" t="str">
        <f t="shared" si="1"/>
        <v/>
      </c>
      <c r="P267" s="52"/>
    </row>
    <row r="268">
      <c r="F268" s="116" t="str">
        <f t="shared" si="1"/>
        <v/>
      </c>
      <c r="P268" s="52"/>
    </row>
    <row r="269">
      <c r="F269" s="116" t="str">
        <f t="shared" si="1"/>
        <v/>
      </c>
      <c r="P269" s="52"/>
    </row>
    <row r="270">
      <c r="F270" s="116" t="str">
        <f t="shared" si="1"/>
        <v/>
      </c>
      <c r="P270" s="52"/>
    </row>
    <row r="271">
      <c r="F271" s="116" t="str">
        <f t="shared" si="1"/>
        <v/>
      </c>
      <c r="P271" s="52"/>
    </row>
    <row r="272">
      <c r="F272" s="116" t="str">
        <f t="shared" si="1"/>
        <v/>
      </c>
      <c r="P272" s="52"/>
    </row>
    <row r="273">
      <c r="F273" s="116" t="str">
        <f t="shared" si="1"/>
        <v/>
      </c>
      <c r="P273" s="52"/>
    </row>
    <row r="274">
      <c r="F274" s="116" t="str">
        <f t="shared" si="1"/>
        <v/>
      </c>
      <c r="P274" s="52"/>
    </row>
    <row r="275">
      <c r="F275" s="116" t="str">
        <f t="shared" si="1"/>
        <v/>
      </c>
      <c r="P275" s="52"/>
    </row>
    <row r="276">
      <c r="F276" s="116" t="str">
        <f t="shared" si="1"/>
        <v/>
      </c>
      <c r="P276" s="52"/>
    </row>
    <row r="277">
      <c r="F277" s="116" t="str">
        <f t="shared" si="1"/>
        <v/>
      </c>
      <c r="P277" s="52"/>
    </row>
    <row r="278">
      <c r="F278" s="116" t="str">
        <f t="shared" si="1"/>
        <v/>
      </c>
      <c r="P278" s="52"/>
    </row>
    <row r="279">
      <c r="F279" s="116" t="str">
        <f t="shared" si="1"/>
        <v/>
      </c>
      <c r="P279" s="52"/>
    </row>
    <row r="280">
      <c r="F280" s="116" t="str">
        <f t="shared" si="1"/>
        <v/>
      </c>
      <c r="P280" s="52"/>
    </row>
    <row r="281">
      <c r="F281" s="116" t="str">
        <f t="shared" si="1"/>
        <v/>
      </c>
      <c r="P281" s="52"/>
    </row>
    <row r="282">
      <c r="F282" s="116" t="str">
        <f t="shared" si="1"/>
        <v/>
      </c>
      <c r="P282" s="52"/>
    </row>
    <row r="283">
      <c r="F283" s="116" t="str">
        <f t="shared" si="1"/>
        <v/>
      </c>
      <c r="P283" s="52"/>
    </row>
    <row r="284">
      <c r="F284" s="116" t="str">
        <f t="shared" si="1"/>
        <v/>
      </c>
      <c r="P284" s="52"/>
    </row>
    <row r="285">
      <c r="F285" s="116" t="str">
        <f t="shared" si="1"/>
        <v/>
      </c>
      <c r="P285" s="52"/>
    </row>
    <row r="286">
      <c r="F286" s="116" t="str">
        <f t="shared" si="1"/>
        <v/>
      </c>
      <c r="P286" s="52"/>
    </row>
    <row r="287">
      <c r="F287" s="116" t="str">
        <f t="shared" si="1"/>
        <v/>
      </c>
      <c r="P287" s="52"/>
    </row>
    <row r="288">
      <c r="F288" s="116" t="str">
        <f t="shared" si="1"/>
        <v/>
      </c>
      <c r="P288" s="52"/>
    </row>
    <row r="289">
      <c r="F289" s="116" t="str">
        <f t="shared" si="1"/>
        <v/>
      </c>
      <c r="P289" s="52"/>
    </row>
    <row r="290">
      <c r="F290" s="116" t="str">
        <f t="shared" si="1"/>
        <v/>
      </c>
      <c r="P290" s="52"/>
    </row>
    <row r="291">
      <c r="F291" s="116" t="str">
        <f t="shared" si="1"/>
        <v/>
      </c>
      <c r="P291" s="52"/>
    </row>
    <row r="292">
      <c r="F292" s="116" t="str">
        <f t="shared" si="1"/>
        <v/>
      </c>
      <c r="P292" s="52"/>
    </row>
    <row r="293">
      <c r="F293" s="116" t="str">
        <f t="shared" si="1"/>
        <v/>
      </c>
      <c r="P293" s="52"/>
    </row>
    <row r="294">
      <c r="F294" s="116" t="str">
        <f t="shared" si="1"/>
        <v/>
      </c>
      <c r="P294" s="52"/>
    </row>
    <row r="295">
      <c r="F295" s="116" t="str">
        <f t="shared" si="1"/>
        <v/>
      </c>
      <c r="P295" s="52"/>
    </row>
    <row r="296">
      <c r="F296" s="116" t="str">
        <f t="shared" si="1"/>
        <v/>
      </c>
      <c r="P296" s="52"/>
    </row>
    <row r="297">
      <c r="F297" s="116" t="str">
        <f t="shared" si="1"/>
        <v/>
      </c>
      <c r="P297" s="52"/>
    </row>
    <row r="298">
      <c r="F298" s="116" t="str">
        <f t="shared" si="1"/>
        <v/>
      </c>
      <c r="P298" s="52"/>
    </row>
    <row r="299">
      <c r="F299" s="116" t="str">
        <f t="shared" si="1"/>
        <v/>
      </c>
      <c r="P299" s="52"/>
    </row>
    <row r="300">
      <c r="F300" s="116" t="str">
        <f t="shared" si="1"/>
        <v/>
      </c>
      <c r="P300" s="52"/>
    </row>
    <row r="301">
      <c r="F301" s="116" t="str">
        <f t="shared" si="1"/>
        <v/>
      </c>
      <c r="P301" s="52"/>
    </row>
    <row r="302">
      <c r="F302" s="116" t="str">
        <f t="shared" si="1"/>
        <v/>
      </c>
      <c r="P302" s="52"/>
    </row>
    <row r="303">
      <c r="F303" s="116" t="str">
        <f t="shared" si="1"/>
        <v/>
      </c>
      <c r="P303" s="52"/>
    </row>
    <row r="304">
      <c r="F304" s="116" t="str">
        <f t="shared" si="1"/>
        <v/>
      </c>
      <c r="P304" s="52"/>
    </row>
    <row r="305">
      <c r="F305" s="116" t="str">
        <f t="shared" si="1"/>
        <v/>
      </c>
      <c r="P305" s="52"/>
    </row>
    <row r="306">
      <c r="F306" s="116" t="str">
        <f t="shared" si="1"/>
        <v/>
      </c>
      <c r="P306" s="52"/>
    </row>
    <row r="307">
      <c r="F307" s="116" t="str">
        <f t="shared" si="1"/>
        <v/>
      </c>
      <c r="P307" s="52"/>
    </row>
    <row r="308">
      <c r="F308" s="116" t="str">
        <f t="shared" si="1"/>
        <v/>
      </c>
      <c r="P308" s="52"/>
    </row>
    <row r="309">
      <c r="F309" s="116" t="str">
        <f t="shared" si="1"/>
        <v/>
      </c>
      <c r="P309" s="52"/>
    </row>
    <row r="310">
      <c r="F310" s="116" t="str">
        <f t="shared" si="1"/>
        <v/>
      </c>
      <c r="P310" s="52"/>
    </row>
    <row r="311">
      <c r="F311" s="116" t="str">
        <f t="shared" si="1"/>
        <v/>
      </c>
      <c r="P311" s="52"/>
    </row>
    <row r="312">
      <c r="F312" s="116" t="str">
        <f t="shared" si="1"/>
        <v/>
      </c>
      <c r="P312" s="52"/>
    </row>
    <row r="313">
      <c r="F313" s="116" t="str">
        <f t="shared" si="1"/>
        <v/>
      </c>
      <c r="P313" s="52"/>
    </row>
    <row r="314">
      <c r="F314" s="116" t="str">
        <f t="shared" si="1"/>
        <v/>
      </c>
      <c r="P314" s="52"/>
    </row>
    <row r="315">
      <c r="F315" s="116" t="str">
        <f t="shared" si="1"/>
        <v/>
      </c>
      <c r="P315" s="52"/>
    </row>
    <row r="316">
      <c r="F316" s="116" t="str">
        <f t="shared" si="1"/>
        <v/>
      </c>
      <c r="P316" s="52"/>
    </row>
    <row r="317">
      <c r="F317" s="116" t="str">
        <f t="shared" si="1"/>
        <v/>
      </c>
      <c r="P317" s="52"/>
    </row>
    <row r="318">
      <c r="F318" s="116" t="str">
        <f t="shared" si="1"/>
        <v/>
      </c>
      <c r="P318" s="52"/>
    </row>
    <row r="319">
      <c r="F319" s="116" t="str">
        <f t="shared" si="1"/>
        <v/>
      </c>
      <c r="P319" s="52"/>
    </row>
    <row r="320">
      <c r="F320" s="116" t="str">
        <f t="shared" si="1"/>
        <v/>
      </c>
      <c r="P320" s="52"/>
    </row>
    <row r="321">
      <c r="F321" s="116" t="str">
        <f t="shared" si="1"/>
        <v/>
      </c>
      <c r="P321" s="52"/>
    </row>
    <row r="322">
      <c r="F322" s="116" t="str">
        <f t="shared" si="1"/>
        <v/>
      </c>
      <c r="P322" s="52"/>
    </row>
    <row r="323">
      <c r="F323" s="116" t="str">
        <f t="shared" si="1"/>
        <v/>
      </c>
      <c r="P323" s="52"/>
    </row>
    <row r="324">
      <c r="F324" s="116" t="str">
        <f t="shared" si="1"/>
        <v/>
      </c>
      <c r="P324" s="52"/>
    </row>
    <row r="325">
      <c r="F325" s="116" t="str">
        <f t="shared" si="1"/>
        <v/>
      </c>
      <c r="P325" s="52"/>
    </row>
    <row r="326">
      <c r="F326" s="116" t="str">
        <f t="shared" si="1"/>
        <v/>
      </c>
      <c r="P326" s="52"/>
    </row>
    <row r="327">
      <c r="F327" s="116" t="str">
        <f t="shared" si="1"/>
        <v/>
      </c>
      <c r="P327" s="52"/>
    </row>
    <row r="328">
      <c r="F328" s="116" t="str">
        <f t="shared" si="1"/>
        <v/>
      </c>
      <c r="P328" s="52"/>
    </row>
    <row r="329">
      <c r="F329" s="116" t="str">
        <f t="shared" si="1"/>
        <v/>
      </c>
      <c r="P329" s="52"/>
    </row>
    <row r="330">
      <c r="F330" s="116" t="str">
        <f t="shared" si="1"/>
        <v/>
      </c>
      <c r="P330" s="52"/>
    </row>
    <row r="331">
      <c r="F331" s="116" t="str">
        <f t="shared" si="1"/>
        <v/>
      </c>
      <c r="P331" s="52"/>
    </row>
    <row r="332">
      <c r="F332" s="116" t="str">
        <f t="shared" si="1"/>
        <v/>
      </c>
      <c r="P332" s="52"/>
    </row>
    <row r="333">
      <c r="F333" s="116" t="str">
        <f t="shared" si="1"/>
        <v/>
      </c>
      <c r="P333" s="52"/>
    </row>
    <row r="334">
      <c r="F334" s="116" t="str">
        <f t="shared" si="1"/>
        <v/>
      </c>
      <c r="P334" s="52"/>
    </row>
    <row r="335">
      <c r="F335" s="116" t="str">
        <f t="shared" si="1"/>
        <v/>
      </c>
      <c r="P335" s="52"/>
    </row>
    <row r="336">
      <c r="F336" s="116" t="str">
        <f t="shared" si="1"/>
        <v/>
      </c>
      <c r="P336" s="52"/>
    </row>
    <row r="337">
      <c r="F337" s="116" t="str">
        <f t="shared" si="1"/>
        <v/>
      </c>
      <c r="P337" s="52"/>
    </row>
    <row r="338">
      <c r="F338" s="116" t="str">
        <f t="shared" si="1"/>
        <v/>
      </c>
      <c r="P338" s="52"/>
    </row>
    <row r="339">
      <c r="F339" s="116" t="str">
        <f t="shared" si="1"/>
        <v/>
      </c>
      <c r="P339" s="52"/>
    </row>
    <row r="340">
      <c r="F340" s="116" t="str">
        <f t="shared" si="1"/>
        <v/>
      </c>
      <c r="P340" s="52"/>
    </row>
    <row r="341">
      <c r="F341" s="116" t="str">
        <f t="shared" si="1"/>
        <v/>
      </c>
      <c r="P341" s="52"/>
    </row>
    <row r="342">
      <c r="F342" s="116" t="str">
        <f t="shared" si="1"/>
        <v/>
      </c>
      <c r="P342" s="52"/>
    </row>
    <row r="343">
      <c r="F343" s="116" t="str">
        <f t="shared" si="1"/>
        <v/>
      </c>
      <c r="P343" s="52"/>
    </row>
    <row r="344">
      <c r="F344" s="116" t="str">
        <f t="shared" si="1"/>
        <v/>
      </c>
      <c r="P344" s="52"/>
    </row>
    <row r="345">
      <c r="F345" s="116" t="str">
        <f t="shared" si="1"/>
        <v/>
      </c>
      <c r="P345" s="52"/>
    </row>
    <row r="346">
      <c r="F346" s="116" t="str">
        <f t="shared" si="1"/>
        <v/>
      </c>
      <c r="P346" s="52"/>
    </row>
    <row r="347">
      <c r="F347" s="116" t="str">
        <f t="shared" si="1"/>
        <v/>
      </c>
      <c r="P347" s="52"/>
    </row>
    <row r="348">
      <c r="F348" s="116" t="str">
        <f t="shared" si="1"/>
        <v/>
      </c>
      <c r="P348" s="52"/>
    </row>
    <row r="349">
      <c r="F349" s="116" t="str">
        <f t="shared" si="1"/>
        <v/>
      </c>
      <c r="P349" s="52"/>
    </row>
    <row r="350">
      <c r="F350" s="116" t="str">
        <f t="shared" si="1"/>
        <v/>
      </c>
      <c r="P350" s="52"/>
    </row>
    <row r="351">
      <c r="F351" s="116" t="str">
        <f t="shared" si="1"/>
        <v/>
      </c>
      <c r="P351" s="52"/>
    </row>
    <row r="352">
      <c r="F352" s="116" t="str">
        <f t="shared" si="1"/>
        <v/>
      </c>
      <c r="P352" s="52"/>
    </row>
    <row r="353">
      <c r="F353" s="116" t="str">
        <f t="shared" si="1"/>
        <v/>
      </c>
      <c r="P353" s="52"/>
    </row>
    <row r="354">
      <c r="F354" s="116" t="str">
        <f t="shared" si="1"/>
        <v/>
      </c>
      <c r="P354" s="52"/>
    </row>
    <row r="355">
      <c r="F355" s="116" t="str">
        <f t="shared" si="1"/>
        <v/>
      </c>
      <c r="P355" s="52"/>
    </row>
    <row r="356">
      <c r="F356" s="116" t="str">
        <f t="shared" si="1"/>
        <v/>
      </c>
      <c r="P356" s="52"/>
    </row>
    <row r="357">
      <c r="F357" s="116" t="str">
        <f t="shared" si="1"/>
        <v/>
      </c>
      <c r="P357" s="52"/>
    </row>
    <row r="358">
      <c r="F358" s="116" t="str">
        <f t="shared" si="1"/>
        <v/>
      </c>
      <c r="P358" s="52"/>
    </row>
    <row r="359">
      <c r="F359" s="116" t="str">
        <f t="shared" si="1"/>
        <v/>
      </c>
      <c r="P359" s="52"/>
    </row>
    <row r="360">
      <c r="F360" s="116" t="str">
        <f t="shared" si="1"/>
        <v/>
      </c>
      <c r="P360" s="52"/>
    </row>
    <row r="361">
      <c r="F361" s="116" t="str">
        <f t="shared" si="1"/>
        <v/>
      </c>
      <c r="P361" s="52"/>
    </row>
    <row r="362">
      <c r="F362" s="116" t="str">
        <f t="shared" si="1"/>
        <v/>
      </c>
      <c r="P362" s="52"/>
    </row>
    <row r="363">
      <c r="F363" s="116" t="str">
        <f t="shared" si="1"/>
        <v/>
      </c>
      <c r="P363" s="52"/>
    </row>
    <row r="364">
      <c r="F364" s="116" t="str">
        <f t="shared" si="1"/>
        <v/>
      </c>
      <c r="P364" s="52"/>
    </row>
    <row r="365">
      <c r="F365" s="116" t="str">
        <f t="shared" si="1"/>
        <v/>
      </c>
      <c r="P365" s="52"/>
    </row>
    <row r="366">
      <c r="F366" s="116" t="str">
        <f t="shared" si="1"/>
        <v/>
      </c>
      <c r="P366" s="52"/>
    </row>
    <row r="367">
      <c r="F367" s="116" t="str">
        <f t="shared" si="1"/>
        <v/>
      </c>
      <c r="P367" s="52"/>
    </row>
    <row r="368">
      <c r="F368" s="116" t="str">
        <f t="shared" si="1"/>
        <v/>
      </c>
      <c r="P368" s="52"/>
    </row>
    <row r="369">
      <c r="F369" s="116" t="str">
        <f t="shared" si="1"/>
        <v/>
      </c>
      <c r="P369" s="52"/>
    </row>
    <row r="370">
      <c r="F370" s="116" t="str">
        <f t="shared" si="1"/>
        <v/>
      </c>
      <c r="P370" s="52"/>
    </row>
    <row r="371">
      <c r="F371" s="116" t="str">
        <f t="shared" si="1"/>
        <v/>
      </c>
      <c r="P371" s="52"/>
    </row>
    <row r="372">
      <c r="F372" s="116" t="str">
        <f t="shared" si="1"/>
        <v/>
      </c>
      <c r="P372" s="52"/>
    </row>
    <row r="373">
      <c r="F373" s="116" t="str">
        <f t="shared" si="1"/>
        <v/>
      </c>
      <c r="P373" s="52"/>
    </row>
    <row r="374">
      <c r="F374" s="116" t="str">
        <f t="shared" si="1"/>
        <v/>
      </c>
      <c r="P374" s="52"/>
    </row>
    <row r="375">
      <c r="F375" s="116" t="str">
        <f t="shared" si="1"/>
        <v/>
      </c>
      <c r="P375" s="52"/>
    </row>
    <row r="376">
      <c r="F376" s="116" t="str">
        <f t="shared" si="1"/>
        <v/>
      </c>
      <c r="P376" s="52"/>
    </row>
    <row r="377">
      <c r="F377" s="116" t="str">
        <f t="shared" si="1"/>
        <v/>
      </c>
      <c r="P377" s="52"/>
    </row>
    <row r="378">
      <c r="F378" s="116" t="str">
        <f t="shared" si="1"/>
        <v/>
      </c>
      <c r="P378" s="52"/>
    </row>
    <row r="379">
      <c r="F379" s="116" t="str">
        <f t="shared" si="1"/>
        <v/>
      </c>
      <c r="P379" s="52"/>
    </row>
    <row r="380">
      <c r="F380" s="116" t="str">
        <f t="shared" si="1"/>
        <v/>
      </c>
      <c r="P380" s="52"/>
    </row>
    <row r="381">
      <c r="F381" s="116" t="str">
        <f t="shared" si="1"/>
        <v/>
      </c>
      <c r="P381" s="52"/>
    </row>
    <row r="382">
      <c r="F382" s="116" t="str">
        <f t="shared" si="1"/>
        <v/>
      </c>
      <c r="P382" s="52"/>
    </row>
    <row r="383">
      <c r="F383" s="116" t="str">
        <f t="shared" si="1"/>
        <v/>
      </c>
      <c r="P383" s="52"/>
    </row>
    <row r="384">
      <c r="F384" s="116" t="str">
        <f t="shared" si="1"/>
        <v/>
      </c>
      <c r="P384" s="52"/>
    </row>
    <row r="385">
      <c r="F385" s="116" t="str">
        <f t="shared" si="1"/>
        <v/>
      </c>
      <c r="P385" s="52"/>
    </row>
    <row r="386">
      <c r="F386" s="116" t="str">
        <f t="shared" si="1"/>
        <v/>
      </c>
      <c r="P386" s="52"/>
    </row>
    <row r="387">
      <c r="F387" s="116" t="str">
        <f t="shared" si="1"/>
        <v/>
      </c>
      <c r="P387" s="52"/>
    </row>
    <row r="388">
      <c r="F388" s="116" t="str">
        <f t="shared" si="1"/>
        <v/>
      </c>
      <c r="P388" s="52"/>
    </row>
    <row r="389">
      <c r="F389" s="116" t="str">
        <f t="shared" si="1"/>
        <v/>
      </c>
      <c r="P389" s="52"/>
    </row>
    <row r="390">
      <c r="F390" s="116" t="str">
        <f t="shared" si="1"/>
        <v/>
      </c>
      <c r="P390" s="52"/>
    </row>
    <row r="391">
      <c r="F391" s="116" t="str">
        <f t="shared" si="1"/>
        <v/>
      </c>
      <c r="P391" s="52"/>
    </row>
    <row r="392">
      <c r="F392" s="116" t="str">
        <f t="shared" si="1"/>
        <v/>
      </c>
      <c r="P392" s="52"/>
    </row>
    <row r="393">
      <c r="F393" s="116" t="str">
        <f t="shared" si="1"/>
        <v/>
      </c>
      <c r="P393" s="52"/>
    </row>
    <row r="394">
      <c r="F394" s="116" t="str">
        <f t="shared" si="1"/>
        <v/>
      </c>
      <c r="P394" s="52"/>
    </row>
    <row r="395">
      <c r="F395" s="116" t="str">
        <f t="shared" si="1"/>
        <v/>
      </c>
      <c r="P395" s="52"/>
    </row>
    <row r="396">
      <c r="F396" s="116" t="str">
        <f t="shared" si="1"/>
        <v/>
      </c>
      <c r="P396" s="52"/>
    </row>
    <row r="397">
      <c r="F397" s="116" t="str">
        <f t="shared" si="1"/>
        <v/>
      </c>
      <c r="P397" s="52"/>
    </row>
    <row r="398">
      <c r="F398" s="116" t="str">
        <f t="shared" si="1"/>
        <v/>
      </c>
      <c r="P398" s="52"/>
    </row>
    <row r="399">
      <c r="F399" s="116" t="str">
        <f t="shared" si="1"/>
        <v/>
      </c>
      <c r="P399" s="52"/>
    </row>
    <row r="400">
      <c r="F400" s="116" t="str">
        <f t="shared" si="1"/>
        <v/>
      </c>
      <c r="P400" s="52"/>
    </row>
    <row r="401">
      <c r="F401" s="116" t="str">
        <f t="shared" si="1"/>
        <v/>
      </c>
      <c r="P401" s="52"/>
    </row>
    <row r="402">
      <c r="F402" s="116" t="str">
        <f t="shared" si="1"/>
        <v/>
      </c>
      <c r="P402" s="52"/>
    </row>
    <row r="403">
      <c r="F403" s="116" t="str">
        <f t="shared" si="1"/>
        <v/>
      </c>
      <c r="P403" s="52"/>
    </row>
    <row r="404">
      <c r="F404" s="116" t="str">
        <f t="shared" si="1"/>
        <v/>
      </c>
      <c r="P404" s="52"/>
    </row>
    <row r="405">
      <c r="F405" s="116" t="str">
        <f t="shared" si="1"/>
        <v/>
      </c>
      <c r="P405" s="52"/>
    </row>
    <row r="406">
      <c r="F406" s="116" t="str">
        <f t="shared" si="1"/>
        <v/>
      </c>
      <c r="P406" s="52"/>
    </row>
    <row r="407">
      <c r="F407" s="116" t="str">
        <f t="shared" si="1"/>
        <v/>
      </c>
      <c r="P407" s="52"/>
    </row>
    <row r="408">
      <c r="F408" s="116" t="str">
        <f t="shared" si="1"/>
        <v/>
      </c>
      <c r="P408" s="52"/>
    </row>
    <row r="409">
      <c r="F409" s="116" t="str">
        <f t="shared" si="1"/>
        <v/>
      </c>
      <c r="P409" s="52"/>
    </row>
    <row r="410">
      <c r="F410" s="116" t="str">
        <f t="shared" si="1"/>
        <v/>
      </c>
      <c r="P410" s="52"/>
    </row>
    <row r="411">
      <c r="F411" s="116" t="str">
        <f t="shared" si="1"/>
        <v/>
      </c>
      <c r="P411" s="52"/>
    </row>
    <row r="412">
      <c r="F412" s="116" t="str">
        <f t="shared" si="1"/>
        <v/>
      </c>
      <c r="P412" s="52"/>
    </row>
    <row r="413">
      <c r="F413" s="116" t="str">
        <f t="shared" si="1"/>
        <v/>
      </c>
      <c r="P413" s="52"/>
    </row>
    <row r="414">
      <c r="F414" s="116" t="str">
        <f t="shared" si="1"/>
        <v/>
      </c>
      <c r="P414" s="52"/>
    </row>
    <row r="415">
      <c r="F415" s="116" t="str">
        <f t="shared" si="1"/>
        <v/>
      </c>
      <c r="P415" s="52"/>
    </row>
    <row r="416">
      <c r="F416" s="116" t="str">
        <f t="shared" si="1"/>
        <v/>
      </c>
      <c r="P416" s="52"/>
    </row>
    <row r="417">
      <c r="F417" s="116" t="str">
        <f t="shared" si="1"/>
        <v/>
      </c>
      <c r="P417" s="52"/>
    </row>
    <row r="418">
      <c r="F418" s="116" t="str">
        <f t="shared" si="1"/>
        <v/>
      </c>
      <c r="P418" s="52"/>
    </row>
    <row r="419">
      <c r="F419" s="116" t="str">
        <f t="shared" si="1"/>
        <v/>
      </c>
      <c r="P419" s="52"/>
    </row>
    <row r="420">
      <c r="F420" s="116" t="str">
        <f t="shared" si="1"/>
        <v/>
      </c>
      <c r="P420" s="52"/>
    </row>
    <row r="421">
      <c r="F421" s="116" t="str">
        <f t="shared" si="1"/>
        <v/>
      </c>
      <c r="P421" s="52"/>
    </row>
    <row r="422">
      <c r="F422" s="116" t="str">
        <f t="shared" si="1"/>
        <v/>
      </c>
      <c r="P422" s="52"/>
    </row>
    <row r="423">
      <c r="F423" s="116" t="str">
        <f t="shared" si="1"/>
        <v/>
      </c>
      <c r="P423" s="52"/>
    </row>
    <row r="424">
      <c r="F424" s="116" t="str">
        <f t="shared" si="1"/>
        <v/>
      </c>
      <c r="P424" s="52"/>
    </row>
    <row r="425">
      <c r="F425" s="116" t="str">
        <f t="shared" si="1"/>
        <v/>
      </c>
      <c r="P425" s="52"/>
    </row>
    <row r="426">
      <c r="F426" s="116" t="str">
        <f t="shared" si="1"/>
        <v/>
      </c>
      <c r="P426" s="52"/>
    </row>
    <row r="427">
      <c r="F427" s="116" t="str">
        <f t="shared" si="1"/>
        <v/>
      </c>
      <c r="P427" s="52"/>
    </row>
    <row r="428">
      <c r="F428" s="116" t="str">
        <f t="shared" si="1"/>
        <v/>
      </c>
      <c r="P428" s="52"/>
    </row>
    <row r="429">
      <c r="F429" s="116" t="str">
        <f t="shared" si="1"/>
        <v/>
      </c>
      <c r="P429" s="52"/>
    </row>
    <row r="430">
      <c r="F430" s="116" t="str">
        <f t="shared" si="1"/>
        <v/>
      </c>
      <c r="P430" s="52"/>
    </row>
    <row r="431">
      <c r="F431" s="116" t="str">
        <f t="shared" si="1"/>
        <v/>
      </c>
      <c r="P431" s="52"/>
    </row>
    <row r="432">
      <c r="F432" s="116" t="str">
        <f t="shared" si="1"/>
        <v/>
      </c>
      <c r="P432" s="52"/>
    </row>
    <row r="433">
      <c r="F433" s="116" t="str">
        <f t="shared" si="1"/>
        <v/>
      </c>
      <c r="P433" s="52"/>
    </row>
    <row r="434">
      <c r="F434" s="116" t="str">
        <f t="shared" si="1"/>
        <v/>
      </c>
      <c r="P434" s="52"/>
    </row>
    <row r="435">
      <c r="F435" s="116" t="str">
        <f t="shared" si="1"/>
        <v/>
      </c>
      <c r="P435" s="52"/>
    </row>
    <row r="436">
      <c r="F436" s="116" t="str">
        <f t="shared" si="1"/>
        <v/>
      </c>
      <c r="P436" s="52"/>
    </row>
    <row r="437">
      <c r="F437" s="116" t="str">
        <f t="shared" si="1"/>
        <v/>
      </c>
      <c r="P437" s="52"/>
    </row>
    <row r="438">
      <c r="F438" s="116" t="str">
        <f t="shared" si="1"/>
        <v/>
      </c>
      <c r="P438" s="52"/>
    </row>
    <row r="439">
      <c r="F439" s="116" t="str">
        <f t="shared" si="1"/>
        <v/>
      </c>
      <c r="P439" s="52"/>
    </row>
    <row r="440">
      <c r="F440" s="116" t="str">
        <f t="shared" si="1"/>
        <v/>
      </c>
      <c r="P440" s="52"/>
    </row>
    <row r="441">
      <c r="F441" s="116" t="str">
        <f t="shared" si="1"/>
        <v/>
      </c>
      <c r="P441" s="52"/>
    </row>
    <row r="442">
      <c r="F442" s="116" t="str">
        <f t="shared" si="1"/>
        <v/>
      </c>
      <c r="P442" s="52"/>
    </row>
    <row r="443">
      <c r="F443" s="116" t="str">
        <f t="shared" si="1"/>
        <v/>
      </c>
      <c r="P443" s="52"/>
    </row>
    <row r="444">
      <c r="F444" s="116" t="str">
        <f t="shared" si="1"/>
        <v/>
      </c>
      <c r="P444" s="52"/>
    </row>
    <row r="445">
      <c r="F445" s="116" t="str">
        <f t="shared" si="1"/>
        <v/>
      </c>
      <c r="P445" s="52"/>
    </row>
    <row r="446">
      <c r="F446" s="116" t="str">
        <f t="shared" si="1"/>
        <v/>
      </c>
      <c r="P446" s="52"/>
    </row>
    <row r="447">
      <c r="F447" s="116" t="str">
        <f t="shared" si="1"/>
        <v/>
      </c>
      <c r="P447" s="52"/>
    </row>
    <row r="448">
      <c r="F448" s="116" t="str">
        <f t="shared" si="1"/>
        <v/>
      </c>
      <c r="P448" s="52"/>
    </row>
    <row r="449">
      <c r="F449" s="116" t="str">
        <f t="shared" si="1"/>
        <v/>
      </c>
      <c r="P449" s="52"/>
    </row>
    <row r="450">
      <c r="F450" s="116" t="str">
        <f t="shared" si="1"/>
        <v/>
      </c>
      <c r="P450" s="52"/>
    </row>
    <row r="451">
      <c r="F451" s="116" t="str">
        <f t="shared" si="1"/>
        <v/>
      </c>
      <c r="P451" s="52"/>
    </row>
    <row r="452">
      <c r="F452" s="116" t="str">
        <f t="shared" si="1"/>
        <v/>
      </c>
      <c r="P452" s="52"/>
    </row>
    <row r="453">
      <c r="F453" s="116" t="str">
        <f t="shared" si="1"/>
        <v/>
      </c>
      <c r="P453" s="52"/>
    </row>
    <row r="454">
      <c r="F454" s="116" t="str">
        <f t="shared" si="1"/>
        <v/>
      </c>
      <c r="P454" s="52"/>
    </row>
    <row r="455">
      <c r="F455" s="116" t="str">
        <f t="shared" si="1"/>
        <v/>
      </c>
      <c r="P455" s="52"/>
    </row>
    <row r="456">
      <c r="F456" s="116" t="str">
        <f t="shared" si="1"/>
        <v/>
      </c>
      <c r="P456" s="52"/>
    </row>
    <row r="457">
      <c r="F457" s="116" t="str">
        <f t="shared" si="1"/>
        <v/>
      </c>
      <c r="P457" s="52"/>
    </row>
    <row r="458">
      <c r="F458" s="116" t="str">
        <f t="shared" si="1"/>
        <v/>
      </c>
      <c r="P458" s="52"/>
    </row>
    <row r="459">
      <c r="F459" s="116" t="str">
        <f t="shared" si="1"/>
        <v/>
      </c>
      <c r="P459" s="52"/>
    </row>
    <row r="460">
      <c r="F460" s="116" t="str">
        <f t="shared" si="1"/>
        <v/>
      </c>
      <c r="P460" s="52"/>
    </row>
    <row r="461">
      <c r="F461" s="116" t="str">
        <f t="shared" si="1"/>
        <v/>
      </c>
      <c r="P461" s="52"/>
    </row>
    <row r="462">
      <c r="F462" s="116" t="str">
        <f t="shared" si="1"/>
        <v/>
      </c>
      <c r="P462" s="52"/>
    </row>
    <row r="463">
      <c r="F463" s="116" t="str">
        <f t="shared" si="1"/>
        <v/>
      </c>
      <c r="P463" s="52"/>
    </row>
    <row r="464">
      <c r="F464" s="116" t="str">
        <f t="shared" si="1"/>
        <v/>
      </c>
      <c r="P464" s="52"/>
    </row>
    <row r="465">
      <c r="F465" s="116" t="str">
        <f t="shared" si="1"/>
        <v/>
      </c>
      <c r="P465" s="52"/>
    </row>
    <row r="466">
      <c r="F466" s="116" t="str">
        <f t="shared" si="1"/>
        <v/>
      </c>
      <c r="P466" s="52"/>
    </row>
    <row r="467">
      <c r="F467" s="116" t="str">
        <f t="shared" si="1"/>
        <v/>
      </c>
      <c r="P467" s="52"/>
    </row>
    <row r="468">
      <c r="F468" s="116" t="str">
        <f t="shared" si="1"/>
        <v/>
      </c>
      <c r="P468" s="52"/>
    </row>
    <row r="469">
      <c r="F469" s="116" t="str">
        <f t="shared" si="1"/>
        <v/>
      </c>
      <c r="P469" s="52"/>
    </row>
    <row r="470">
      <c r="F470" s="116" t="str">
        <f t="shared" si="1"/>
        <v/>
      </c>
      <c r="P470" s="52"/>
    </row>
    <row r="471">
      <c r="F471" s="116" t="str">
        <f t="shared" si="1"/>
        <v/>
      </c>
      <c r="P471" s="52"/>
    </row>
    <row r="472">
      <c r="F472" s="116" t="str">
        <f t="shared" si="1"/>
        <v/>
      </c>
      <c r="P472" s="52"/>
    </row>
    <row r="473">
      <c r="F473" s="116" t="str">
        <f t="shared" si="1"/>
        <v/>
      </c>
      <c r="P473" s="52"/>
    </row>
    <row r="474">
      <c r="F474" s="116" t="str">
        <f t="shared" si="1"/>
        <v/>
      </c>
      <c r="P474" s="52"/>
    </row>
    <row r="475">
      <c r="F475" s="116" t="str">
        <f t="shared" si="1"/>
        <v/>
      </c>
      <c r="P475" s="52"/>
    </row>
    <row r="476">
      <c r="F476" s="116" t="str">
        <f t="shared" si="1"/>
        <v/>
      </c>
      <c r="P476" s="52"/>
    </row>
    <row r="477">
      <c r="F477" s="116" t="str">
        <f t="shared" si="1"/>
        <v/>
      </c>
      <c r="P477" s="52"/>
    </row>
    <row r="478">
      <c r="F478" s="116" t="str">
        <f t="shared" si="1"/>
        <v/>
      </c>
      <c r="P478" s="52"/>
    </row>
    <row r="479">
      <c r="F479" s="116" t="str">
        <f t="shared" si="1"/>
        <v/>
      </c>
      <c r="P479" s="52"/>
    </row>
    <row r="480">
      <c r="F480" s="116" t="str">
        <f t="shared" si="1"/>
        <v/>
      </c>
      <c r="P480" s="52"/>
    </row>
    <row r="481">
      <c r="F481" s="116" t="str">
        <f t="shared" si="1"/>
        <v/>
      </c>
      <c r="P481" s="52"/>
    </row>
    <row r="482">
      <c r="F482" s="116" t="str">
        <f t="shared" si="1"/>
        <v/>
      </c>
      <c r="P482" s="52"/>
    </row>
    <row r="483">
      <c r="F483" s="116" t="str">
        <f t="shared" si="1"/>
        <v/>
      </c>
      <c r="P483" s="52"/>
    </row>
    <row r="484">
      <c r="F484" s="116" t="str">
        <f t="shared" si="1"/>
        <v/>
      </c>
      <c r="P484" s="52"/>
    </row>
    <row r="485">
      <c r="F485" s="116" t="str">
        <f t="shared" si="1"/>
        <v/>
      </c>
      <c r="P485" s="52"/>
    </row>
    <row r="486">
      <c r="F486" s="116" t="str">
        <f t="shared" si="1"/>
        <v/>
      </c>
      <c r="P486" s="52"/>
    </row>
    <row r="487">
      <c r="F487" s="116" t="str">
        <f t="shared" si="1"/>
        <v/>
      </c>
      <c r="P487" s="52"/>
    </row>
    <row r="488">
      <c r="F488" s="116" t="str">
        <f t="shared" si="1"/>
        <v/>
      </c>
      <c r="P488" s="52"/>
    </row>
    <row r="489">
      <c r="F489" s="116" t="str">
        <f t="shared" si="1"/>
        <v/>
      </c>
      <c r="P489" s="52"/>
    </row>
    <row r="490">
      <c r="F490" s="116" t="str">
        <f t="shared" si="1"/>
        <v/>
      </c>
      <c r="P490" s="52"/>
    </row>
    <row r="491">
      <c r="F491" s="116" t="str">
        <f t="shared" si="1"/>
        <v/>
      </c>
      <c r="P491" s="52"/>
    </row>
    <row r="492">
      <c r="F492" s="116" t="str">
        <f t="shared" si="1"/>
        <v/>
      </c>
      <c r="P492" s="52"/>
    </row>
    <row r="493">
      <c r="F493" s="116" t="str">
        <f t="shared" si="1"/>
        <v/>
      </c>
      <c r="P493" s="52"/>
    </row>
    <row r="494">
      <c r="F494" s="116" t="str">
        <f t="shared" si="1"/>
        <v/>
      </c>
      <c r="P494" s="52"/>
    </row>
    <row r="495">
      <c r="F495" s="116" t="str">
        <f t="shared" si="1"/>
        <v/>
      </c>
      <c r="P495" s="52"/>
    </row>
    <row r="496">
      <c r="F496" s="116" t="str">
        <f t="shared" si="1"/>
        <v/>
      </c>
      <c r="P496" s="52"/>
    </row>
    <row r="497">
      <c r="F497" s="116" t="str">
        <f t="shared" si="1"/>
        <v/>
      </c>
      <c r="P497" s="52"/>
    </row>
    <row r="498">
      <c r="F498" s="116" t="str">
        <f t="shared" si="1"/>
        <v/>
      </c>
      <c r="P498" s="52"/>
    </row>
    <row r="499">
      <c r="F499" s="116" t="str">
        <f t="shared" si="1"/>
        <v/>
      </c>
      <c r="P499" s="52"/>
    </row>
    <row r="500">
      <c r="F500" s="116" t="str">
        <f t="shared" si="1"/>
        <v/>
      </c>
      <c r="P500" s="52"/>
    </row>
    <row r="501">
      <c r="F501" s="116" t="str">
        <f t="shared" si="1"/>
        <v/>
      </c>
      <c r="P501" s="52"/>
    </row>
    <row r="502">
      <c r="F502" s="116" t="str">
        <f t="shared" si="1"/>
        <v/>
      </c>
      <c r="P502" s="52"/>
    </row>
    <row r="503">
      <c r="F503" s="116" t="str">
        <f t="shared" si="1"/>
        <v/>
      </c>
      <c r="P503" s="52"/>
    </row>
    <row r="504">
      <c r="F504" s="116" t="str">
        <f t="shared" si="1"/>
        <v/>
      </c>
      <c r="P504" s="52"/>
    </row>
    <row r="505">
      <c r="F505" s="116" t="str">
        <f t="shared" si="1"/>
        <v/>
      </c>
      <c r="P505" s="52"/>
    </row>
    <row r="506">
      <c r="F506" s="116" t="str">
        <f t="shared" si="1"/>
        <v/>
      </c>
      <c r="P506" s="52"/>
    </row>
    <row r="507">
      <c r="F507" s="116" t="str">
        <f t="shared" si="1"/>
        <v/>
      </c>
      <c r="P507" s="52"/>
    </row>
    <row r="508">
      <c r="F508" s="116" t="str">
        <f t="shared" si="1"/>
        <v/>
      </c>
      <c r="P508" s="52"/>
    </row>
    <row r="509">
      <c r="F509" s="116" t="str">
        <f t="shared" si="1"/>
        <v/>
      </c>
      <c r="P509" s="52"/>
    </row>
    <row r="510">
      <c r="F510" s="116" t="str">
        <f t="shared" si="1"/>
        <v/>
      </c>
      <c r="P510" s="52"/>
    </row>
    <row r="511">
      <c r="F511" s="116" t="str">
        <f t="shared" si="1"/>
        <v/>
      </c>
      <c r="P511" s="52"/>
    </row>
    <row r="512">
      <c r="F512" s="116" t="str">
        <f t="shared" si="1"/>
        <v/>
      </c>
      <c r="P512" s="52"/>
    </row>
    <row r="513">
      <c r="F513" s="116" t="str">
        <f t="shared" si="1"/>
        <v/>
      </c>
      <c r="P513" s="52"/>
    </row>
    <row r="514">
      <c r="F514" s="116" t="str">
        <f t="shared" si="1"/>
        <v/>
      </c>
      <c r="P514" s="52"/>
    </row>
    <row r="515">
      <c r="F515" s="116" t="str">
        <f t="shared" si="1"/>
        <v/>
      </c>
      <c r="P515" s="52"/>
    </row>
    <row r="516">
      <c r="F516" s="116" t="str">
        <f t="shared" si="1"/>
        <v/>
      </c>
      <c r="P516" s="52"/>
    </row>
    <row r="517">
      <c r="F517" s="116" t="str">
        <f t="shared" si="1"/>
        <v/>
      </c>
      <c r="P517" s="52"/>
    </row>
    <row r="518">
      <c r="F518" s="116" t="str">
        <f t="shared" si="1"/>
        <v/>
      </c>
      <c r="P518" s="52"/>
    </row>
    <row r="519">
      <c r="F519" s="116" t="str">
        <f t="shared" si="1"/>
        <v/>
      </c>
      <c r="P519" s="52"/>
    </row>
    <row r="520">
      <c r="F520" s="116" t="str">
        <f t="shared" si="1"/>
        <v/>
      </c>
      <c r="P520" s="52"/>
    </row>
    <row r="521">
      <c r="F521" s="116" t="str">
        <f t="shared" si="1"/>
        <v/>
      </c>
      <c r="P521" s="52"/>
    </row>
    <row r="522">
      <c r="F522" s="116" t="str">
        <f t="shared" si="1"/>
        <v/>
      </c>
      <c r="P522" s="52"/>
    </row>
    <row r="523">
      <c r="F523" s="116" t="str">
        <f t="shared" si="1"/>
        <v/>
      </c>
      <c r="P523" s="52"/>
    </row>
    <row r="524">
      <c r="F524" s="116" t="str">
        <f t="shared" si="1"/>
        <v/>
      </c>
      <c r="P524" s="52"/>
    </row>
    <row r="525">
      <c r="F525" s="116" t="str">
        <f t="shared" si="1"/>
        <v/>
      </c>
      <c r="P525" s="52"/>
    </row>
    <row r="526">
      <c r="F526" s="116" t="str">
        <f t="shared" si="1"/>
        <v/>
      </c>
      <c r="P526" s="52"/>
    </row>
    <row r="527">
      <c r="F527" s="116" t="str">
        <f t="shared" si="1"/>
        <v/>
      </c>
      <c r="P527" s="52"/>
    </row>
    <row r="528">
      <c r="F528" s="116" t="str">
        <f t="shared" si="1"/>
        <v/>
      </c>
      <c r="P528" s="52"/>
    </row>
    <row r="529">
      <c r="F529" s="116" t="str">
        <f t="shared" si="1"/>
        <v/>
      </c>
      <c r="P529" s="52"/>
    </row>
    <row r="530">
      <c r="F530" s="116" t="str">
        <f t="shared" si="1"/>
        <v/>
      </c>
      <c r="P530" s="52"/>
    </row>
    <row r="531">
      <c r="F531" s="116" t="str">
        <f t="shared" si="1"/>
        <v/>
      </c>
      <c r="P531" s="52"/>
    </row>
    <row r="532">
      <c r="F532" s="116" t="str">
        <f t="shared" si="1"/>
        <v/>
      </c>
      <c r="P532" s="52"/>
    </row>
    <row r="533">
      <c r="F533" s="116" t="str">
        <f t="shared" si="1"/>
        <v/>
      </c>
      <c r="P533" s="52"/>
    </row>
    <row r="534">
      <c r="F534" s="116" t="str">
        <f t="shared" si="1"/>
        <v/>
      </c>
      <c r="P534" s="52"/>
    </row>
    <row r="535">
      <c r="F535" s="116" t="str">
        <f t="shared" si="1"/>
        <v/>
      </c>
      <c r="P535" s="52"/>
    </row>
    <row r="536">
      <c r="F536" s="116" t="str">
        <f t="shared" si="1"/>
        <v/>
      </c>
      <c r="P536" s="52"/>
    </row>
    <row r="537">
      <c r="F537" s="116" t="str">
        <f t="shared" si="1"/>
        <v/>
      </c>
      <c r="P537" s="52"/>
    </row>
    <row r="538">
      <c r="F538" s="116" t="str">
        <f t="shared" si="1"/>
        <v/>
      </c>
      <c r="P538" s="52"/>
    </row>
    <row r="539">
      <c r="F539" s="116" t="str">
        <f t="shared" si="1"/>
        <v/>
      </c>
      <c r="P539" s="52"/>
    </row>
    <row r="540">
      <c r="F540" s="116" t="str">
        <f t="shared" si="1"/>
        <v/>
      </c>
      <c r="P540" s="52"/>
    </row>
    <row r="541">
      <c r="F541" s="116" t="str">
        <f t="shared" si="1"/>
        <v/>
      </c>
      <c r="P541" s="52"/>
    </row>
    <row r="542">
      <c r="F542" s="116" t="str">
        <f t="shared" si="1"/>
        <v/>
      </c>
      <c r="P542" s="52"/>
    </row>
    <row r="543">
      <c r="F543" s="116" t="str">
        <f t="shared" si="1"/>
        <v/>
      </c>
      <c r="P543" s="52"/>
    </row>
    <row r="544">
      <c r="F544" s="116" t="str">
        <f t="shared" si="1"/>
        <v/>
      </c>
      <c r="P544" s="52"/>
    </row>
    <row r="545">
      <c r="F545" s="116" t="str">
        <f t="shared" si="1"/>
        <v/>
      </c>
      <c r="P545" s="52"/>
    </row>
    <row r="546">
      <c r="F546" s="116" t="str">
        <f t="shared" si="1"/>
        <v/>
      </c>
      <c r="P546" s="52"/>
    </row>
    <row r="547">
      <c r="F547" s="116" t="str">
        <f t="shared" si="1"/>
        <v/>
      </c>
      <c r="P547" s="52"/>
    </row>
    <row r="548">
      <c r="F548" s="116" t="str">
        <f t="shared" si="1"/>
        <v/>
      </c>
      <c r="P548" s="52"/>
    </row>
    <row r="549">
      <c r="F549" s="116" t="str">
        <f t="shared" si="1"/>
        <v/>
      </c>
      <c r="P549" s="52"/>
    </row>
    <row r="550">
      <c r="F550" s="116" t="str">
        <f t="shared" si="1"/>
        <v/>
      </c>
      <c r="P550" s="52"/>
    </row>
    <row r="551">
      <c r="F551" s="116" t="str">
        <f t="shared" si="1"/>
        <v/>
      </c>
      <c r="P551" s="52"/>
    </row>
    <row r="552">
      <c r="F552" s="116" t="str">
        <f t="shared" si="1"/>
        <v/>
      </c>
      <c r="P552" s="52"/>
    </row>
    <row r="553">
      <c r="F553" s="116" t="str">
        <f t="shared" si="1"/>
        <v/>
      </c>
      <c r="P553" s="52"/>
    </row>
    <row r="554">
      <c r="F554" s="116" t="str">
        <f t="shared" si="1"/>
        <v/>
      </c>
      <c r="P554" s="52"/>
    </row>
    <row r="555">
      <c r="F555" s="116" t="str">
        <f t="shared" si="1"/>
        <v/>
      </c>
      <c r="P555" s="52"/>
    </row>
    <row r="556">
      <c r="F556" s="116" t="str">
        <f t="shared" si="1"/>
        <v/>
      </c>
      <c r="P556" s="52"/>
    </row>
    <row r="557">
      <c r="F557" s="116" t="str">
        <f t="shared" si="1"/>
        <v/>
      </c>
      <c r="P557" s="52"/>
    </row>
    <row r="558">
      <c r="F558" s="116" t="str">
        <f t="shared" si="1"/>
        <v/>
      </c>
      <c r="P558" s="52"/>
    </row>
    <row r="559">
      <c r="F559" s="116" t="str">
        <f t="shared" si="1"/>
        <v/>
      </c>
      <c r="P559" s="52"/>
    </row>
    <row r="560">
      <c r="F560" s="116" t="str">
        <f t="shared" si="1"/>
        <v/>
      </c>
      <c r="P560" s="52"/>
    </row>
    <row r="561">
      <c r="F561" s="116" t="str">
        <f t="shared" si="1"/>
        <v/>
      </c>
      <c r="P561" s="52"/>
    </row>
    <row r="562">
      <c r="F562" s="116" t="str">
        <f t="shared" si="1"/>
        <v/>
      </c>
      <c r="P562" s="52"/>
    </row>
    <row r="563">
      <c r="F563" s="116" t="str">
        <f t="shared" si="1"/>
        <v/>
      </c>
      <c r="P563" s="52"/>
    </row>
    <row r="564">
      <c r="F564" s="116" t="str">
        <f t="shared" si="1"/>
        <v/>
      </c>
      <c r="P564" s="52"/>
    </row>
    <row r="565">
      <c r="F565" s="116" t="str">
        <f t="shared" si="1"/>
        <v/>
      </c>
      <c r="P565" s="52"/>
    </row>
    <row r="566">
      <c r="F566" s="116" t="str">
        <f t="shared" si="1"/>
        <v/>
      </c>
      <c r="P566" s="52"/>
    </row>
    <row r="567">
      <c r="F567" s="116" t="str">
        <f t="shared" si="1"/>
        <v/>
      </c>
      <c r="P567" s="52"/>
    </row>
    <row r="568">
      <c r="F568" s="116" t="str">
        <f t="shared" si="1"/>
        <v/>
      </c>
      <c r="P568" s="52"/>
    </row>
    <row r="569">
      <c r="F569" s="116" t="str">
        <f t="shared" si="1"/>
        <v/>
      </c>
      <c r="P569" s="52"/>
    </row>
    <row r="570">
      <c r="F570" s="116" t="str">
        <f t="shared" si="1"/>
        <v/>
      </c>
      <c r="P570" s="52"/>
    </row>
    <row r="571">
      <c r="F571" s="116" t="str">
        <f t="shared" si="1"/>
        <v/>
      </c>
      <c r="P571" s="52"/>
    </row>
    <row r="572">
      <c r="F572" s="116" t="str">
        <f t="shared" si="1"/>
        <v/>
      </c>
      <c r="P572" s="52"/>
    </row>
    <row r="573">
      <c r="F573" s="116" t="str">
        <f t="shared" si="1"/>
        <v/>
      </c>
      <c r="P573" s="52"/>
    </row>
    <row r="574">
      <c r="F574" s="116" t="str">
        <f t="shared" si="1"/>
        <v/>
      </c>
      <c r="P574" s="52"/>
    </row>
    <row r="575">
      <c r="F575" s="116" t="str">
        <f t="shared" si="1"/>
        <v/>
      </c>
      <c r="P575" s="52"/>
    </row>
    <row r="576">
      <c r="F576" s="116" t="str">
        <f t="shared" si="1"/>
        <v/>
      </c>
      <c r="P576" s="52"/>
    </row>
    <row r="577">
      <c r="F577" s="116" t="str">
        <f t="shared" si="1"/>
        <v/>
      </c>
      <c r="P577" s="52"/>
    </row>
    <row r="578">
      <c r="F578" s="116" t="str">
        <f t="shared" si="1"/>
        <v/>
      </c>
      <c r="P578" s="52"/>
    </row>
    <row r="579">
      <c r="F579" s="116" t="str">
        <f t="shared" si="1"/>
        <v/>
      </c>
      <c r="P579" s="52"/>
    </row>
    <row r="580">
      <c r="F580" s="116" t="str">
        <f t="shared" si="1"/>
        <v/>
      </c>
      <c r="P580" s="52"/>
    </row>
    <row r="581">
      <c r="F581" s="116" t="str">
        <f t="shared" si="1"/>
        <v/>
      </c>
      <c r="P581" s="52"/>
    </row>
    <row r="582">
      <c r="F582" s="116" t="str">
        <f t="shared" si="1"/>
        <v/>
      </c>
      <c r="P582" s="52"/>
    </row>
    <row r="583">
      <c r="F583" s="116" t="str">
        <f t="shared" si="1"/>
        <v/>
      </c>
      <c r="P583" s="52"/>
    </row>
    <row r="584">
      <c r="F584" s="116" t="str">
        <f t="shared" si="1"/>
        <v/>
      </c>
      <c r="P584" s="52"/>
    </row>
    <row r="585">
      <c r="F585" s="116" t="str">
        <f t="shared" si="1"/>
        <v/>
      </c>
      <c r="P585" s="52"/>
    </row>
    <row r="586">
      <c r="F586" s="116" t="str">
        <f t="shared" si="1"/>
        <v/>
      </c>
      <c r="P586" s="52"/>
    </row>
    <row r="587">
      <c r="F587" s="116" t="str">
        <f t="shared" si="1"/>
        <v/>
      </c>
      <c r="P587" s="52"/>
    </row>
    <row r="588">
      <c r="F588" s="116" t="str">
        <f t="shared" si="1"/>
        <v/>
      </c>
      <c r="P588" s="52"/>
    </row>
    <row r="589">
      <c r="F589" s="116" t="str">
        <f t="shared" si="1"/>
        <v/>
      </c>
      <c r="P589" s="52"/>
    </row>
    <row r="590">
      <c r="F590" s="116" t="str">
        <f t="shared" si="1"/>
        <v/>
      </c>
      <c r="P590" s="52"/>
    </row>
    <row r="591">
      <c r="F591" s="116" t="str">
        <f t="shared" si="1"/>
        <v/>
      </c>
      <c r="P591" s="52"/>
    </row>
    <row r="592">
      <c r="F592" s="116" t="str">
        <f t="shared" si="1"/>
        <v/>
      </c>
      <c r="P592" s="52"/>
    </row>
    <row r="593">
      <c r="F593" s="116" t="str">
        <f t="shared" si="1"/>
        <v/>
      </c>
      <c r="P593" s="52"/>
    </row>
    <row r="594">
      <c r="F594" s="116" t="str">
        <f t="shared" si="1"/>
        <v/>
      </c>
      <c r="P594" s="52"/>
    </row>
    <row r="595">
      <c r="F595" s="116" t="str">
        <f t="shared" si="1"/>
        <v/>
      </c>
      <c r="P595" s="52"/>
    </row>
    <row r="596">
      <c r="F596" s="116" t="str">
        <f t="shared" si="1"/>
        <v/>
      </c>
      <c r="P596" s="52"/>
    </row>
    <row r="597">
      <c r="F597" s="116" t="str">
        <f t="shared" si="1"/>
        <v/>
      </c>
      <c r="P597" s="52"/>
    </row>
    <row r="598">
      <c r="F598" s="116" t="str">
        <f t="shared" si="1"/>
        <v/>
      </c>
      <c r="P598" s="52"/>
    </row>
    <row r="599">
      <c r="F599" s="116" t="str">
        <f t="shared" si="1"/>
        <v/>
      </c>
      <c r="P599" s="52"/>
    </row>
    <row r="600">
      <c r="F600" s="116" t="str">
        <f t="shared" si="1"/>
        <v/>
      </c>
      <c r="P600" s="52"/>
    </row>
    <row r="601">
      <c r="F601" s="116" t="str">
        <f t="shared" si="1"/>
        <v/>
      </c>
      <c r="P601" s="52"/>
    </row>
    <row r="602">
      <c r="F602" s="116" t="str">
        <f t="shared" si="1"/>
        <v/>
      </c>
      <c r="P602" s="52"/>
    </row>
    <row r="603">
      <c r="F603" s="116" t="str">
        <f t="shared" si="1"/>
        <v/>
      </c>
      <c r="P603" s="52"/>
    </row>
    <row r="604">
      <c r="F604" s="116" t="str">
        <f t="shared" si="1"/>
        <v/>
      </c>
      <c r="P604" s="52"/>
    </row>
    <row r="605">
      <c r="F605" s="116" t="str">
        <f t="shared" si="1"/>
        <v/>
      </c>
      <c r="P605" s="52"/>
    </row>
    <row r="606">
      <c r="F606" s="116" t="str">
        <f t="shared" si="1"/>
        <v/>
      </c>
      <c r="P606" s="52"/>
    </row>
    <row r="607">
      <c r="F607" s="116" t="str">
        <f t="shared" si="1"/>
        <v/>
      </c>
      <c r="P607" s="52"/>
    </row>
    <row r="608">
      <c r="F608" s="116" t="str">
        <f t="shared" si="1"/>
        <v/>
      </c>
      <c r="P608" s="52"/>
    </row>
    <row r="609">
      <c r="F609" s="116" t="str">
        <f t="shared" si="1"/>
        <v/>
      </c>
      <c r="P609" s="52"/>
    </row>
    <row r="610">
      <c r="F610" s="116" t="str">
        <f t="shared" si="1"/>
        <v/>
      </c>
      <c r="P610" s="52"/>
    </row>
    <row r="611">
      <c r="F611" s="116" t="str">
        <f t="shared" si="1"/>
        <v/>
      </c>
      <c r="P611" s="52"/>
    </row>
    <row r="612">
      <c r="F612" s="116" t="str">
        <f t="shared" si="1"/>
        <v/>
      </c>
      <c r="P612" s="52"/>
    </row>
    <row r="613">
      <c r="F613" s="116" t="str">
        <f t="shared" si="1"/>
        <v/>
      </c>
      <c r="P613" s="52"/>
    </row>
    <row r="614">
      <c r="F614" s="116" t="str">
        <f t="shared" si="1"/>
        <v/>
      </c>
      <c r="P614" s="52"/>
    </row>
    <row r="615">
      <c r="F615" s="116" t="str">
        <f t="shared" si="1"/>
        <v/>
      </c>
      <c r="P615" s="52"/>
    </row>
    <row r="616">
      <c r="F616" s="116" t="str">
        <f t="shared" si="1"/>
        <v/>
      </c>
      <c r="P616" s="52"/>
    </row>
    <row r="617">
      <c r="F617" s="116" t="str">
        <f t="shared" si="1"/>
        <v/>
      </c>
      <c r="P617" s="52"/>
    </row>
    <row r="618">
      <c r="F618" s="116" t="str">
        <f t="shared" si="1"/>
        <v/>
      </c>
      <c r="P618" s="52"/>
    </row>
    <row r="619">
      <c r="F619" s="116" t="str">
        <f t="shared" si="1"/>
        <v/>
      </c>
      <c r="P619" s="52"/>
    </row>
    <row r="620">
      <c r="F620" s="116" t="str">
        <f t="shared" si="1"/>
        <v/>
      </c>
      <c r="P620" s="52"/>
    </row>
    <row r="621">
      <c r="F621" s="116" t="str">
        <f t="shared" si="1"/>
        <v/>
      </c>
      <c r="P621" s="52"/>
    </row>
    <row r="622">
      <c r="F622" s="116" t="str">
        <f t="shared" si="1"/>
        <v/>
      </c>
      <c r="P622" s="52"/>
    </row>
    <row r="623">
      <c r="F623" s="116" t="str">
        <f t="shared" si="1"/>
        <v/>
      </c>
      <c r="P623" s="52"/>
    </row>
    <row r="624">
      <c r="F624" s="116" t="str">
        <f t="shared" si="1"/>
        <v/>
      </c>
      <c r="P624" s="52"/>
    </row>
    <row r="625">
      <c r="F625" s="116" t="str">
        <f t="shared" si="1"/>
        <v/>
      </c>
      <c r="P625" s="52"/>
    </row>
    <row r="626">
      <c r="F626" s="116" t="str">
        <f t="shared" si="1"/>
        <v/>
      </c>
      <c r="P626" s="52"/>
    </row>
    <row r="627">
      <c r="F627" s="116" t="str">
        <f t="shared" si="1"/>
        <v/>
      </c>
      <c r="P627" s="52"/>
    </row>
    <row r="628">
      <c r="F628" s="116" t="str">
        <f t="shared" si="1"/>
        <v/>
      </c>
      <c r="P628" s="52"/>
    </row>
    <row r="629">
      <c r="F629" s="116" t="str">
        <f t="shared" si="1"/>
        <v/>
      </c>
      <c r="P629" s="52"/>
    </row>
    <row r="630">
      <c r="F630" s="116" t="str">
        <f t="shared" si="1"/>
        <v/>
      </c>
      <c r="P630" s="52"/>
    </row>
    <row r="631">
      <c r="F631" s="116" t="str">
        <f t="shared" si="1"/>
        <v/>
      </c>
      <c r="P631" s="52"/>
    </row>
    <row r="632">
      <c r="F632" s="116" t="str">
        <f t="shared" si="1"/>
        <v/>
      </c>
      <c r="P632" s="52"/>
    </row>
    <row r="633">
      <c r="F633" s="116" t="str">
        <f t="shared" si="1"/>
        <v/>
      </c>
      <c r="P633" s="52"/>
    </row>
    <row r="634">
      <c r="F634" s="116" t="str">
        <f t="shared" si="1"/>
        <v/>
      </c>
      <c r="P634" s="52"/>
    </row>
    <row r="635">
      <c r="F635" s="116" t="str">
        <f t="shared" si="1"/>
        <v/>
      </c>
      <c r="P635" s="52"/>
    </row>
    <row r="636">
      <c r="F636" s="116" t="str">
        <f t="shared" si="1"/>
        <v/>
      </c>
      <c r="P636" s="52"/>
    </row>
    <row r="637">
      <c r="F637" s="116" t="str">
        <f t="shared" si="1"/>
        <v/>
      </c>
      <c r="P637" s="52"/>
    </row>
    <row r="638">
      <c r="F638" s="116" t="str">
        <f t="shared" si="1"/>
        <v/>
      </c>
      <c r="P638" s="52"/>
    </row>
    <row r="639">
      <c r="F639" s="116" t="str">
        <f t="shared" si="1"/>
        <v/>
      </c>
      <c r="P639" s="52"/>
    </row>
    <row r="640">
      <c r="F640" s="116" t="str">
        <f t="shared" si="1"/>
        <v/>
      </c>
      <c r="P640" s="52"/>
    </row>
    <row r="641">
      <c r="F641" s="116" t="str">
        <f t="shared" si="1"/>
        <v/>
      </c>
      <c r="P641" s="52"/>
    </row>
    <row r="642">
      <c r="F642" s="116" t="str">
        <f t="shared" si="1"/>
        <v/>
      </c>
      <c r="P642" s="52"/>
    </row>
    <row r="643">
      <c r="F643" s="116" t="str">
        <f t="shared" si="1"/>
        <v/>
      </c>
      <c r="P643" s="52"/>
    </row>
    <row r="644">
      <c r="F644" s="116" t="str">
        <f t="shared" si="1"/>
        <v/>
      </c>
      <c r="P644" s="52"/>
    </row>
    <row r="645">
      <c r="F645" s="116" t="str">
        <f t="shared" si="1"/>
        <v/>
      </c>
      <c r="P645" s="52"/>
    </row>
    <row r="646">
      <c r="F646" s="116" t="str">
        <f t="shared" si="1"/>
        <v/>
      </c>
      <c r="P646" s="52"/>
    </row>
    <row r="647">
      <c r="F647" s="116" t="str">
        <f t="shared" si="1"/>
        <v/>
      </c>
      <c r="P647" s="52"/>
    </row>
    <row r="648">
      <c r="F648" s="116" t="str">
        <f t="shared" si="1"/>
        <v/>
      </c>
      <c r="P648" s="52"/>
    </row>
    <row r="649">
      <c r="F649" s="116" t="str">
        <f t="shared" si="1"/>
        <v/>
      </c>
      <c r="P649" s="52"/>
    </row>
    <row r="650">
      <c r="F650" s="116" t="str">
        <f t="shared" si="1"/>
        <v/>
      </c>
      <c r="P650" s="52"/>
    </row>
    <row r="651">
      <c r="F651" s="116" t="str">
        <f t="shared" si="1"/>
        <v/>
      </c>
      <c r="P651" s="52"/>
    </row>
    <row r="652">
      <c r="F652" s="116" t="str">
        <f t="shared" si="1"/>
        <v/>
      </c>
      <c r="P652" s="52"/>
    </row>
    <row r="653">
      <c r="F653" s="116" t="str">
        <f t="shared" si="1"/>
        <v/>
      </c>
      <c r="P653" s="52"/>
    </row>
    <row r="654">
      <c r="F654" s="116" t="str">
        <f t="shared" si="1"/>
        <v/>
      </c>
      <c r="P654" s="52"/>
    </row>
    <row r="655">
      <c r="F655" s="116" t="str">
        <f t="shared" si="1"/>
        <v/>
      </c>
      <c r="P655" s="52"/>
    </row>
    <row r="656">
      <c r="F656" s="116" t="str">
        <f t="shared" si="1"/>
        <v/>
      </c>
      <c r="P656" s="52"/>
    </row>
    <row r="657">
      <c r="F657" s="116" t="str">
        <f t="shared" si="1"/>
        <v/>
      </c>
      <c r="P657" s="52"/>
    </row>
    <row r="658">
      <c r="F658" s="116" t="str">
        <f t="shared" si="1"/>
        <v/>
      </c>
      <c r="P658" s="52"/>
    </row>
    <row r="659">
      <c r="F659" s="116" t="str">
        <f t="shared" si="1"/>
        <v/>
      </c>
      <c r="P659" s="52"/>
    </row>
    <row r="660">
      <c r="F660" s="116" t="str">
        <f t="shared" si="1"/>
        <v/>
      </c>
      <c r="P660" s="52"/>
    </row>
    <row r="661">
      <c r="F661" s="116" t="str">
        <f t="shared" si="1"/>
        <v/>
      </c>
      <c r="P661" s="52"/>
    </row>
    <row r="662">
      <c r="F662" s="116" t="str">
        <f t="shared" si="1"/>
        <v/>
      </c>
      <c r="P662" s="52"/>
    </row>
    <row r="663">
      <c r="F663" s="116" t="str">
        <f t="shared" si="1"/>
        <v/>
      </c>
      <c r="P663" s="52"/>
    </row>
    <row r="664">
      <c r="F664" s="116" t="str">
        <f t="shared" si="1"/>
        <v/>
      </c>
      <c r="P664" s="52"/>
    </row>
    <row r="665">
      <c r="F665" s="116" t="str">
        <f t="shared" si="1"/>
        <v/>
      </c>
      <c r="P665" s="52"/>
    </row>
    <row r="666">
      <c r="F666" s="116" t="str">
        <f t="shared" si="1"/>
        <v/>
      </c>
      <c r="P666" s="52"/>
    </row>
    <row r="667">
      <c r="F667" s="116" t="str">
        <f t="shared" si="1"/>
        <v/>
      </c>
      <c r="P667" s="52"/>
    </row>
    <row r="668">
      <c r="F668" s="116" t="str">
        <f t="shared" si="1"/>
        <v/>
      </c>
      <c r="P668" s="52"/>
    </row>
    <row r="669">
      <c r="F669" s="116" t="str">
        <f t="shared" si="1"/>
        <v/>
      </c>
      <c r="P669" s="52"/>
    </row>
    <row r="670">
      <c r="F670" s="116" t="str">
        <f t="shared" si="1"/>
        <v/>
      </c>
      <c r="P670" s="52"/>
    </row>
    <row r="671">
      <c r="F671" s="116" t="str">
        <f t="shared" si="1"/>
        <v/>
      </c>
      <c r="P671" s="52"/>
    </row>
    <row r="672">
      <c r="F672" s="116" t="str">
        <f t="shared" si="1"/>
        <v/>
      </c>
      <c r="P672" s="52"/>
    </row>
    <row r="673">
      <c r="F673" s="116" t="str">
        <f t="shared" si="1"/>
        <v/>
      </c>
      <c r="P673" s="52"/>
    </row>
    <row r="674">
      <c r="F674" s="116" t="str">
        <f t="shared" si="1"/>
        <v/>
      </c>
      <c r="P674" s="52"/>
    </row>
    <row r="675">
      <c r="F675" s="116" t="str">
        <f t="shared" si="1"/>
        <v/>
      </c>
      <c r="P675" s="52"/>
    </row>
    <row r="676">
      <c r="F676" s="116" t="str">
        <f t="shared" si="1"/>
        <v/>
      </c>
      <c r="P676" s="52"/>
    </row>
    <row r="677">
      <c r="F677" s="116" t="str">
        <f t="shared" si="1"/>
        <v/>
      </c>
      <c r="P677" s="52"/>
    </row>
    <row r="678">
      <c r="F678" s="116" t="str">
        <f t="shared" si="1"/>
        <v/>
      </c>
      <c r="P678" s="52"/>
    </row>
    <row r="679">
      <c r="F679" s="116" t="str">
        <f t="shared" si="1"/>
        <v/>
      </c>
      <c r="P679" s="52"/>
    </row>
    <row r="680">
      <c r="F680" s="116" t="str">
        <f t="shared" si="1"/>
        <v/>
      </c>
      <c r="P680" s="52"/>
    </row>
    <row r="681">
      <c r="F681" s="116" t="str">
        <f t="shared" si="1"/>
        <v/>
      </c>
      <c r="P681" s="52"/>
    </row>
    <row r="682">
      <c r="F682" s="116" t="str">
        <f t="shared" si="1"/>
        <v/>
      </c>
      <c r="P682" s="52"/>
    </row>
    <row r="683">
      <c r="F683" s="116" t="str">
        <f t="shared" si="1"/>
        <v/>
      </c>
      <c r="P683" s="52"/>
    </row>
    <row r="684">
      <c r="F684" s="116" t="str">
        <f t="shared" si="1"/>
        <v/>
      </c>
      <c r="P684" s="52"/>
    </row>
    <row r="685">
      <c r="F685" s="116" t="str">
        <f t="shared" si="1"/>
        <v/>
      </c>
      <c r="P685" s="52"/>
    </row>
    <row r="686">
      <c r="F686" s="116" t="str">
        <f t="shared" si="1"/>
        <v/>
      </c>
      <c r="P686" s="52"/>
    </row>
    <row r="687">
      <c r="F687" s="116" t="str">
        <f t="shared" si="1"/>
        <v/>
      </c>
      <c r="P687" s="52"/>
    </row>
    <row r="688">
      <c r="F688" s="116" t="str">
        <f t="shared" si="1"/>
        <v/>
      </c>
      <c r="P688" s="52"/>
    </row>
    <row r="689">
      <c r="F689" s="116" t="str">
        <f t="shared" si="1"/>
        <v/>
      </c>
      <c r="P689" s="52"/>
    </row>
    <row r="690">
      <c r="F690" s="116" t="str">
        <f t="shared" si="1"/>
        <v/>
      </c>
      <c r="P690" s="52"/>
    </row>
    <row r="691">
      <c r="F691" s="116" t="str">
        <f t="shared" si="1"/>
        <v/>
      </c>
      <c r="P691" s="52"/>
    </row>
    <row r="692">
      <c r="F692" s="116" t="str">
        <f t="shared" si="1"/>
        <v/>
      </c>
      <c r="P692" s="52"/>
    </row>
    <row r="693">
      <c r="F693" s="116" t="str">
        <f t="shared" si="1"/>
        <v/>
      </c>
      <c r="P693" s="52"/>
    </row>
    <row r="694">
      <c r="F694" s="116" t="str">
        <f t="shared" si="1"/>
        <v/>
      </c>
      <c r="P694" s="52"/>
    </row>
    <row r="695">
      <c r="F695" s="116" t="str">
        <f t="shared" si="1"/>
        <v/>
      </c>
      <c r="P695" s="52"/>
    </row>
    <row r="696">
      <c r="F696" s="116" t="str">
        <f t="shared" si="1"/>
        <v/>
      </c>
      <c r="P696" s="52"/>
    </row>
    <row r="697">
      <c r="F697" s="116" t="str">
        <f t="shared" si="1"/>
        <v/>
      </c>
      <c r="P697" s="52"/>
    </row>
    <row r="698">
      <c r="F698" s="116" t="str">
        <f t="shared" si="1"/>
        <v/>
      </c>
      <c r="P698" s="52"/>
    </row>
    <row r="699">
      <c r="F699" s="116" t="str">
        <f t="shared" si="1"/>
        <v/>
      </c>
      <c r="P699" s="52"/>
    </row>
    <row r="700">
      <c r="F700" s="116" t="str">
        <f t="shared" si="1"/>
        <v/>
      </c>
      <c r="P700" s="52"/>
    </row>
    <row r="701">
      <c r="F701" s="116" t="str">
        <f t="shared" si="1"/>
        <v/>
      </c>
      <c r="P701" s="52"/>
    </row>
    <row r="702">
      <c r="F702" s="116" t="str">
        <f t="shared" si="1"/>
        <v/>
      </c>
      <c r="P702" s="52"/>
    </row>
    <row r="703">
      <c r="F703" s="116" t="str">
        <f t="shared" si="1"/>
        <v/>
      </c>
      <c r="P703" s="52"/>
    </row>
    <row r="704">
      <c r="F704" s="116" t="str">
        <f t="shared" si="1"/>
        <v/>
      </c>
      <c r="P704" s="52"/>
    </row>
    <row r="705">
      <c r="F705" s="116" t="str">
        <f t="shared" si="1"/>
        <v/>
      </c>
      <c r="P705" s="52"/>
    </row>
    <row r="706">
      <c r="F706" s="116" t="str">
        <f t="shared" si="1"/>
        <v/>
      </c>
      <c r="P706" s="52"/>
    </row>
    <row r="707">
      <c r="F707" s="116" t="str">
        <f t="shared" si="1"/>
        <v/>
      </c>
      <c r="P707" s="52"/>
    </row>
    <row r="708">
      <c r="F708" s="116" t="str">
        <f t="shared" si="1"/>
        <v/>
      </c>
      <c r="P708" s="52"/>
    </row>
    <row r="709">
      <c r="F709" s="116" t="str">
        <f t="shared" si="1"/>
        <v/>
      </c>
      <c r="P709" s="52"/>
    </row>
    <row r="710">
      <c r="F710" s="116" t="str">
        <f t="shared" si="1"/>
        <v/>
      </c>
      <c r="P710" s="52"/>
    </row>
    <row r="711">
      <c r="F711" s="116" t="str">
        <f t="shared" si="1"/>
        <v/>
      </c>
      <c r="P711" s="52"/>
    </row>
    <row r="712">
      <c r="F712" s="116" t="str">
        <f t="shared" si="1"/>
        <v/>
      </c>
      <c r="P712" s="52"/>
    </row>
    <row r="713">
      <c r="F713" s="116" t="str">
        <f t="shared" si="1"/>
        <v/>
      </c>
      <c r="P713" s="52"/>
    </row>
    <row r="714">
      <c r="F714" s="116" t="str">
        <f t="shared" si="1"/>
        <v/>
      </c>
      <c r="P714" s="52"/>
    </row>
    <row r="715">
      <c r="F715" s="116" t="str">
        <f t="shared" si="1"/>
        <v/>
      </c>
      <c r="P715" s="52"/>
    </row>
    <row r="716">
      <c r="F716" s="116" t="str">
        <f t="shared" si="1"/>
        <v/>
      </c>
      <c r="P716" s="52"/>
    </row>
    <row r="717">
      <c r="F717" s="116" t="str">
        <f t="shared" si="1"/>
        <v/>
      </c>
      <c r="P717" s="52"/>
    </row>
    <row r="718">
      <c r="F718" s="116" t="str">
        <f t="shared" si="1"/>
        <v/>
      </c>
      <c r="P718" s="52"/>
    </row>
    <row r="719">
      <c r="F719" s="116" t="str">
        <f t="shared" si="1"/>
        <v/>
      </c>
      <c r="P719" s="52"/>
    </row>
    <row r="720">
      <c r="F720" s="116" t="str">
        <f t="shared" si="1"/>
        <v/>
      </c>
      <c r="P720" s="52"/>
    </row>
    <row r="721">
      <c r="F721" s="116" t="str">
        <f t="shared" si="1"/>
        <v/>
      </c>
      <c r="P721" s="52"/>
    </row>
    <row r="722">
      <c r="F722" s="116" t="str">
        <f t="shared" si="1"/>
        <v/>
      </c>
      <c r="P722" s="52"/>
    </row>
    <row r="723">
      <c r="F723" s="116" t="str">
        <f t="shared" si="1"/>
        <v/>
      </c>
      <c r="P723" s="52"/>
    </row>
    <row r="724">
      <c r="F724" s="116" t="str">
        <f t="shared" si="1"/>
        <v/>
      </c>
      <c r="P724" s="52"/>
    </row>
    <row r="725">
      <c r="F725" s="116" t="str">
        <f t="shared" si="1"/>
        <v/>
      </c>
      <c r="P725" s="52"/>
    </row>
    <row r="726">
      <c r="F726" s="116" t="str">
        <f t="shared" si="1"/>
        <v/>
      </c>
      <c r="P726" s="52"/>
    </row>
    <row r="727">
      <c r="F727" s="116" t="str">
        <f t="shared" si="1"/>
        <v/>
      </c>
      <c r="P727" s="52"/>
    </row>
    <row r="728">
      <c r="F728" s="116" t="str">
        <f t="shared" si="1"/>
        <v/>
      </c>
      <c r="P728" s="52"/>
    </row>
    <row r="729">
      <c r="F729" s="116" t="str">
        <f t="shared" si="1"/>
        <v/>
      </c>
      <c r="P729" s="52"/>
    </row>
    <row r="730">
      <c r="F730" s="116" t="str">
        <f t="shared" si="1"/>
        <v/>
      </c>
      <c r="P730" s="52"/>
    </row>
    <row r="731">
      <c r="F731" s="116" t="str">
        <f t="shared" si="1"/>
        <v/>
      </c>
      <c r="P731" s="52"/>
    </row>
    <row r="732">
      <c r="F732" s="116" t="str">
        <f t="shared" si="1"/>
        <v/>
      </c>
      <c r="P732" s="52"/>
    </row>
    <row r="733">
      <c r="F733" s="116" t="str">
        <f t="shared" si="1"/>
        <v/>
      </c>
      <c r="P733" s="52"/>
    </row>
    <row r="734">
      <c r="F734" s="116" t="str">
        <f t="shared" si="1"/>
        <v/>
      </c>
      <c r="P734" s="52"/>
    </row>
    <row r="735">
      <c r="F735" s="116" t="str">
        <f t="shared" si="1"/>
        <v/>
      </c>
      <c r="P735" s="52"/>
    </row>
    <row r="736">
      <c r="F736" s="116" t="str">
        <f t="shared" si="1"/>
        <v/>
      </c>
      <c r="P736" s="52"/>
    </row>
    <row r="737">
      <c r="F737" s="116" t="str">
        <f t="shared" si="1"/>
        <v/>
      </c>
      <c r="P737" s="52"/>
    </row>
    <row r="738">
      <c r="F738" s="116" t="str">
        <f t="shared" si="1"/>
        <v/>
      </c>
      <c r="P738" s="52"/>
    </row>
    <row r="739">
      <c r="F739" s="116" t="str">
        <f t="shared" si="1"/>
        <v/>
      </c>
      <c r="P739" s="52"/>
    </row>
    <row r="740">
      <c r="F740" s="116" t="str">
        <f t="shared" si="1"/>
        <v/>
      </c>
      <c r="P740" s="52"/>
    </row>
    <row r="741">
      <c r="F741" s="116" t="str">
        <f t="shared" si="1"/>
        <v/>
      </c>
      <c r="P741" s="52"/>
    </row>
    <row r="742">
      <c r="F742" s="116" t="str">
        <f t="shared" si="1"/>
        <v/>
      </c>
      <c r="P742" s="52"/>
    </row>
    <row r="743">
      <c r="F743" s="116" t="str">
        <f t="shared" si="1"/>
        <v/>
      </c>
      <c r="P743" s="52"/>
    </row>
    <row r="744">
      <c r="F744" s="116" t="str">
        <f t="shared" si="1"/>
        <v/>
      </c>
      <c r="P744" s="52"/>
    </row>
    <row r="745">
      <c r="F745" s="116" t="str">
        <f t="shared" si="1"/>
        <v/>
      </c>
      <c r="P745" s="52"/>
    </row>
    <row r="746">
      <c r="F746" s="116" t="str">
        <f t="shared" si="1"/>
        <v/>
      </c>
      <c r="P746" s="52"/>
    </row>
    <row r="747">
      <c r="F747" s="116" t="str">
        <f t="shared" si="1"/>
        <v/>
      </c>
      <c r="P747" s="52"/>
    </row>
    <row r="748">
      <c r="F748" s="116" t="str">
        <f t="shared" si="1"/>
        <v/>
      </c>
      <c r="P748" s="52"/>
    </row>
    <row r="749">
      <c r="F749" s="116" t="str">
        <f t="shared" si="1"/>
        <v/>
      </c>
      <c r="P749" s="52"/>
    </row>
    <row r="750">
      <c r="F750" s="116" t="str">
        <f t="shared" si="1"/>
        <v/>
      </c>
      <c r="P750" s="52"/>
    </row>
    <row r="751">
      <c r="F751" s="116" t="str">
        <f t="shared" si="1"/>
        <v/>
      </c>
      <c r="P751" s="52"/>
    </row>
    <row r="752">
      <c r="F752" s="116" t="str">
        <f t="shared" si="1"/>
        <v/>
      </c>
      <c r="P752" s="52"/>
    </row>
    <row r="753">
      <c r="F753" s="116" t="str">
        <f t="shared" si="1"/>
        <v/>
      </c>
      <c r="P753" s="52"/>
    </row>
    <row r="754">
      <c r="F754" s="116" t="str">
        <f t="shared" si="1"/>
        <v/>
      </c>
      <c r="P754" s="52"/>
    </row>
    <row r="755">
      <c r="F755" s="116" t="str">
        <f t="shared" si="1"/>
        <v/>
      </c>
      <c r="P755" s="52"/>
    </row>
    <row r="756">
      <c r="F756" s="116" t="str">
        <f t="shared" si="1"/>
        <v/>
      </c>
      <c r="P756" s="52"/>
    </row>
    <row r="757">
      <c r="F757" s="116" t="str">
        <f t="shared" si="1"/>
        <v/>
      </c>
      <c r="P757" s="52"/>
    </row>
    <row r="758">
      <c r="F758" s="116" t="str">
        <f t="shared" si="1"/>
        <v/>
      </c>
      <c r="P758" s="52"/>
    </row>
    <row r="759">
      <c r="F759" s="116" t="str">
        <f t="shared" si="1"/>
        <v/>
      </c>
      <c r="P759" s="52"/>
    </row>
    <row r="760">
      <c r="F760" s="116" t="str">
        <f t="shared" si="1"/>
        <v/>
      </c>
      <c r="P760" s="52"/>
    </row>
    <row r="761">
      <c r="F761" s="116" t="str">
        <f t="shared" si="1"/>
        <v/>
      </c>
      <c r="P761" s="52"/>
    </row>
    <row r="762">
      <c r="F762" s="116" t="str">
        <f t="shared" si="1"/>
        <v/>
      </c>
      <c r="P762" s="52"/>
    </row>
    <row r="763">
      <c r="F763" s="116" t="str">
        <f t="shared" si="1"/>
        <v/>
      </c>
      <c r="P763" s="52"/>
    </row>
    <row r="764">
      <c r="F764" s="116" t="str">
        <f t="shared" si="1"/>
        <v/>
      </c>
      <c r="P764" s="52"/>
    </row>
    <row r="765">
      <c r="F765" s="116" t="str">
        <f t="shared" si="1"/>
        <v/>
      </c>
      <c r="P765" s="52"/>
    </row>
    <row r="766">
      <c r="F766" s="116" t="str">
        <f t="shared" si="1"/>
        <v/>
      </c>
      <c r="P766" s="52"/>
    </row>
    <row r="767">
      <c r="F767" s="116" t="str">
        <f t="shared" si="1"/>
        <v/>
      </c>
      <c r="P767" s="52"/>
    </row>
    <row r="768">
      <c r="F768" s="116" t="str">
        <f t="shared" si="1"/>
        <v/>
      </c>
      <c r="P768" s="52"/>
    </row>
    <row r="769">
      <c r="F769" s="116" t="str">
        <f t="shared" si="1"/>
        <v/>
      </c>
      <c r="P769" s="52"/>
    </row>
    <row r="770">
      <c r="F770" s="116" t="str">
        <f t="shared" si="1"/>
        <v/>
      </c>
      <c r="P770" s="52"/>
    </row>
    <row r="771">
      <c r="F771" s="116" t="str">
        <f t="shared" si="1"/>
        <v/>
      </c>
      <c r="P771" s="52"/>
    </row>
    <row r="772">
      <c r="F772" s="116" t="str">
        <f t="shared" si="1"/>
        <v/>
      </c>
      <c r="P772" s="52"/>
    </row>
    <row r="773">
      <c r="F773" s="116" t="str">
        <f t="shared" si="1"/>
        <v/>
      </c>
      <c r="P773" s="52"/>
    </row>
    <row r="774">
      <c r="F774" s="116" t="str">
        <f t="shared" si="1"/>
        <v/>
      </c>
      <c r="P774" s="52"/>
    </row>
    <row r="775">
      <c r="F775" s="116" t="str">
        <f t="shared" si="1"/>
        <v/>
      </c>
      <c r="P775" s="52"/>
    </row>
    <row r="776">
      <c r="F776" s="116" t="str">
        <f t="shared" si="1"/>
        <v/>
      </c>
      <c r="P776" s="52"/>
    </row>
    <row r="777">
      <c r="F777" s="116" t="str">
        <f t="shared" si="1"/>
        <v/>
      </c>
      <c r="P777" s="52"/>
    </row>
    <row r="778">
      <c r="F778" s="116" t="str">
        <f t="shared" si="1"/>
        <v/>
      </c>
      <c r="P778" s="52"/>
    </row>
    <row r="779">
      <c r="F779" s="116" t="str">
        <f t="shared" si="1"/>
        <v/>
      </c>
      <c r="P779" s="52"/>
    </row>
    <row r="780">
      <c r="F780" s="116" t="str">
        <f t="shared" si="1"/>
        <v/>
      </c>
      <c r="P780" s="52"/>
    </row>
    <row r="781">
      <c r="F781" s="116" t="str">
        <f t="shared" si="1"/>
        <v/>
      </c>
      <c r="P781" s="52"/>
    </row>
    <row r="782">
      <c r="F782" s="116" t="str">
        <f t="shared" si="1"/>
        <v/>
      </c>
      <c r="P782" s="52"/>
    </row>
    <row r="783">
      <c r="F783" s="116" t="str">
        <f t="shared" si="1"/>
        <v/>
      </c>
      <c r="P783" s="52"/>
    </row>
    <row r="784">
      <c r="F784" s="116" t="str">
        <f t="shared" si="1"/>
        <v/>
      </c>
      <c r="P784" s="52"/>
    </row>
    <row r="785">
      <c r="F785" s="116" t="str">
        <f t="shared" si="1"/>
        <v/>
      </c>
      <c r="P785" s="52"/>
    </row>
    <row r="786">
      <c r="F786" s="116" t="str">
        <f t="shared" si="1"/>
        <v/>
      </c>
      <c r="P786" s="52"/>
    </row>
    <row r="787">
      <c r="F787" s="116" t="str">
        <f t="shared" si="1"/>
        <v/>
      </c>
      <c r="P787" s="52"/>
    </row>
    <row r="788">
      <c r="F788" s="116" t="str">
        <f t="shared" si="1"/>
        <v/>
      </c>
      <c r="P788" s="52"/>
    </row>
    <row r="789">
      <c r="F789" s="116" t="str">
        <f t="shared" si="1"/>
        <v/>
      </c>
      <c r="P789" s="52"/>
    </row>
    <row r="790">
      <c r="F790" s="116" t="str">
        <f t="shared" si="1"/>
        <v/>
      </c>
      <c r="P790" s="52"/>
    </row>
    <row r="791">
      <c r="F791" s="116" t="str">
        <f t="shared" si="1"/>
        <v/>
      </c>
      <c r="P791" s="52"/>
    </row>
    <row r="792">
      <c r="F792" s="116" t="str">
        <f t="shared" si="1"/>
        <v/>
      </c>
      <c r="P792" s="52"/>
    </row>
    <row r="793">
      <c r="F793" s="116" t="str">
        <f t="shared" si="1"/>
        <v/>
      </c>
      <c r="P793" s="52"/>
    </row>
    <row r="794">
      <c r="F794" s="116" t="str">
        <f t="shared" si="1"/>
        <v/>
      </c>
      <c r="P794" s="52"/>
    </row>
    <row r="795">
      <c r="F795" s="116" t="str">
        <f t="shared" si="1"/>
        <v/>
      </c>
      <c r="P795" s="52"/>
    </row>
    <row r="796">
      <c r="F796" s="116" t="str">
        <f t="shared" si="1"/>
        <v/>
      </c>
      <c r="P796" s="52"/>
    </row>
    <row r="797">
      <c r="F797" s="116" t="str">
        <f t="shared" si="1"/>
        <v/>
      </c>
      <c r="P797" s="52"/>
    </row>
    <row r="798">
      <c r="F798" s="116" t="str">
        <f t="shared" si="1"/>
        <v/>
      </c>
      <c r="P798" s="52"/>
    </row>
    <row r="799">
      <c r="F799" s="116" t="str">
        <f t="shared" si="1"/>
        <v/>
      </c>
      <c r="P799" s="52"/>
    </row>
    <row r="800">
      <c r="F800" s="116" t="str">
        <f t="shared" si="1"/>
        <v/>
      </c>
      <c r="P800" s="52"/>
    </row>
    <row r="801">
      <c r="F801" s="116" t="str">
        <f t="shared" si="1"/>
        <v/>
      </c>
      <c r="P801" s="52"/>
    </row>
    <row r="802">
      <c r="F802" s="116" t="str">
        <f t="shared" si="1"/>
        <v/>
      </c>
      <c r="P802" s="52"/>
    </row>
    <row r="803">
      <c r="F803" s="116" t="str">
        <f t="shared" si="1"/>
        <v/>
      </c>
      <c r="P803" s="52"/>
    </row>
    <row r="804">
      <c r="F804" s="116" t="str">
        <f t="shared" si="1"/>
        <v/>
      </c>
      <c r="P804" s="52"/>
    </row>
    <row r="805">
      <c r="F805" s="116" t="str">
        <f t="shared" si="1"/>
        <v/>
      </c>
      <c r="P805" s="52"/>
    </row>
    <row r="806">
      <c r="F806" s="116" t="str">
        <f t="shared" si="1"/>
        <v/>
      </c>
      <c r="P806" s="52"/>
    </row>
    <row r="807">
      <c r="F807" s="116" t="str">
        <f t="shared" si="1"/>
        <v/>
      </c>
      <c r="P807" s="52"/>
    </row>
    <row r="808">
      <c r="F808" s="116" t="str">
        <f t="shared" si="1"/>
        <v/>
      </c>
      <c r="P808" s="52"/>
    </row>
    <row r="809">
      <c r="F809" s="116" t="str">
        <f t="shared" si="1"/>
        <v/>
      </c>
      <c r="P809" s="52"/>
    </row>
    <row r="810">
      <c r="F810" s="116" t="str">
        <f t="shared" si="1"/>
        <v/>
      </c>
      <c r="P810" s="52"/>
    </row>
    <row r="811">
      <c r="F811" s="116" t="str">
        <f t="shared" si="1"/>
        <v/>
      </c>
      <c r="P811" s="52"/>
    </row>
    <row r="812">
      <c r="F812" s="116" t="str">
        <f t="shared" si="1"/>
        <v/>
      </c>
      <c r="P812" s="52"/>
    </row>
    <row r="813">
      <c r="F813" s="116" t="str">
        <f t="shared" si="1"/>
        <v/>
      </c>
      <c r="P813" s="52"/>
    </row>
    <row r="814">
      <c r="F814" s="116" t="str">
        <f t="shared" si="1"/>
        <v/>
      </c>
      <c r="P814" s="52"/>
    </row>
    <row r="815">
      <c r="F815" s="116" t="str">
        <f t="shared" si="1"/>
        <v/>
      </c>
      <c r="P815" s="52"/>
    </row>
    <row r="816">
      <c r="F816" s="116" t="str">
        <f t="shared" si="1"/>
        <v/>
      </c>
      <c r="P816" s="52"/>
    </row>
    <row r="817">
      <c r="F817" s="116" t="str">
        <f t="shared" si="1"/>
        <v/>
      </c>
      <c r="P817" s="52"/>
    </row>
    <row r="818">
      <c r="F818" s="116" t="str">
        <f t="shared" si="1"/>
        <v/>
      </c>
      <c r="P818" s="52"/>
    </row>
    <row r="819">
      <c r="F819" s="116" t="str">
        <f t="shared" si="1"/>
        <v/>
      </c>
      <c r="P819" s="52"/>
    </row>
    <row r="820">
      <c r="F820" s="116" t="str">
        <f t="shared" si="1"/>
        <v/>
      </c>
      <c r="P820" s="52"/>
    </row>
    <row r="821">
      <c r="F821" s="116" t="str">
        <f t="shared" si="1"/>
        <v/>
      </c>
      <c r="P821" s="52"/>
    </row>
    <row r="822">
      <c r="F822" s="116" t="str">
        <f t="shared" si="1"/>
        <v/>
      </c>
      <c r="P822" s="52"/>
    </row>
    <row r="823">
      <c r="F823" s="116" t="str">
        <f t="shared" si="1"/>
        <v/>
      </c>
      <c r="P823" s="52"/>
    </row>
    <row r="824">
      <c r="F824" s="116" t="str">
        <f t="shared" si="1"/>
        <v/>
      </c>
      <c r="P824" s="52"/>
    </row>
    <row r="825">
      <c r="F825" s="116" t="str">
        <f t="shared" si="1"/>
        <v/>
      </c>
      <c r="P825" s="52"/>
    </row>
    <row r="826">
      <c r="F826" s="116" t="str">
        <f t="shared" si="1"/>
        <v/>
      </c>
      <c r="P826" s="52"/>
    </row>
    <row r="827">
      <c r="F827" s="116" t="str">
        <f t="shared" si="1"/>
        <v/>
      </c>
      <c r="P827" s="52"/>
    </row>
    <row r="828">
      <c r="F828" s="116" t="str">
        <f t="shared" si="1"/>
        <v/>
      </c>
      <c r="P828" s="52"/>
    </row>
    <row r="829">
      <c r="F829" s="116" t="str">
        <f t="shared" si="1"/>
        <v/>
      </c>
      <c r="P829" s="52"/>
    </row>
    <row r="830">
      <c r="F830" s="116" t="str">
        <f t="shared" si="1"/>
        <v/>
      </c>
      <c r="P830" s="52"/>
    </row>
    <row r="831">
      <c r="F831" s="116" t="str">
        <f t="shared" si="1"/>
        <v/>
      </c>
      <c r="P831" s="52"/>
    </row>
    <row r="832">
      <c r="F832" s="116" t="str">
        <f t="shared" si="1"/>
        <v/>
      </c>
      <c r="P832" s="52"/>
    </row>
    <row r="833">
      <c r="F833" s="116" t="str">
        <f t="shared" si="1"/>
        <v/>
      </c>
      <c r="P833" s="52"/>
    </row>
    <row r="834">
      <c r="F834" s="116" t="str">
        <f t="shared" si="1"/>
        <v/>
      </c>
      <c r="P834" s="52"/>
    </row>
    <row r="835">
      <c r="F835" s="116" t="str">
        <f t="shared" si="1"/>
        <v/>
      </c>
      <c r="P835" s="52"/>
    </row>
    <row r="836">
      <c r="F836" s="116" t="str">
        <f t="shared" si="1"/>
        <v/>
      </c>
      <c r="P836" s="52"/>
    </row>
    <row r="837">
      <c r="F837" s="116" t="str">
        <f t="shared" si="1"/>
        <v/>
      </c>
      <c r="P837" s="52"/>
    </row>
    <row r="838">
      <c r="F838" s="116" t="str">
        <f t="shared" si="1"/>
        <v/>
      </c>
      <c r="P838" s="52"/>
    </row>
    <row r="839">
      <c r="F839" s="116" t="str">
        <f t="shared" si="1"/>
        <v/>
      </c>
      <c r="P839" s="52"/>
    </row>
    <row r="840">
      <c r="F840" s="116" t="str">
        <f t="shared" si="1"/>
        <v/>
      </c>
      <c r="P840" s="52"/>
    </row>
    <row r="841">
      <c r="F841" s="116" t="str">
        <f t="shared" si="1"/>
        <v/>
      </c>
      <c r="P841" s="52"/>
    </row>
    <row r="842">
      <c r="F842" s="116" t="str">
        <f t="shared" si="1"/>
        <v/>
      </c>
      <c r="P842" s="52"/>
    </row>
    <row r="843">
      <c r="F843" s="116" t="str">
        <f t="shared" si="1"/>
        <v/>
      </c>
      <c r="P843" s="52"/>
    </row>
    <row r="844">
      <c r="F844" s="116" t="str">
        <f t="shared" si="1"/>
        <v/>
      </c>
      <c r="P844" s="52"/>
    </row>
    <row r="845">
      <c r="F845" s="116" t="str">
        <f t="shared" si="1"/>
        <v/>
      </c>
      <c r="P845" s="52"/>
    </row>
    <row r="846">
      <c r="F846" s="116" t="str">
        <f t="shared" si="1"/>
        <v/>
      </c>
      <c r="P846" s="52"/>
    </row>
    <row r="847">
      <c r="F847" s="116" t="str">
        <f t="shared" si="1"/>
        <v/>
      </c>
      <c r="P847" s="52"/>
    </row>
    <row r="848">
      <c r="F848" s="116" t="str">
        <f t="shared" si="1"/>
        <v/>
      </c>
      <c r="P848" s="52"/>
    </row>
    <row r="849">
      <c r="F849" s="116" t="str">
        <f t="shared" si="1"/>
        <v/>
      </c>
      <c r="P849" s="52"/>
    </row>
    <row r="850">
      <c r="F850" s="116" t="str">
        <f t="shared" si="1"/>
        <v/>
      </c>
      <c r="P850" s="52"/>
    </row>
    <row r="851">
      <c r="F851" s="116" t="str">
        <f t="shared" si="1"/>
        <v/>
      </c>
      <c r="P851" s="52"/>
    </row>
    <row r="852">
      <c r="F852" s="116" t="str">
        <f t="shared" si="1"/>
        <v/>
      </c>
      <c r="P852" s="52"/>
    </row>
    <row r="853">
      <c r="F853" s="116" t="str">
        <f t="shared" si="1"/>
        <v/>
      </c>
      <c r="P853" s="52"/>
    </row>
    <row r="854">
      <c r="F854" s="116" t="str">
        <f t="shared" si="1"/>
        <v/>
      </c>
      <c r="P854" s="52"/>
    </row>
    <row r="855">
      <c r="F855" s="116" t="str">
        <f t="shared" si="1"/>
        <v/>
      </c>
      <c r="P855" s="52"/>
    </row>
    <row r="856">
      <c r="F856" s="116" t="str">
        <f t="shared" si="1"/>
        <v/>
      </c>
      <c r="P856" s="52"/>
    </row>
    <row r="857">
      <c r="F857" s="116" t="str">
        <f t="shared" si="1"/>
        <v/>
      </c>
      <c r="P857" s="52"/>
    </row>
    <row r="858">
      <c r="F858" s="116" t="str">
        <f t="shared" si="1"/>
        <v/>
      </c>
      <c r="P858" s="52"/>
    </row>
    <row r="859">
      <c r="F859" s="116" t="str">
        <f t="shared" si="1"/>
        <v/>
      </c>
      <c r="P859" s="52"/>
    </row>
    <row r="860">
      <c r="F860" s="116" t="str">
        <f t="shared" si="1"/>
        <v/>
      </c>
      <c r="P860" s="52"/>
    </row>
    <row r="861">
      <c r="F861" s="116" t="str">
        <f t="shared" si="1"/>
        <v/>
      </c>
      <c r="P861" s="52"/>
    </row>
    <row r="862">
      <c r="F862" s="116" t="str">
        <f t="shared" si="1"/>
        <v/>
      </c>
      <c r="P862" s="52"/>
    </row>
    <row r="863">
      <c r="F863" s="116" t="str">
        <f t="shared" si="1"/>
        <v/>
      </c>
      <c r="P863" s="52"/>
    </row>
    <row r="864">
      <c r="F864" s="116" t="str">
        <f t="shared" si="1"/>
        <v/>
      </c>
      <c r="P864" s="52"/>
    </row>
    <row r="865">
      <c r="F865" s="116" t="str">
        <f t="shared" si="1"/>
        <v/>
      </c>
      <c r="P865" s="52"/>
    </row>
    <row r="866">
      <c r="F866" s="116" t="str">
        <f t="shared" si="1"/>
        <v/>
      </c>
      <c r="P866" s="52"/>
    </row>
    <row r="867">
      <c r="F867" s="116" t="str">
        <f t="shared" si="1"/>
        <v/>
      </c>
      <c r="P867" s="52"/>
    </row>
    <row r="868">
      <c r="F868" s="116" t="str">
        <f t="shared" si="1"/>
        <v/>
      </c>
      <c r="P868" s="52"/>
    </row>
    <row r="869">
      <c r="F869" s="116" t="str">
        <f t="shared" si="1"/>
        <v/>
      </c>
      <c r="P869" s="52"/>
    </row>
    <row r="870">
      <c r="F870" s="116" t="str">
        <f t="shared" si="1"/>
        <v/>
      </c>
      <c r="P870" s="52"/>
    </row>
    <row r="871">
      <c r="F871" s="116" t="str">
        <f t="shared" si="1"/>
        <v/>
      </c>
      <c r="P871" s="52"/>
    </row>
    <row r="872">
      <c r="F872" s="116" t="str">
        <f t="shared" si="1"/>
        <v/>
      </c>
      <c r="P872" s="52"/>
    </row>
    <row r="873">
      <c r="F873" s="116" t="str">
        <f t="shared" si="1"/>
        <v/>
      </c>
      <c r="P873" s="52"/>
    </row>
    <row r="874">
      <c r="F874" s="116" t="str">
        <f t="shared" si="1"/>
        <v/>
      </c>
      <c r="P874" s="52"/>
    </row>
    <row r="875">
      <c r="F875" s="116" t="str">
        <f t="shared" si="1"/>
        <v/>
      </c>
      <c r="P875" s="52"/>
    </row>
    <row r="876">
      <c r="F876" s="116" t="str">
        <f t="shared" si="1"/>
        <v/>
      </c>
      <c r="P876" s="52"/>
    </row>
    <row r="877">
      <c r="F877" s="116" t="str">
        <f t="shared" si="1"/>
        <v/>
      </c>
      <c r="P877" s="52"/>
    </row>
    <row r="878">
      <c r="F878" s="116" t="str">
        <f t="shared" si="1"/>
        <v/>
      </c>
      <c r="P878" s="52"/>
    </row>
    <row r="879">
      <c r="F879" s="116" t="str">
        <f t="shared" si="1"/>
        <v/>
      </c>
      <c r="P879" s="52"/>
    </row>
    <row r="880">
      <c r="F880" s="116" t="str">
        <f t="shared" si="1"/>
        <v/>
      </c>
      <c r="P880" s="52"/>
    </row>
    <row r="881">
      <c r="F881" s="116" t="str">
        <f t="shared" si="1"/>
        <v/>
      </c>
      <c r="P881" s="52"/>
    </row>
    <row r="882">
      <c r="F882" s="116" t="str">
        <f t="shared" si="1"/>
        <v/>
      </c>
      <c r="P882" s="52"/>
    </row>
    <row r="883">
      <c r="F883" s="116" t="str">
        <f t="shared" si="1"/>
        <v/>
      </c>
      <c r="P883" s="52"/>
    </row>
    <row r="884">
      <c r="F884" s="116" t="str">
        <f t="shared" si="1"/>
        <v/>
      </c>
      <c r="P884" s="52"/>
    </row>
    <row r="885">
      <c r="F885" s="116" t="str">
        <f t="shared" si="1"/>
        <v/>
      </c>
      <c r="P885" s="52"/>
    </row>
    <row r="886">
      <c r="F886" s="116" t="str">
        <f t="shared" si="1"/>
        <v/>
      </c>
      <c r="P886" s="52"/>
    </row>
    <row r="887">
      <c r="F887" s="116" t="str">
        <f t="shared" si="1"/>
        <v/>
      </c>
      <c r="P887" s="52"/>
    </row>
    <row r="888">
      <c r="F888" s="116" t="str">
        <f t="shared" si="1"/>
        <v/>
      </c>
      <c r="P888" s="52"/>
    </row>
    <row r="889">
      <c r="F889" s="116" t="str">
        <f t="shared" si="1"/>
        <v/>
      </c>
      <c r="P889" s="52"/>
    </row>
    <row r="890">
      <c r="F890" s="116" t="str">
        <f t="shared" si="1"/>
        <v/>
      </c>
      <c r="P890" s="52"/>
    </row>
    <row r="891">
      <c r="F891" s="116" t="str">
        <f t="shared" si="1"/>
        <v/>
      </c>
      <c r="P891" s="52"/>
    </row>
    <row r="892">
      <c r="F892" s="116" t="str">
        <f t="shared" si="1"/>
        <v/>
      </c>
      <c r="P892" s="52"/>
    </row>
    <row r="893">
      <c r="F893" s="116" t="str">
        <f t="shared" si="1"/>
        <v/>
      </c>
      <c r="P893" s="52"/>
    </row>
    <row r="894">
      <c r="F894" s="116" t="str">
        <f t="shared" si="1"/>
        <v/>
      </c>
      <c r="P894" s="52"/>
    </row>
    <row r="895">
      <c r="F895" s="116" t="str">
        <f t="shared" si="1"/>
        <v/>
      </c>
      <c r="P895" s="52"/>
    </row>
    <row r="896">
      <c r="F896" s="116" t="str">
        <f t="shared" si="1"/>
        <v/>
      </c>
      <c r="P896" s="52"/>
    </row>
    <row r="897">
      <c r="F897" s="116" t="str">
        <f t="shared" si="1"/>
        <v/>
      </c>
      <c r="P897" s="52"/>
    </row>
    <row r="898">
      <c r="F898" s="116" t="str">
        <f t="shared" si="1"/>
        <v/>
      </c>
      <c r="P898" s="52"/>
    </row>
    <row r="899">
      <c r="F899" s="116" t="str">
        <f t="shared" si="1"/>
        <v/>
      </c>
      <c r="P899" s="52"/>
    </row>
    <row r="900">
      <c r="F900" s="116" t="str">
        <f t="shared" si="1"/>
        <v/>
      </c>
      <c r="P900" s="52"/>
    </row>
    <row r="901">
      <c r="F901" s="116" t="str">
        <f t="shared" si="1"/>
        <v/>
      </c>
      <c r="P901" s="52"/>
    </row>
    <row r="902">
      <c r="F902" s="116" t="str">
        <f t="shared" si="1"/>
        <v/>
      </c>
      <c r="P902" s="52"/>
    </row>
    <row r="903">
      <c r="F903" s="116" t="str">
        <f t="shared" si="1"/>
        <v/>
      </c>
      <c r="P903" s="52"/>
    </row>
    <row r="904">
      <c r="F904" s="116" t="str">
        <f t="shared" si="1"/>
        <v/>
      </c>
      <c r="P904" s="52"/>
    </row>
    <row r="905">
      <c r="F905" s="116" t="str">
        <f t="shared" si="1"/>
        <v/>
      </c>
      <c r="P905" s="52"/>
    </row>
    <row r="906">
      <c r="F906" s="116" t="str">
        <f t="shared" si="1"/>
        <v/>
      </c>
      <c r="P906" s="52"/>
    </row>
    <row r="907">
      <c r="F907" s="116" t="str">
        <f t="shared" si="1"/>
        <v/>
      </c>
      <c r="P907" s="52"/>
    </row>
    <row r="908">
      <c r="F908" s="116" t="str">
        <f t="shared" si="1"/>
        <v/>
      </c>
      <c r="P908" s="52"/>
    </row>
    <row r="909">
      <c r="F909" s="116" t="str">
        <f t="shared" si="1"/>
        <v/>
      </c>
      <c r="P909" s="52"/>
    </row>
    <row r="910">
      <c r="F910" s="116" t="str">
        <f t="shared" si="1"/>
        <v/>
      </c>
      <c r="P910" s="52"/>
    </row>
    <row r="911">
      <c r="F911" s="116" t="str">
        <f t="shared" si="1"/>
        <v/>
      </c>
      <c r="P911" s="52"/>
    </row>
    <row r="912">
      <c r="F912" s="116" t="str">
        <f t="shared" si="1"/>
        <v/>
      </c>
      <c r="P912" s="52"/>
    </row>
    <row r="913">
      <c r="F913" s="116" t="str">
        <f t="shared" si="1"/>
        <v/>
      </c>
      <c r="P913" s="52"/>
    </row>
    <row r="914">
      <c r="F914" s="116" t="str">
        <f t="shared" si="1"/>
        <v/>
      </c>
      <c r="P914" s="52"/>
    </row>
    <row r="915">
      <c r="F915" s="116" t="str">
        <f t="shared" si="1"/>
        <v/>
      </c>
      <c r="P915" s="52"/>
    </row>
    <row r="916">
      <c r="F916" s="116" t="str">
        <f t="shared" si="1"/>
        <v/>
      </c>
      <c r="P916" s="52"/>
    </row>
    <row r="917">
      <c r="F917" s="116" t="str">
        <f t="shared" si="1"/>
        <v/>
      </c>
      <c r="P917" s="52"/>
    </row>
    <row r="918">
      <c r="F918" s="116" t="str">
        <f t="shared" si="1"/>
        <v/>
      </c>
      <c r="P918" s="52"/>
    </row>
    <row r="919">
      <c r="F919" s="116" t="str">
        <f t="shared" si="1"/>
        <v/>
      </c>
      <c r="P919" s="52"/>
    </row>
    <row r="920">
      <c r="F920" s="116" t="str">
        <f t="shared" si="1"/>
        <v/>
      </c>
      <c r="P920" s="52"/>
    </row>
    <row r="921">
      <c r="F921" s="116" t="str">
        <f t="shared" si="1"/>
        <v/>
      </c>
      <c r="P921" s="52"/>
    </row>
    <row r="922">
      <c r="F922" s="116" t="str">
        <f t="shared" si="1"/>
        <v/>
      </c>
      <c r="P922" s="52"/>
    </row>
    <row r="923">
      <c r="F923" s="116" t="str">
        <f t="shared" si="1"/>
        <v/>
      </c>
      <c r="P923" s="52"/>
    </row>
    <row r="924">
      <c r="F924" s="116" t="str">
        <f t="shared" si="1"/>
        <v/>
      </c>
      <c r="P924" s="52"/>
    </row>
    <row r="925">
      <c r="F925" s="116" t="str">
        <f t="shared" si="1"/>
        <v/>
      </c>
      <c r="P925" s="52"/>
    </row>
    <row r="926">
      <c r="F926" s="116" t="str">
        <f t="shared" si="1"/>
        <v/>
      </c>
      <c r="P926" s="52"/>
    </row>
    <row r="927">
      <c r="F927" s="116" t="str">
        <f t="shared" si="1"/>
        <v/>
      </c>
      <c r="P927" s="52"/>
    </row>
    <row r="928">
      <c r="F928" s="116" t="str">
        <f t="shared" si="1"/>
        <v/>
      </c>
      <c r="P928" s="52"/>
    </row>
    <row r="929">
      <c r="F929" s="116" t="str">
        <f t="shared" si="1"/>
        <v/>
      </c>
      <c r="P929" s="52"/>
    </row>
    <row r="930">
      <c r="F930" s="116" t="str">
        <f t="shared" si="1"/>
        <v/>
      </c>
      <c r="P930" s="52"/>
    </row>
    <row r="931">
      <c r="F931" s="116" t="str">
        <f t="shared" si="1"/>
        <v/>
      </c>
      <c r="P931" s="52"/>
    </row>
    <row r="932">
      <c r="F932" s="116" t="str">
        <f t="shared" si="1"/>
        <v/>
      </c>
      <c r="P932" s="52"/>
    </row>
    <row r="933">
      <c r="F933" s="116" t="str">
        <f t="shared" si="1"/>
        <v/>
      </c>
      <c r="P933" s="52"/>
    </row>
    <row r="934">
      <c r="F934" s="116" t="str">
        <f t="shared" si="1"/>
        <v/>
      </c>
      <c r="P934" s="52"/>
    </row>
    <row r="935">
      <c r="F935" s="116" t="str">
        <f t="shared" si="1"/>
        <v/>
      </c>
      <c r="P935" s="52"/>
    </row>
    <row r="936">
      <c r="F936" s="116" t="str">
        <f t="shared" si="1"/>
        <v/>
      </c>
      <c r="P936" s="52"/>
    </row>
    <row r="937">
      <c r="F937" s="116" t="str">
        <f t="shared" si="1"/>
        <v/>
      </c>
      <c r="P937" s="52"/>
    </row>
    <row r="938">
      <c r="F938" s="116" t="str">
        <f t="shared" si="1"/>
        <v/>
      </c>
      <c r="P938" s="52"/>
    </row>
    <row r="939">
      <c r="F939" s="116" t="str">
        <f t="shared" si="1"/>
        <v/>
      </c>
      <c r="P939" s="52"/>
    </row>
    <row r="940">
      <c r="F940" s="116" t="str">
        <f t="shared" si="1"/>
        <v/>
      </c>
      <c r="P940" s="52"/>
    </row>
    <row r="941">
      <c r="F941" s="116" t="str">
        <f t="shared" si="1"/>
        <v/>
      </c>
      <c r="P941" s="52"/>
    </row>
    <row r="942">
      <c r="F942" s="116" t="str">
        <f t="shared" si="1"/>
        <v/>
      </c>
      <c r="P942" s="52"/>
    </row>
    <row r="943">
      <c r="F943" s="116" t="str">
        <f t="shared" si="1"/>
        <v/>
      </c>
      <c r="P943" s="52"/>
    </row>
    <row r="944">
      <c r="F944" s="116" t="str">
        <f t="shared" si="1"/>
        <v/>
      </c>
      <c r="P944" s="52"/>
    </row>
    <row r="945">
      <c r="F945" s="116" t="str">
        <f t="shared" si="1"/>
        <v/>
      </c>
      <c r="P945" s="52"/>
    </row>
    <row r="946">
      <c r="F946" s="116" t="str">
        <f t="shared" si="1"/>
        <v/>
      </c>
      <c r="P946" s="52"/>
    </row>
    <row r="947">
      <c r="F947" s="116" t="str">
        <f t="shared" si="1"/>
        <v/>
      </c>
      <c r="P947" s="52"/>
    </row>
    <row r="948">
      <c r="F948" s="116" t="str">
        <f t="shared" si="1"/>
        <v/>
      </c>
      <c r="P948" s="52"/>
    </row>
    <row r="949">
      <c r="F949" s="116" t="str">
        <f t="shared" si="1"/>
        <v/>
      </c>
      <c r="P949" s="52"/>
    </row>
    <row r="950">
      <c r="F950" s="116" t="str">
        <f t="shared" si="1"/>
        <v/>
      </c>
      <c r="P950" s="52"/>
    </row>
    <row r="951">
      <c r="F951" s="116" t="str">
        <f t="shared" si="1"/>
        <v/>
      </c>
      <c r="P951" s="52"/>
    </row>
    <row r="952">
      <c r="F952" s="116" t="str">
        <f t="shared" si="1"/>
        <v/>
      </c>
      <c r="P952" s="52"/>
    </row>
    <row r="953">
      <c r="F953" s="116" t="str">
        <f t="shared" si="1"/>
        <v/>
      </c>
      <c r="P953" s="52"/>
    </row>
    <row r="954">
      <c r="F954" s="116" t="str">
        <f t="shared" si="1"/>
        <v/>
      </c>
      <c r="P954" s="52"/>
    </row>
    <row r="955">
      <c r="F955" s="116" t="str">
        <f t="shared" si="1"/>
        <v/>
      </c>
      <c r="P955" s="52"/>
    </row>
    <row r="956">
      <c r="F956" s="116" t="str">
        <f t="shared" si="1"/>
        <v/>
      </c>
      <c r="P956" s="52"/>
    </row>
    <row r="957">
      <c r="F957" s="116" t="str">
        <f t="shared" si="1"/>
        <v/>
      </c>
      <c r="P957" s="52"/>
    </row>
    <row r="958">
      <c r="F958" s="116" t="str">
        <f t="shared" si="1"/>
        <v/>
      </c>
      <c r="P958" s="52"/>
    </row>
    <row r="959">
      <c r="F959" s="116" t="str">
        <f t="shared" si="1"/>
        <v/>
      </c>
      <c r="P959" s="52"/>
    </row>
    <row r="960">
      <c r="F960" s="116" t="str">
        <f t="shared" si="1"/>
        <v/>
      </c>
      <c r="P960" s="52"/>
    </row>
    <row r="961">
      <c r="F961" s="116" t="str">
        <f t="shared" si="1"/>
        <v/>
      </c>
      <c r="P961" s="52"/>
    </row>
    <row r="962">
      <c r="F962" s="116" t="str">
        <f t="shared" si="1"/>
        <v/>
      </c>
      <c r="P962" s="52"/>
    </row>
    <row r="963">
      <c r="F963" s="116" t="str">
        <f t="shared" si="1"/>
        <v/>
      </c>
      <c r="P963" s="52"/>
    </row>
    <row r="964">
      <c r="F964" s="116" t="str">
        <f t="shared" si="1"/>
        <v/>
      </c>
      <c r="P964" s="52"/>
    </row>
    <row r="965">
      <c r="F965" s="116" t="str">
        <f t="shared" si="1"/>
        <v/>
      </c>
      <c r="P965" s="52"/>
    </row>
    <row r="966">
      <c r="F966" s="116" t="str">
        <f t="shared" si="1"/>
        <v/>
      </c>
      <c r="P966" s="52"/>
    </row>
    <row r="967">
      <c r="F967" s="116" t="str">
        <f t="shared" si="1"/>
        <v/>
      </c>
      <c r="P967" s="52"/>
    </row>
    <row r="968">
      <c r="F968" s="116" t="str">
        <f t="shared" si="1"/>
        <v/>
      </c>
      <c r="P968" s="52"/>
    </row>
    <row r="969">
      <c r="F969" s="116" t="str">
        <f t="shared" si="1"/>
        <v/>
      </c>
      <c r="P969" s="52"/>
    </row>
    <row r="970">
      <c r="F970" s="116" t="str">
        <f t="shared" si="1"/>
        <v/>
      </c>
      <c r="P970" s="52"/>
    </row>
    <row r="971">
      <c r="F971" s="116" t="str">
        <f t="shared" si="1"/>
        <v/>
      </c>
      <c r="P971" s="52"/>
    </row>
    <row r="972">
      <c r="F972" s="116" t="str">
        <f t="shared" si="1"/>
        <v/>
      </c>
      <c r="P972" s="52"/>
    </row>
    <row r="973">
      <c r="F973" s="116" t="str">
        <f t="shared" si="1"/>
        <v/>
      </c>
      <c r="P973" s="52"/>
    </row>
    <row r="974">
      <c r="F974" s="116" t="str">
        <f t="shared" si="1"/>
        <v/>
      </c>
      <c r="P974" s="52"/>
    </row>
    <row r="975">
      <c r="F975" s="116" t="str">
        <f t="shared" si="1"/>
        <v/>
      </c>
      <c r="P975" s="52"/>
    </row>
    <row r="976">
      <c r="F976" s="116" t="str">
        <f t="shared" si="1"/>
        <v/>
      </c>
      <c r="P976" s="52"/>
    </row>
    <row r="977">
      <c r="F977" s="116" t="str">
        <f t="shared" si="1"/>
        <v/>
      </c>
      <c r="P977" s="52"/>
    </row>
    <row r="978">
      <c r="F978" s="116" t="str">
        <f t="shared" si="1"/>
        <v/>
      </c>
      <c r="P978" s="52"/>
    </row>
    <row r="979">
      <c r="F979" s="116" t="str">
        <f t="shared" si="1"/>
        <v/>
      </c>
      <c r="P979" s="52"/>
    </row>
    <row r="980">
      <c r="F980" s="116" t="str">
        <f t="shared" si="1"/>
        <v/>
      </c>
      <c r="P980" s="52"/>
    </row>
    <row r="981">
      <c r="F981" s="116" t="str">
        <f t="shared" si="1"/>
        <v/>
      </c>
      <c r="P981" s="52"/>
    </row>
    <row r="982">
      <c r="F982" s="116" t="str">
        <f t="shared" si="1"/>
        <v/>
      </c>
      <c r="P982" s="52"/>
    </row>
    <row r="983">
      <c r="F983" s="116" t="str">
        <f t="shared" si="1"/>
        <v/>
      </c>
      <c r="P983" s="52"/>
    </row>
    <row r="984">
      <c r="F984" s="116" t="str">
        <f t="shared" si="1"/>
        <v/>
      </c>
      <c r="P984" s="52"/>
    </row>
    <row r="985">
      <c r="F985" s="116" t="str">
        <f t="shared" si="1"/>
        <v/>
      </c>
      <c r="P985" s="52"/>
    </row>
    <row r="986">
      <c r="F986" s="116" t="str">
        <f t="shared" si="1"/>
        <v/>
      </c>
      <c r="P986" s="52"/>
    </row>
    <row r="987">
      <c r="F987" s="116" t="str">
        <f t="shared" si="1"/>
        <v/>
      </c>
      <c r="P987" s="52"/>
    </row>
    <row r="988">
      <c r="F988" s="116" t="str">
        <f t="shared" si="1"/>
        <v/>
      </c>
      <c r="P988" s="52"/>
    </row>
    <row r="989">
      <c r="F989" s="116" t="str">
        <f t="shared" si="1"/>
        <v/>
      </c>
      <c r="P989" s="52"/>
    </row>
    <row r="990">
      <c r="F990" s="116" t="str">
        <f t="shared" si="1"/>
        <v/>
      </c>
      <c r="P990" s="52"/>
    </row>
    <row r="991">
      <c r="F991" s="116" t="str">
        <f t="shared" si="1"/>
        <v/>
      </c>
      <c r="P991" s="52"/>
    </row>
    <row r="992">
      <c r="F992" s="116" t="str">
        <f t="shared" si="1"/>
        <v/>
      </c>
      <c r="P992" s="52"/>
    </row>
    <row r="993">
      <c r="F993" s="116" t="str">
        <f t="shared" si="1"/>
        <v/>
      </c>
      <c r="P993" s="52"/>
    </row>
    <row r="994">
      <c r="F994" s="116" t="str">
        <f t="shared" si="1"/>
        <v/>
      </c>
      <c r="P994" s="52"/>
    </row>
    <row r="995">
      <c r="F995" s="116" t="str">
        <f t="shared" si="1"/>
        <v/>
      </c>
      <c r="P995" s="52"/>
    </row>
    <row r="996">
      <c r="F996" s="116" t="str">
        <f t="shared" si="1"/>
        <v/>
      </c>
      <c r="P996" s="52"/>
    </row>
    <row r="997">
      <c r="F997" s="116" t="str">
        <f t="shared" si="1"/>
        <v/>
      </c>
      <c r="P997" s="52"/>
    </row>
    <row r="998">
      <c r="F998" s="116" t="str">
        <f t="shared" si="1"/>
        <v/>
      </c>
      <c r="P998" s="52"/>
    </row>
    <row r="999">
      <c r="F999" s="116" t="str">
        <f t="shared" si="1"/>
        <v/>
      </c>
      <c r="P999" s="52"/>
    </row>
    <row r="1000">
      <c r="F1000" s="116" t="str">
        <f t="shared" si="1"/>
        <v/>
      </c>
      <c r="P1000" s="52"/>
    </row>
    <row r="1001">
      <c r="F1001" s="116" t="str">
        <f t="shared" si="1"/>
        <v/>
      </c>
      <c r="P1001" s="52"/>
    </row>
    <row r="1002">
      <c r="F1002" s="116" t="str">
        <f t="shared" si="1"/>
        <v/>
      </c>
      <c r="P1002" s="52"/>
    </row>
    <row r="1003">
      <c r="F1003" s="116" t="str">
        <f t="shared" si="1"/>
        <v/>
      </c>
      <c r="P1003" s="52"/>
    </row>
    <row r="1004">
      <c r="F1004" s="116" t="str">
        <f t="shared" si="1"/>
        <v/>
      </c>
      <c r="P1004" s="52"/>
    </row>
    <row r="1005">
      <c r="F1005" s="116" t="str">
        <f t="shared" si="1"/>
        <v/>
      </c>
      <c r="P1005" s="52"/>
    </row>
    <row r="1006">
      <c r="F1006" s="116" t="str">
        <f t="shared" si="1"/>
        <v/>
      </c>
      <c r="P1006" s="52"/>
    </row>
    <row r="1007">
      <c r="F1007" s="116" t="str">
        <f t="shared" si="1"/>
        <v/>
      </c>
      <c r="P1007" s="52"/>
    </row>
    <row r="1008">
      <c r="F1008" s="116" t="str">
        <f t="shared" si="1"/>
        <v/>
      </c>
      <c r="P1008" s="52"/>
    </row>
    <row r="1009">
      <c r="F1009" s="116" t="str">
        <f t="shared" si="1"/>
        <v/>
      </c>
      <c r="P1009" s="52"/>
    </row>
    <row r="1010">
      <c r="F1010" s="116" t="str">
        <f t="shared" si="1"/>
        <v/>
      </c>
      <c r="P1010" s="52"/>
    </row>
    <row r="1011">
      <c r="F1011" s="116" t="str">
        <f t="shared" si="1"/>
        <v/>
      </c>
      <c r="P1011" s="52"/>
    </row>
    <row r="1012">
      <c r="F1012" s="116" t="str">
        <f t="shared" si="1"/>
        <v/>
      </c>
      <c r="P1012" s="52"/>
    </row>
    <row r="1013">
      <c r="F1013" s="116" t="str">
        <f t="shared" si="1"/>
        <v/>
      </c>
      <c r="P1013" s="52"/>
    </row>
    <row r="1014">
      <c r="F1014" s="116" t="str">
        <f t="shared" si="1"/>
        <v/>
      </c>
      <c r="P1014" s="52"/>
    </row>
    <row r="1015">
      <c r="F1015" s="116" t="str">
        <f t="shared" si="1"/>
        <v/>
      </c>
      <c r="P1015" s="52"/>
    </row>
    <row r="1016">
      <c r="F1016" s="116" t="str">
        <f t="shared" si="1"/>
        <v/>
      </c>
      <c r="P1016" s="52"/>
    </row>
    <row r="1017">
      <c r="F1017" s="116" t="str">
        <f t="shared" si="1"/>
        <v/>
      </c>
      <c r="P1017" s="52"/>
    </row>
    <row r="1018">
      <c r="F1018" s="116" t="str">
        <f t="shared" si="1"/>
        <v/>
      </c>
      <c r="P1018" s="52"/>
    </row>
    <row r="1019">
      <c r="F1019" s="116" t="str">
        <f t="shared" si="1"/>
        <v/>
      </c>
      <c r="P1019" s="52"/>
    </row>
    <row r="1020">
      <c r="F1020" s="116" t="str">
        <f t="shared" si="1"/>
        <v/>
      </c>
      <c r="P1020" s="52"/>
    </row>
    <row r="1021">
      <c r="F1021" s="116" t="str">
        <f t="shared" si="1"/>
        <v/>
      </c>
      <c r="P1021" s="52"/>
    </row>
    <row r="1022">
      <c r="F1022" s="116" t="str">
        <f t="shared" si="1"/>
        <v/>
      </c>
      <c r="P1022" s="52"/>
    </row>
    <row r="1023">
      <c r="F1023" s="116" t="str">
        <f t="shared" si="1"/>
        <v/>
      </c>
      <c r="P1023" s="52"/>
    </row>
    <row r="1024">
      <c r="F1024" s="116" t="str">
        <f t="shared" si="1"/>
        <v/>
      </c>
      <c r="P1024" s="52"/>
    </row>
    <row r="1025">
      <c r="F1025" s="116" t="str">
        <f t="shared" si="1"/>
        <v/>
      </c>
      <c r="P1025" s="52"/>
    </row>
    <row r="1026">
      <c r="F1026" s="116" t="str">
        <f t="shared" si="1"/>
        <v/>
      </c>
      <c r="P1026" s="52"/>
    </row>
    <row r="1027">
      <c r="F1027" s="116" t="str">
        <f t="shared" si="1"/>
        <v/>
      </c>
      <c r="P1027" s="52"/>
    </row>
    <row r="1028">
      <c r="F1028" s="116" t="str">
        <f t="shared" si="1"/>
        <v/>
      </c>
      <c r="P1028" s="52"/>
    </row>
    <row r="1029">
      <c r="F1029" s="116" t="str">
        <f t="shared" si="1"/>
        <v/>
      </c>
      <c r="P1029" s="52"/>
    </row>
    <row r="1030">
      <c r="F1030" s="116" t="str">
        <f t="shared" si="1"/>
        <v/>
      </c>
      <c r="P1030" s="52"/>
    </row>
    <row r="1031">
      <c r="F1031" s="116" t="str">
        <f t="shared" si="1"/>
        <v/>
      </c>
      <c r="P1031" s="52"/>
    </row>
    <row r="1032">
      <c r="F1032" s="116" t="str">
        <f t="shared" si="1"/>
        <v/>
      </c>
      <c r="P1032" s="52"/>
    </row>
    <row r="1033">
      <c r="F1033" s="116" t="str">
        <f t="shared" si="1"/>
        <v/>
      </c>
      <c r="P1033" s="52"/>
    </row>
    <row r="1034">
      <c r="F1034" s="116" t="str">
        <f t="shared" si="1"/>
        <v/>
      </c>
      <c r="P1034" s="52"/>
    </row>
    <row r="1035">
      <c r="F1035" s="116" t="str">
        <f t="shared" si="1"/>
        <v/>
      </c>
      <c r="P1035" s="52"/>
    </row>
    <row r="1036">
      <c r="F1036" s="116" t="str">
        <f t="shared" si="1"/>
        <v/>
      </c>
      <c r="P1036" s="52"/>
    </row>
    <row r="1037">
      <c r="F1037" s="116" t="str">
        <f t="shared" si="1"/>
        <v/>
      </c>
      <c r="P1037" s="52"/>
    </row>
    <row r="1038">
      <c r="F1038" s="116" t="str">
        <f t="shared" si="1"/>
        <v/>
      </c>
      <c r="P1038" s="52"/>
    </row>
    <row r="1039">
      <c r="F1039" s="116" t="str">
        <f t="shared" si="1"/>
        <v/>
      </c>
      <c r="P1039" s="52"/>
    </row>
    <row r="1040">
      <c r="F1040" s="116" t="str">
        <f t="shared" si="1"/>
        <v/>
      </c>
      <c r="P1040" s="52"/>
    </row>
    <row r="1041">
      <c r="F1041" s="116" t="str">
        <f t="shared" si="1"/>
        <v/>
      </c>
      <c r="P1041" s="52"/>
    </row>
    <row r="1042">
      <c r="F1042" s="116" t="str">
        <f t="shared" si="1"/>
        <v/>
      </c>
      <c r="P1042" s="52"/>
    </row>
    <row r="1043">
      <c r="F1043" s="116" t="str">
        <f t="shared" si="1"/>
        <v/>
      </c>
      <c r="P1043" s="52"/>
    </row>
    <row r="1044">
      <c r="F1044" s="116" t="str">
        <f t="shared" si="1"/>
        <v/>
      </c>
      <c r="P1044" s="52"/>
    </row>
    <row r="1045">
      <c r="F1045" s="116" t="str">
        <f t="shared" si="1"/>
        <v/>
      </c>
      <c r="P1045" s="52"/>
    </row>
    <row r="1046">
      <c r="F1046" s="116" t="str">
        <f t="shared" si="1"/>
        <v/>
      </c>
      <c r="P1046" s="52"/>
    </row>
    <row r="1047">
      <c r="F1047" s="116" t="str">
        <f t="shared" si="1"/>
        <v/>
      </c>
      <c r="P1047" s="52"/>
    </row>
    <row r="1048">
      <c r="F1048" s="116" t="str">
        <f t="shared" si="1"/>
        <v/>
      </c>
      <c r="P1048" s="52"/>
    </row>
    <row r="1049">
      <c r="F1049" s="116" t="str">
        <f t="shared" si="1"/>
        <v/>
      </c>
      <c r="P1049" s="52"/>
    </row>
    <row r="1050">
      <c r="F1050" s="116" t="str">
        <f t="shared" si="1"/>
        <v/>
      </c>
      <c r="P1050" s="52"/>
    </row>
    <row r="1051">
      <c r="F1051" s="116" t="str">
        <f t="shared" si="1"/>
        <v/>
      </c>
      <c r="P1051" s="52"/>
    </row>
    <row r="1052">
      <c r="F1052" s="116" t="str">
        <f t="shared" si="1"/>
        <v/>
      </c>
      <c r="P1052" s="52"/>
    </row>
    <row r="1053">
      <c r="F1053" s="116" t="str">
        <f t="shared" si="1"/>
        <v/>
      </c>
      <c r="P1053" s="52"/>
    </row>
    <row r="1054">
      <c r="F1054" s="116" t="str">
        <f t="shared" si="1"/>
        <v/>
      </c>
      <c r="P1054" s="52"/>
    </row>
    <row r="1055">
      <c r="F1055" s="116" t="str">
        <f t="shared" si="1"/>
        <v/>
      </c>
      <c r="P1055" s="52"/>
    </row>
    <row r="1056">
      <c r="F1056" s="116" t="str">
        <f t="shared" si="1"/>
        <v/>
      </c>
      <c r="P1056" s="52"/>
    </row>
    <row r="1057">
      <c r="F1057" s="116" t="str">
        <f t="shared" si="1"/>
        <v/>
      </c>
      <c r="P1057" s="52"/>
    </row>
    <row r="1058">
      <c r="F1058" s="116" t="str">
        <f t="shared" si="1"/>
        <v/>
      </c>
      <c r="P1058" s="52"/>
    </row>
    <row r="1059">
      <c r="F1059" s="116" t="str">
        <f t="shared" si="1"/>
        <v/>
      </c>
      <c r="P1059" s="52"/>
    </row>
    <row r="1060">
      <c r="F1060" s="116" t="str">
        <f t="shared" si="1"/>
        <v/>
      </c>
      <c r="P1060" s="52"/>
    </row>
    <row r="1061">
      <c r="F1061" s="116" t="str">
        <f t="shared" si="1"/>
        <v/>
      </c>
      <c r="P1061" s="52"/>
    </row>
    <row r="1062">
      <c r="F1062" s="116" t="str">
        <f t="shared" si="1"/>
        <v/>
      </c>
      <c r="P1062" s="52"/>
    </row>
    <row r="1063">
      <c r="F1063" s="116" t="str">
        <f t="shared" si="1"/>
        <v/>
      </c>
      <c r="P1063" s="52"/>
    </row>
    <row r="1064">
      <c r="F1064" s="116" t="str">
        <f t="shared" si="1"/>
        <v/>
      </c>
      <c r="P1064" s="52"/>
    </row>
    <row r="1065">
      <c r="F1065" s="116" t="str">
        <f t="shared" si="1"/>
        <v/>
      </c>
      <c r="P1065" s="52"/>
    </row>
    <row r="1066">
      <c r="F1066" s="116" t="str">
        <f t="shared" si="1"/>
        <v/>
      </c>
      <c r="P1066" s="52"/>
    </row>
    <row r="1067">
      <c r="F1067" s="116" t="str">
        <f t="shared" si="1"/>
        <v/>
      </c>
      <c r="P1067" s="52"/>
    </row>
    <row r="1068">
      <c r="F1068" s="116" t="str">
        <f t="shared" si="1"/>
        <v/>
      </c>
      <c r="P1068" s="52"/>
    </row>
    <row r="1069">
      <c r="F1069" s="116" t="str">
        <f t="shared" si="1"/>
        <v/>
      </c>
      <c r="P1069" s="52"/>
    </row>
    <row r="1070">
      <c r="F1070" s="116" t="str">
        <f t="shared" si="1"/>
        <v/>
      </c>
      <c r="P1070" s="52"/>
    </row>
    <row r="1071">
      <c r="F1071" s="116" t="str">
        <f t="shared" si="1"/>
        <v/>
      </c>
      <c r="P1071" s="52"/>
    </row>
    <row r="1072">
      <c r="F1072" s="116" t="str">
        <f t="shared" si="1"/>
        <v/>
      </c>
      <c r="P1072" s="52"/>
    </row>
    <row r="1073">
      <c r="F1073" s="116" t="str">
        <f t="shared" si="1"/>
        <v/>
      </c>
      <c r="P1073" s="52"/>
    </row>
    <row r="1074">
      <c r="F1074" s="116" t="str">
        <f t="shared" si="1"/>
        <v/>
      </c>
      <c r="P1074" s="52"/>
    </row>
    <row r="1075">
      <c r="F1075" s="116" t="str">
        <f t="shared" si="1"/>
        <v/>
      </c>
      <c r="P1075" s="52"/>
    </row>
    <row r="1076">
      <c r="F1076" s="116" t="str">
        <f t="shared" si="1"/>
        <v/>
      </c>
      <c r="P1076" s="52"/>
    </row>
    <row r="1077">
      <c r="F1077" s="116" t="str">
        <f t="shared" si="1"/>
        <v/>
      </c>
      <c r="P1077" s="52"/>
    </row>
    <row r="1078">
      <c r="F1078" s="116" t="str">
        <f t="shared" si="1"/>
        <v/>
      </c>
      <c r="P1078" s="52"/>
    </row>
    <row r="1079">
      <c r="F1079" s="116" t="str">
        <f t="shared" si="1"/>
        <v/>
      </c>
      <c r="P1079" s="52"/>
    </row>
    <row r="1080">
      <c r="F1080" s="116" t="str">
        <f t="shared" si="1"/>
        <v/>
      </c>
      <c r="P1080" s="52"/>
    </row>
    <row r="1081">
      <c r="F1081" s="116" t="str">
        <f t="shared" si="1"/>
        <v/>
      </c>
      <c r="P1081" s="52"/>
    </row>
    <row r="1082">
      <c r="F1082" s="116" t="str">
        <f t="shared" si="1"/>
        <v/>
      </c>
      <c r="P1082" s="52"/>
    </row>
    <row r="1083">
      <c r="F1083" s="116" t="str">
        <f t="shared" si="1"/>
        <v/>
      </c>
      <c r="P1083" s="52"/>
    </row>
    <row r="1084">
      <c r="F1084" s="116" t="str">
        <f t="shared" si="1"/>
        <v/>
      </c>
      <c r="P1084" s="52"/>
    </row>
    <row r="1085">
      <c r="F1085" s="116" t="str">
        <f t="shared" si="1"/>
        <v/>
      </c>
      <c r="P1085" s="52"/>
    </row>
    <row r="1086">
      <c r="F1086" s="116" t="str">
        <f t="shared" si="1"/>
        <v/>
      </c>
      <c r="P1086" s="52"/>
    </row>
    <row r="1087">
      <c r="F1087" s="116" t="str">
        <f t="shared" si="1"/>
        <v/>
      </c>
      <c r="P1087" s="52"/>
    </row>
    <row r="1088">
      <c r="F1088" s="116" t="str">
        <f t="shared" si="1"/>
        <v/>
      </c>
      <c r="P1088" s="52"/>
    </row>
    <row r="1089">
      <c r="F1089" s="116" t="str">
        <f t="shared" si="1"/>
        <v/>
      </c>
      <c r="P1089" s="52"/>
    </row>
    <row r="1090">
      <c r="F1090" s="116" t="str">
        <f t="shared" si="1"/>
        <v/>
      </c>
      <c r="P1090" s="52"/>
    </row>
    <row r="1091">
      <c r="F1091" s="116" t="str">
        <f t="shared" si="1"/>
        <v/>
      </c>
      <c r="P1091" s="52"/>
    </row>
    <row r="1092">
      <c r="F1092" s="116" t="str">
        <f t="shared" si="1"/>
        <v/>
      </c>
      <c r="P1092" s="52"/>
    </row>
    <row r="1093">
      <c r="F1093" s="116" t="str">
        <f t="shared" si="1"/>
        <v/>
      </c>
      <c r="P1093" s="52"/>
    </row>
    <row r="1094">
      <c r="F1094" s="116" t="str">
        <f t="shared" si="1"/>
        <v/>
      </c>
      <c r="P1094" s="52"/>
    </row>
    <row r="1095">
      <c r="F1095" s="116" t="str">
        <f t="shared" si="1"/>
        <v/>
      </c>
      <c r="P1095" s="52"/>
    </row>
    <row r="1096">
      <c r="F1096" s="116" t="str">
        <f t="shared" si="1"/>
        <v/>
      </c>
      <c r="P1096" s="52"/>
    </row>
    <row r="1097">
      <c r="F1097" s="116" t="str">
        <f t="shared" si="1"/>
        <v/>
      </c>
      <c r="P1097" s="52"/>
    </row>
    <row r="1098">
      <c r="F1098" s="116" t="str">
        <f t="shared" si="1"/>
        <v/>
      </c>
      <c r="P1098" s="52"/>
    </row>
    <row r="1099">
      <c r="F1099" s="116" t="str">
        <f t="shared" si="1"/>
        <v/>
      </c>
      <c r="P1099" s="52"/>
    </row>
    <row r="1100">
      <c r="F1100" s="116" t="str">
        <f t="shared" si="1"/>
        <v/>
      </c>
      <c r="P1100" s="52"/>
    </row>
    <row r="1101">
      <c r="F1101" s="116" t="str">
        <f t="shared" si="1"/>
        <v/>
      </c>
      <c r="P1101" s="52"/>
    </row>
    <row r="1102">
      <c r="F1102" s="116" t="str">
        <f t="shared" si="1"/>
        <v/>
      </c>
      <c r="P1102" s="52"/>
    </row>
    <row r="1103">
      <c r="F1103" s="116" t="str">
        <f t="shared" si="1"/>
        <v/>
      </c>
      <c r="P1103" s="52"/>
    </row>
    <row r="1104">
      <c r="F1104" s="116" t="str">
        <f t="shared" si="1"/>
        <v/>
      </c>
      <c r="P1104" s="52"/>
    </row>
    <row r="1105">
      <c r="F1105" s="116" t="str">
        <f t="shared" si="1"/>
        <v/>
      </c>
      <c r="P1105" s="52"/>
    </row>
    <row r="1106">
      <c r="F1106" s="116" t="str">
        <f t="shared" si="1"/>
        <v/>
      </c>
      <c r="P1106" s="52"/>
    </row>
    <row r="1107">
      <c r="F1107" s="116" t="str">
        <f t="shared" si="1"/>
        <v/>
      </c>
      <c r="P1107" s="52"/>
    </row>
    <row r="1108">
      <c r="F1108" s="116" t="str">
        <f t="shared" si="1"/>
        <v/>
      </c>
      <c r="P1108" s="52"/>
    </row>
    <row r="1109">
      <c r="F1109" s="116" t="str">
        <f t="shared" si="1"/>
        <v/>
      </c>
      <c r="P1109" s="52"/>
    </row>
    <row r="1110">
      <c r="F1110" s="116" t="str">
        <f t="shared" si="1"/>
        <v/>
      </c>
      <c r="P1110" s="52"/>
    </row>
    <row r="1111">
      <c r="F1111" s="116" t="str">
        <f t="shared" si="1"/>
        <v/>
      </c>
      <c r="P1111" s="52"/>
    </row>
    <row r="1112">
      <c r="F1112" s="116" t="str">
        <f t="shared" si="1"/>
        <v/>
      </c>
      <c r="P1112" s="52"/>
    </row>
    <row r="1113">
      <c r="F1113" s="116" t="str">
        <f t="shared" si="1"/>
        <v/>
      </c>
      <c r="P1113" s="52"/>
    </row>
    <row r="1114">
      <c r="F1114" s="116" t="str">
        <f t="shared" si="1"/>
        <v/>
      </c>
      <c r="P1114" s="52"/>
    </row>
    <row r="1115">
      <c r="F1115" s="116" t="str">
        <f t="shared" si="1"/>
        <v/>
      </c>
      <c r="P1115" s="52"/>
    </row>
    <row r="1116">
      <c r="F1116" s="116" t="str">
        <f t="shared" si="1"/>
        <v/>
      </c>
      <c r="P1116" s="52"/>
    </row>
    <row r="1117">
      <c r="F1117" s="116" t="str">
        <f t="shared" si="1"/>
        <v/>
      </c>
      <c r="P1117" s="52"/>
    </row>
    <row r="1118">
      <c r="F1118" s="116" t="str">
        <f t="shared" si="1"/>
        <v/>
      </c>
      <c r="P1118" s="52"/>
    </row>
    <row r="1119">
      <c r="F1119" s="116" t="str">
        <f t="shared" si="1"/>
        <v/>
      </c>
      <c r="P1119" s="52"/>
    </row>
    <row r="1120">
      <c r="F1120" s="116" t="str">
        <f t="shared" si="1"/>
        <v/>
      </c>
      <c r="P1120" s="52"/>
    </row>
    <row r="1121">
      <c r="F1121" s="116" t="str">
        <f t="shared" si="1"/>
        <v/>
      </c>
      <c r="P1121" s="52"/>
    </row>
    <row r="1122">
      <c r="F1122" s="116" t="str">
        <f t="shared" si="1"/>
        <v/>
      </c>
      <c r="P1122" s="52"/>
    </row>
    <row r="1123">
      <c r="F1123" s="116" t="str">
        <f t="shared" si="1"/>
        <v/>
      </c>
      <c r="P1123" s="52"/>
    </row>
    <row r="1124">
      <c r="F1124" s="116" t="str">
        <f t="shared" si="1"/>
        <v/>
      </c>
      <c r="P1124" s="52"/>
    </row>
    <row r="1125">
      <c r="F1125" s="116" t="str">
        <f t="shared" si="1"/>
        <v/>
      </c>
      <c r="P1125" s="52"/>
    </row>
    <row r="1126">
      <c r="F1126" s="116" t="str">
        <f t="shared" si="1"/>
        <v/>
      </c>
      <c r="P1126" s="52"/>
    </row>
    <row r="1127">
      <c r="F1127" s="116" t="str">
        <f t="shared" si="1"/>
        <v/>
      </c>
      <c r="P1127" s="52"/>
    </row>
    <row r="1128">
      <c r="F1128" s="116" t="str">
        <f t="shared" si="1"/>
        <v/>
      </c>
      <c r="P1128" s="52"/>
    </row>
    <row r="1129">
      <c r="F1129" s="116" t="str">
        <f t="shared" si="1"/>
        <v/>
      </c>
      <c r="P1129" s="52"/>
    </row>
    <row r="1130">
      <c r="F1130" s="116" t="str">
        <f t="shared" si="1"/>
        <v/>
      </c>
      <c r="P1130" s="52"/>
    </row>
    <row r="1131">
      <c r="F1131" s="116" t="str">
        <f t="shared" si="1"/>
        <v/>
      </c>
      <c r="P1131" s="52"/>
    </row>
    <row r="1132">
      <c r="F1132" s="116" t="str">
        <f t="shared" si="1"/>
        <v/>
      </c>
      <c r="P1132" s="52"/>
    </row>
    <row r="1133">
      <c r="F1133" s="116" t="str">
        <f t="shared" si="1"/>
        <v/>
      </c>
      <c r="P1133" s="52"/>
    </row>
    <row r="1134">
      <c r="F1134" s="116" t="str">
        <f t="shared" si="1"/>
        <v/>
      </c>
      <c r="P1134" s="52"/>
    </row>
    <row r="1135">
      <c r="F1135" s="116" t="str">
        <f t="shared" si="1"/>
        <v/>
      </c>
      <c r="P1135" s="52"/>
    </row>
    <row r="1136">
      <c r="F1136" s="116" t="str">
        <f t="shared" si="1"/>
        <v/>
      </c>
      <c r="P1136" s="52"/>
    </row>
    <row r="1137">
      <c r="F1137" s="116" t="str">
        <f t="shared" si="1"/>
        <v/>
      </c>
      <c r="P1137" s="52"/>
    </row>
    <row r="1138">
      <c r="F1138" s="116" t="str">
        <f t="shared" si="1"/>
        <v/>
      </c>
      <c r="P1138" s="52"/>
    </row>
    <row r="1139">
      <c r="F1139" s="116" t="str">
        <f t="shared" si="1"/>
        <v/>
      </c>
      <c r="P1139" s="52"/>
    </row>
    <row r="1140">
      <c r="F1140" s="116" t="str">
        <f t="shared" si="1"/>
        <v/>
      </c>
      <c r="P1140" s="52"/>
    </row>
    <row r="1141">
      <c r="F1141" s="116" t="str">
        <f t="shared" si="1"/>
        <v/>
      </c>
      <c r="P1141" s="52"/>
    </row>
    <row r="1142">
      <c r="F1142" s="116" t="str">
        <f t="shared" si="1"/>
        <v/>
      </c>
      <c r="P1142" s="52"/>
    </row>
    <row r="1143">
      <c r="F1143" s="116" t="str">
        <f t="shared" si="1"/>
        <v/>
      </c>
      <c r="P1143" s="52"/>
    </row>
    <row r="1144">
      <c r="F1144" s="116" t="str">
        <f t="shared" si="1"/>
        <v/>
      </c>
      <c r="P1144" s="52"/>
    </row>
    <row r="1145">
      <c r="F1145" s="116" t="str">
        <f t="shared" si="1"/>
        <v/>
      </c>
      <c r="P1145" s="52"/>
    </row>
    <row r="1146">
      <c r="F1146" s="116" t="str">
        <f t="shared" si="1"/>
        <v/>
      </c>
      <c r="P1146" s="52"/>
    </row>
    <row r="1147">
      <c r="F1147" s="116" t="str">
        <f t="shared" si="1"/>
        <v/>
      </c>
      <c r="P1147" s="52"/>
    </row>
    <row r="1148">
      <c r="F1148" s="116" t="str">
        <f t="shared" si="1"/>
        <v/>
      </c>
      <c r="P1148" s="52"/>
    </row>
    <row r="1149">
      <c r="F1149" s="116" t="str">
        <f t="shared" si="1"/>
        <v/>
      </c>
      <c r="P1149" s="52"/>
    </row>
    <row r="1150">
      <c r="F1150" s="116" t="str">
        <f t="shared" si="1"/>
        <v/>
      </c>
      <c r="P1150" s="52"/>
    </row>
    <row r="1151">
      <c r="F1151" s="116" t="str">
        <f t="shared" si="1"/>
        <v/>
      </c>
      <c r="P1151" s="52"/>
    </row>
    <row r="1152">
      <c r="F1152" s="116" t="str">
        <f t="shared" si="1"/>
        <v/>
      </c>
      <c r="P1152" s="52"/>
    </row>
    <row r="1153">
      <c r="F1153" s="116" t="str">
        <f t="shared" si="1"/>
        <v/>
      </c>
      <c r="P1153" s="52"/>
    </row>
    <row r="1154">
      <c r="F1154" s="116" t="str">
        <f t="shared" si="1"/>
        <v/>
      </c>
      <c r="P1154" s="52"/>
    </row>
    <row r="1155">
      <c r="F1155" s="116" t="str">
        <f t="shared" si="1"/>
        <v/>
      </c>
      <c r="P1155" s="52"/>
    </row>
    <row r="1156">
      <c r="F1156" s="116" t="str">
        <f t="shared" si="1"/>
        <v/>
      </c>
      <c r="P1156" s="52"/>
    </row>
    <row r="1157">
      <c r="F1157" s="116" t="str">
        <f t="shared" si="1"/>
        <v/>
      </c>
      <c r="P1157" s="52"/>
    </row>
    <row r="1158">
      <c r="F1158" s="116" t="str">
        <f t="shared" si="1"/>
        <v/>
      </c>
      <c r="P1158" s="52"/>
    </row>
    <row r="1159">
      <c r="F1159" s="116" t="str">
        <f t="shared" si="1"/>
        <v/>
      </c>
      <c r="P1159" s="52"/>
    </row>
    <row r="1160">
      <c r="F1160" s="116" t="str">
        <f t="shared" si="1"/>
        <v/>
      </c>
      <c r="P1160" s="52"/>
    </row>
    <row r="1161">
      <c r="F1161" s="116" t="str">
        <f t="shared" si="1"/>
        <v/>
      </c>
      <c r="P1161" s="52"/>
    </row>
    <row r="1162">
      <c r="F1162" s="116" t="str">
        <f t="shared" si="1"/>
        <v/>
      </c>
      <c r="P1162" s="52"/>
    </row>
    <row r="1163">
      <c r="F1163" s="116" t="str">
        <f t="shared" si="1"/>
        <v/>
      </c>
      <c r="P1163" s="52"/>
    </row>
    <row r="1164">
      <c r="F1164" s="116" t="str">
        <f t="shared" si="1"/>
        <v/>
      </c>
      <c r="P1164" s="52"/>
    </row>
    <row r="1165">
      <c r="F1165" s="116" t="str">
        <f t="shared" si="1"/>
        <v/>
      </c>
      <c r="P1165" s="52"/>
    </row>
    <row r="1166">
      <c r="F1166" s="116" t="str">
        <f t="shared" si="1"/>
        <v/>
      </c>
      <c r="P1166" s="52"/>
    </row>
    <row r="1167">
      <c r="F1167" s="116" t="str">
        <f t="shared" si="1"/>
        <v/>
      </c>
      <c r="P1167" s="52"/>
    </row>
    <row r="1168">
      <c r="F1168" s="116" t="str">
        <f t="shared" si="1"/>
        <v/>
      </c>
      <c r="P1168" s="52"/>
    </row>
    <row r="1169">
      <c r="F1169" s="116" t="str">
        <f t="shared" si="1"/>
        <v/>
      </c>
      <c r="P1169" s="52"/>
    </row>
    <row r="1170">
      <c r="F1170" s="116" t="str">
        <f t="shared" si="1"/>
        <v/>
      </c>
      <c r="P1170" s="52"/>
    </row>
    <row r="1171">
      <c r="F1171" s="116" t="str">
        <f t="shared" si="1"/>
        <v/>
      </c>
      <c r="P1171" s="52"/>
    </row>
    <row r="1172">
      <c r="F1172" s="116" t="str">
        <f t="shared" si="1"/>
        <v/>
      </c>
      <c r="P1172" s="52"/>
    </row>
    <row r="1173">
      <c r="F1173" s="116" t="str">
        <f t="shared" si="1"/>
        <v/>
      </c>
      <c r="P1173" s="52"/>
    </row>
    <row r="1174">
      <c r="F1174" s="116" t="str">
        <f t="shared" si="1"/>
        <v/>
      </c>
      <c r="P1174" s="52"/>
    </row>
    <row r="1175">
      <c r="F1175" s="116" t="str">
        <f t="shared" si="1"/>
        <v/>
      </c>
      <c r="P1175" s="52"/>
    </row>
    <row r="1176">
      <c r="F1176" s="116" t="str">
        <f t="shared" si="1"/>
        <v/>
      </c>
      <c r="P1176" s="52"/>
    </row>
    <row r="1177">
      <c r="F1177" s="116" t="str">
        <f t="shared" si="1"/>
        <v/>
      </c>
      <c r="P1177" s="52"/>
    </row>
    <row r="1178">
      <c r="F1178" s="116" t="str">
        <f t="shared" si="1"/>
        <v/>
      </c>
      <c r="P1178" s="52"/>
    </row>
    <row r="1179">
      <c r="F1179" s="116" t="str">
        <f t="shared" si="1"/>
        <v/>
      </c>
      <c r="P1179" s="52"/>
    </row>
    <row r="1180">
      <c r="F1180" s="116" t="str">
        <f t="shared" si="1"/>
        <v/>
      </c>
      <c r="P1180" s="52"/>
    </row>
    <row r="1181">
      <c r="F1181" s="116" t="str">
        <f t="shared" si="1"/>
        <v/>
      </c>
      <c r="P1181" s="52"/>
    </row>
    <row r="1182">
      <c r="F1182" s="116" t="str">
        <f t="shared" si="1"/>
        <v/>
      </c>
      <c r="P1182" s="52"/>
    </row>
    <row r="1183">
      <c r="F1183" s="116" t="str">
        <f t="shared" si="1"/>
        <v/>
      </c>
      <c r="P1183" s="52"/>
    </row>
    <row r="1184">
      <c r="F1184" s="116" t="str">
        <f t="shared" si="1"/>
        <v/>
      </c>
      <c r="P1184" s="52"/>
    </row>
    <row r="1185">
      <c r="F1185" s="116" t="str">
        <f t="shared" si="1"/>
        <v/>
      </c>
      <c r="P1185" s="52"/>
    </row>
    <row r="1186">
      <c r="F1186" s="116" t="str">
        <f t="shared" si="1"/>
        <v/>
      </c>
      <c r="P1186" s="52"/>
    </row>
    <row r="1187">
      <c r="F1187" s="116" t="str">
        <f t="shared" si="1"/>
        <v/>
      </c>
      <c r="P1187" s="52"/>
    </row>
    <row r="1188">
      <c r="F1188" s="116" t="str">
        <f t="shared" si="1"/>
        <v/>
      </c>
      <c r="P1188" s="52"/>
    </row>
    <row r="1189">
      <c r="F1189" s="116" t="str">
        <f t="shared" si="1"/>
        <v/>
      </c>
      <c r="P1189" s="52"/>
    </row>
    <row r="1190">
      <c r="F1190" s="116" t="str">
        <f t="shared" si="1"/>
        <v/>
      </c>
      <c r="P1190" s="52"/>
    </row>
    <row r="1191">
      <c r="F1191" s="116" t="str">
        <f t="shared" si="1"/>
        <v/>
      </c>
      <c r="P1191" s="52"/>
    </row>
    <row r="1192">
      <c r="F1192" s="116" t="str">
        <f t="shared" si="1"/>
        <v/>
      </c>
      <c r="P1192" s="52"/>
    </row>
    <row r="1193">
      <c r="F1193" s="116" t="str">
        <f t="shared" si="1"/>
        <v/>
      </c>
      <c r="P1193" s="52"/>
    </row>
    <row r="1194">
      <c r="F1194" s="116" t="str">
        <f t="shared" si="1"/>
        <v/>
      </c>
      <c r="P1194" s="52"/>
    </row>
    <row r="1195">
      <c r="F1195" s="116" t="str">
        <f t="shared" si="1"/>
        <v/>
      </c>
      <c r="P1195" s="52"/>
    </row>
    <row r="1196">
      <c r="F1196" s="116" t="str">
        <f t="shared" si="1"/>
        <v/>
      </c>
      <c r="P1196" s="52"/>
    </row>
    <row r="1197">
      <c r="F1197" s="116" t="str">
        <f t="shared" si="1"/>
        <v/>
      </c>
      <c r="P1197" s="52"/>
    </row>
    <row r="1198">
      <c r="F1198" s="116" t="str">
        <f t="shared" si="1"/>
        <v/>
      </c>
      <c r="P1198" s="52"/>
    </row>
    <row r="1199">
      <c r="F1199" s="116" t="str">
        <f t="shared" si="1"/>
        <v/>
      </c>
      <c r="P1199" s="52"/>
    </row>
    <row r="1200">
      <c r="F1200" s="116" t="str">
        <f t="shared" si="1"/>
        <v/>
      </c>
      <c r="P1200" s="52"/>
    </row>
    <row r="1201">
      <c r="F1201" s="116" t="str">
        <f t="shared" si="1"/>
        <v/>
      </c>
      <c r="P1201" s="52"/>
    </row>
    <row r="1202">
      <c r="F1202" s="116" t="str">
        <f t="shared" si="1"/>
        <v/>
      </c>
      <c r="P1202" s="52"/>
    </row>
    <row r="1203">
      <c r="F1203" s="116" t="str">
        <f t="shared" si="1"/>
        <v/>
      </c>
      <c r="P1203" s="52"/>
    </row>
    <row r="1204">
      <c r="F1204" s="116" t="str">
        <f t="shared" si="1"/>
        <v/>
      </c>
      <c r="P1204" s="52"/>
    </row>
    <row r="1205">
      <c r="F1205" s="116" t="str">
        <f t="shared" si="1"/>
        <v/>
      </c>
      <c r="P1205" s="52"/>
    </row>
    <row r="1206">
      <c r="F1206" s="116" t="str">
        <f t="shared" si="1"/>
        <v/>
      </c>
      <c r="P1206" s="52"/>
    </row>
    <row r="1207">
      <c r="F1207" s="116" t="str">
        <f t="shared" si="1"/>
        <v/>
      </c>
      <c r="P1207" s="52"/>
    </row>
    <row r="1208">
      <c r="F1208" s="116" t="str">
        <f t="shared" si="1"/>
        <v/>
      </c>
      <c r="P1208" s="52"/>
    </row>
    <row r="1209">
      <c r="F1209" s="116" t="str">
        <f t="shared" si="1"/>
        <v/>
      </c>
      <c r="P1209" s="52"/>
    </row>
    <row r="1210">
      <c r="F1210" s="116" t="str">
        <f t="shared" si="1"/>
        <v/>
      </c>
      <c r="P1210" s="52"/>
    </row>
    <row r="1211">
      <c r="F1211" s="116" t="str">
        <f t="shared" si="1"/>
        <v/>
      </c>
      <c r="P1211" s="52"/>
    </row>
    <row r="1212">
      <c r="F1212" s="116" t="str">
        <f t="shared" si="1"/>
        <v/>
      </c>
      <c r="P1212" s="52"/>
    </row>
    <row r="1213">
      <c r="F1213" s="116" t="str">
        <f t="shared" si="1"/>
        <v/>
      </c>
      <c r="P1213" s="52"/>
    </row>
    <row r="1214">
      <c r="F1214" s="116" t="str">
        <f t="shared" si="1"/>
        <v/>
      </c>
      <c r="P1214" s="52"/>
    </row>
    <row r="1215">
      <c r="F1215" s="116" t="str">
        <f t="shared" si="1"/>
        <v/>
      </c>
      <c r="P1215" s="52"/>
    </row>
    <row r="1216">
      <c r="F1216" s="116" t="str">
        <f t="shared" si="1"/>
        <v/>
      </c>
      <c r="P1216" s="52"/>
    </row>
    <row r="1217">
      <c r="F1217" s="116" t="str">
        <f t="shared" si="1"/>
        <v/>
      </c>
      <c r="P1217" s="52"/>
    </row>
    <row r="1218">
      <c r="F1218" s="116" t="str">
        <f t="shared" si="1"/>
        <v/>
      </c>
      <c r="P1218" s="52"/>
    </row>
    <row r="1219">
      <c r="F1219" s="116" t="str">
        <f t="shared" si="1"/>
        <v/>
      </c>
      <c r="P1219" s="52"/>
    </row>
    <row r="1220">
      <c r="F1220" s="116" t="str">
        <f t="shared" si="1"/>
        <v/>
      </c>
      <c r="P1220" s="52"/>
    </row>
    <row r="1221">
      <c r="F1221" s="116" t="str">
        <f t="shared" si="1"/>
        <v/>
      </c>
      <c r="P1221" s="52"/>
    </row>
    <row r="1222">
      <c r="F1222" s="116" t="str">
        <f t="shared" si="1"/>
        <v/>
      </c>
      <c r="P1222" s="52"/>
    </row>
    <row r="1223">
      <c r="F1223" s="116" t="str">
        <f t="shared" si="1"/>
        <v/>
      </c>
      <c r="P1223" s="52"/>
    </row>
    <row r="1224">
      <c r="F1224" s="116" t="str">
        <f t="shared" si="1"/>
        <v/>
      </c>
      <c r="P1224" s="52"/>
    </row>
    <row r="1225">
      <c r="F1225" s="116" t="str">
        <f t="shared" si="1"/>
        <v/>
      </c>
      <c r="P1225" s="52"/>
    </row>
    <row r="1226">
      <c r="F1226" s="116" t="str">
        <f t="shared" si="1"/>
        <v/>
      </c>
      <c r="P1226" s="52"/>
    </row>
    <row r="1227">
      <c r="F1227" s="116" t="str">
        <f t="shared" si="1"/>
        <v/>
      </c>
      <c r="P1227" s="52"/>
    </row>
    <row r="1228">
      <c r="F1228" s="116" t="str">
        <f t="shared" si="1"/>
        <v/>
      </c>
      <c r="P1228" s="52"/>
    </row>
    <row r="1229">
      <c r="F1229" s="116" t="str">
        <f t="shared" si="1"/>
        <v/>
      </c>
      <c r="P1229" s="52"/>
    </row>
    <row r="1230">
      <c r="F1230" s="116" t="str">
        <f t="shared" si="1"/>
        <v/>
      </c>
      <c r="P1230" s="52"/>
    </row>
    <row r="1231">
      <c r="F1231" s="116" t="str">
        <f t="shared" si="1"/>
        <v/>
      </c>
      <c r="P1231" s="52"/>
    </row>
    <row r="1232">
      <c r="F1232" s="116" t="str">
        <f t="shared" si="1"/>
        <v/>
      </c>
      <c r="P1232" s="52"/>
    </row>
    <row r="1233">
      <c r="F1233" s="116" t="str">
        <f t="shared" si="1"/>
        <v/>
      </c>
      <c r="P1233" s="52"/>
    </row>
    <row r="1234">
      <c r="F1234" s="116" t="str">
        <f t="shared" si="1"/>
        <v/>
      </c>
      <c r="P1234" s="52"/>
    </row>
    <row r="1235">
      <c r="F1235" s="116" t="str">
        <f t="shared" si="1"/>
        <v/>
      </c>
      <c r="P1235" s="52"/>
    </row>
    <row r="1236">
      <c r="F1236" s="116" t="str">
        <f t="shared" si="1"/>
        <v/>
      </c>
      <c r="P1236" s="52"/>
    </row>
    <row r="1237">
      <c r="F1237" s="116" t="str">
        <f t="shared" si="1"/>
        <v/>
      </c>
      <c r="P1237" s="52"/>
    </row>
    <row r="1238">
      <c r="F1238" s="116" t="str">
        <f t="shared" si="1"/>
        <v/>
      </c>
      <c r="P1238" s="52"/>
    </row>
    <row r="1239">
      <c r="F1239" s="116" t="str">
        <f t="shared" si="1"/>
        <v/>
      </c>
      <c r="P1239" s="52"/>
    </row>
    <row r="1240">
      <c r="F1240" s="116" t="str">
        <f t="shared" si="1"/>
        <v/>
      </c>
      <c r="P1240" s="52"/>
    </row>
    <row r="1241">
      <c r="F1241" s="116" t="str">
        <f t="shared" si="1"/>
        <v/>
      </c>
      <c r="P1241" s="52"/>
    </row>
    <row r="1242">
      <c r="F1242" s="116" t="str">
        <f t="shared" si="1"/>
        <v/>
      </c>
      <c r="P1242" s="52"/>
    </row>
    <row r="1243">
      <c r="F1243" s="116" t="str">
        <f t="shared" si="1"/>
        <v/>
      </c>
      <c r="P1243" s="52"/>
    </row>
    <row r="1244">
      <c r="F1244" s="116" t="str">
        <f t="shared" si="1"/>
        <v/>
      </c>
      <c r="P1244" s="52"/>
    </row>
    <row r="1245">
      <c r="F1245" s="116" t="str">
        <f t="shared" si="1"/>
        <v/>
      </c>
      <c r="P1245" s="52"/>
    </row>
    <row r="1246">
      <c r="F1246" s="116" t="str">
        <f t="shared" si="1"/>
        <v/>
      </c>
      <c r="P1246" s="52"/>
    </row>
    <row r="1247">
      <c r="F1247" s="116" t="str">
        <f t="shared" si="1"/>
        <v/>
      </c>
      <c r="P1247" s="52"/>
    </row>
    <row r="1248">
      <c r="F1248" s="116" t="str">
        <f t="shared" si="1"/>
        <v/>
      </c>
      <c r="P1248" s="52"/>
    </row>
    <row r="1249">
      <c r="F1249" s="116" t="str">
        <f t="shared" si="1"/>
        <v/>
      </c>
      <c r="P1249" s="52"/>
    </row>
    <row r="1250">
      <c r="F1250" s="116" t="str">
        <f t="shared" si="1"/>
        <v/>
      </c>
      <c r="P1250" s="52"/>
    </row>
    <row r="1251">
      <c r="F1251" s="116" t="str">
        <f t="shared" si="1"/>
        <v/>
      </c>
      <c r="P1251" s="52"/>
    </row>
    <row r="1252">
      <c r="F1252" s="116" t="str">
        <f t="shared" si="1"/>
        <v/>
      </c>
      <c r="P1252" s="52"/>
    </row>
    <row r="1253">
      <c r="F1253" s="116" t="str">
        <f t="shared" si="1"/>
        <v/>
      </c>
      <c r="P1253" s="52"/>
    </row>
    <row r="1254">
      <c r="F1254" s="116" t="str">
        <f t="shared" si="1"/>
        <v/>
      </c>
      <c r="P1254" s="52"/>
    </row>
    <row r="1255">
      <c r="F1255" s="116" t="str">
        <f t="shared" si="1"/>
        <v/>
      </c>
      <c r="P1255" s="52"/>
    </row>
    <row r="1256">
      <c r="F1256" s="116" t="str">
        <f t="shared" si="1"/>
        <v/>
      </c>
      <c r="P1256" s="52"/>
    </row>
    <row r="1257">
      <c r="F1257" s="116" t="str">
        <f t="shared" si="1"/>
        <v/>
      </c>
      <c r="P1257" s="52"/>
    </row>
    <row r="1258">
      <c r="F1258" s="116" t="str">
        <f t="shared" si="1"/>
        <v/>
      </c>
      <c r="P1258" s="52"/>
    </row>
    <row r="1259">
      <c r="F1259" s="116" t="str">
        <f t="shared" si="1"/>
        <v/>
      </c>
      <c r="P1259" s="52"/>
    </row>
    <row r="1260">
      <c r="F1260" s="116" t="str">
        <f t="shared" si="1"/>
        <v/>
      </c>
      <c r="P1260" s="52"/>
    </row>
    <row r="1261">
      <c r="F1261" s="116" t="str">
        <f t="shared" si="1"/>
        <v/>
      </c>
      <c r="P1261" s="52"/>
    </row>
    <row r="1262">
      <c r="F1262" s="116" t="str">
        <f t="shared" si="1"/>
        <v/>
      </c>
      <c r="P1262" s="52"/>
    </row>
    <row r="1263">
      <c r="F1263" s="116" t="str">
        <f t="shared" si="1"/>
        <v/>
      </c>
      <c r="P1263" s="52"/>
    </row>
    <row r="1264">
      <c r="F1264" s="116" t="str">
        <f t="shared" si="1"/>
        <v/>
      </c>
      <c r="P1264" s="52"/>
    </row>
    <row r="1265">
      <c r="F1265" s="116" t="str">
        <f t="shared" si="1"/>
        <v/>
      </c>
      <c r="P1265" s="52"/>
    </row>
    <row r="1266">
      <c r="F1266" s="116" t="str">
        <f t="shared" si="1"/>
        <v/>
      </c>
      <c r="P1266" s="52"/>
    </row>
    <row r="1267">
      <c r="F1267" s="116" t="str">
        <f t="shared" si="1"/>
        <v/>
      </c>
      <c r="P1267" s="52"/>
    </row>
    <row r="1268">
      <c r="F1268" s="116" t="str">
        <f t="shared" si="1"/>
        <v/>
      </c>
      <c r="P1268" s="52"/>
    </row>
    <row r="1269">
      <c r="F1269" s="116" t="str">
        <f t="shared" si="1"/>
        <v/>
      </c>
      <c r="P1269" s="52"/>
    </row>
    <row r="1270">
      <c r="F1270" s="116" t="str">
        <f t="shared" si="1"/>
        <v/>
      </c>
      <c r="P1270" s="52"/>
    </row>
    <row r="1271">
      <c r="F1271" s="116" t="str">
        <f t="shared" si="1"/>
        <v/>
      </c>
      <c r="P1271" s="52"/>
    </row>
    <row r="1272">
      <c r="F1272" s="116" t="str">
        <f t="shared" si="1"/>
        <v/>
      </c>
      <c r="P1272" s="52"/>
    </row>
    <row r="1273">
      <c r="F1273" s="116" t="str">
        <f t="shared" si="1"/>
        <v/>
      </c>
      <c r="P1273" s="52"/>
    </row>
    <row r="1274">
      <c r="F1274" s="116" t="str">
        <f t="shared" si="1"/>
        <v/>
      </c>
      <c r="P1274" s="52"/>
    </row>
    <row r="1275">
      <c r="F1275" s="116" t="str">
        <f t="shared" si="1"/>
        <v/>
      </c>
      <c r="P1275" s="52"/>
    </row>
    <row r="1276">
      <c r="F1276" s="116" t="str">
        <f t="shared" si="1"/>
        <v/>
      </c>
      <c r="P1276" s="52"/>
    </row>
    <row r="1277">
      <c r="F1277" s="116" t="str">
        <f t="shared" si="1"/>
        <v/>
      </c>
      <c r="P1277" s="52"/>
    </row>
    <row r="1278">
      <c r="F1278" s="116" t="str">
        <f t="shared" si="1"/>
        <v/>
      </c>
      <c r="P1278" s="52"/>
    </row>
    <row r="1279">
      <c r="F1279" s="116" t="str">
        <f t="shared" si="1"/>
        <v/>
      </c>
      <c r="P1279" s="52"/>
    </row>
    <row r="1280">
      <c r="F1280" s="116" t="str">
        <f t="shared" si="1"/>
        <v/>
      </c>
      <c r="P1280" s="52"/>
    </row>
    <row r="1281">
      <c r="F1281" s="116" t="str">
        <f t="shared" si="1"/>
        <v/>
      </c>
      <c r="P1281" s="52"/>
    </row>
    <row r="1282">
      <c r="F1282" s="116" t="str">
        <f t="shared" si="1"/>
        <v/>
      </c>
      <c r="P1282" s="52"/>
    </row>
    <row r="1283">
      <c r="F1283" s="116" t="str">
        <f t="shared" si="1"/>
        <v/>
      </c>
      <c r="P1283" s="52"/>
    </row>
    <row r="1284">
      <c r="F1284" s="116" t="str">
        <f t="shared" si="1"/>
        <v/>
      </c>
      <c r="P1284" s="52"/>
    </row>
    <row r="1285">
      <c r="F1285" s="116" t="str">
        <f t="shared" si="1"/>
        <v/>
      </c>
      <c r="P1285" s="52"/>
    </row>
    <row r="1286">
      <c r="F1286" s="116" t="str">
        <f t="shared" si="1"/>
        <v/>
      </c>
      <c r="P1286" s="52"/>
    </row>
    <row r="1287">
      <c r="F1287" s="116" t="str">
        <f t="shared" si="1"/>
        <v/>
      </c>
      <c r="P1287" s="52"/>
    </row>
    <row r="1288">
      <c r="F1288" s="116" t="str">
        <f t="shared" si="1"/>
        <v/>
      </c>
      <c r="P1288" s="52"/>
    </row>
    <row r="1289">
      <c r="F1289" s="116" t="str">
        <f t="shared" si="1"/>
        <v/>
      </c>
      <c r="P1289" s="52"/>
    </row>
    <row r="1290">
      <c r="F1290" s="116" t="str">
        <f t="shared" si="1"/>
        <v/>
      </c>
      <c r="P1290" s="52"/>
    </row>
    <row r="1291">
      <c r="F1291" s="116" t="str">
        <f t="shared" si="1"/>
        <v/>
      </c>
      <c r="P1291" s="52"/>
    </row>
    <row r="1292">
      <c r="F1292" s="116" t="str">
        <f t="shared" si="1"/>
        <v/>
      </c>
      <c r="P1292" s="52"/>
    </row>
    <row r="1293">
      <c r="F1293" s="116" t="str">
        <f t="shared" si="1"/>
        <v/>
      </c>
      <c r="P1293" s="52"/>
    </row>
    <row r="1294">
      <c r="F1294" s="116" t="str">
        <f t="shared" si="1"/>
        <v/>
      </c>
      <c r="P1294" s="52"/>
    </row>
    <row r="1295">
      <c r="F1295" s="116" t="str">
        <f t="shared" si="1"/>
        <v/>
      </c>
      <c r="P1295" s="52"/>
    </row>
    <row r="1296">
      <c r="F1296" s="116" t="str">
        <f t="shared" si="1"/>
        <v/>
      </c>
      <c r="P1296" s="52"/>
    </row>
    <row r="1297">
      <c r="F1297" s="116" t="str">
        <f t="shared" si="1"/>
        <v/>
      </c>
      <c r="P1297" s="52"/>
    </row>
    <row r="1298">
      <c r="F1298" s="116" t="str">
        <f t="shared" si="1"/>
        <v/>
      </c>
      <c r="P1298" s="52"/>
    </row>
    <row r="1299">
      <c r="F1299" s="116" t="str">
        <f t="shared" si="1"/>
        <v/>
      </c>
      <c r="P1299" s="52"/>
    </row>
    <row r="1300">
      <c r="F1300" s="116" t="str">
        <f t="shared" si="1"/>
        <v/>
      </c>
      <c r="P1300" s="52"/>
    </row>
    <row r="1301">
      <c r="F1301" s="116" t="str">
        <f t="shared" si="1"/>
        <v/>
      </c>
      <c r="P1301" s="52"/>
    </row>
    <row r="1302">
      <c r="F1302" s="116" t="str">
        <f t="shared" si="1"/>
        <v/>
      </c>
      <c r="P1302" s="52"/>
    </row>
    <row r="1303">
      <c r="F1303" s="116" t="str">
        <f t="shared" si="1"/>
        <v/>
      </c>
      <c r="P1303" s="52"/>
    </row>
    <row r="1304">
      <c r="F1304" s="116" t="str">
        <f t="shared" si="1"/>
        <v/>
      </c>
      <c r="P1304" s="52"/>
    </row>
    <row r="1305">
      <c r="F1305" s="116" t="str">
        <f t="shared" si="1"/>
        <v/>
      </c>
      <c r="P1305" s="52"/>
    </row>
    <row r="1306">
      <c r="F1306" s="116" t="str">
        <f t="shared" si="1"/>
        <v/>
      </c>
      <c r="P1306" s="52"/>
    </row>
    <row r="1307">
      <c r="F1307" s="116" t="str">
        <f t="shared" si="1"/>
        <v/>
      </c>
      <c r="P1307" s="52"/>
    </row>
    <row r="1308">
      <c r="F1308" s="116" t="str">
        <f t="shared" si="1"/>
        <v/>
      </c>
      <c r="P1308" s="52"/>
    </row>
    <row r="1309">
      <c r="F1309" s="116" t="str">
        <f t="shared" si="1"/>
        <v/>
      </c>
      <c r="P1309" s="52"/>
    </row>
    <row r="1310">
      <c r="F1310" s="116" t="str">
        <f t="shared" si="1"/>
        <v/>
      </c>
      <c r="P1310" s="52"/>
    </row>
    <row r="1311">
      <c r="F1311" s="116" t="str">
        <f t="shared" si="1"/>
        <v/>
      </c>
      <c r="P1311" s="52"/>
    </row>
    <row r="1312">
      <c r="F1312" s="116" t="str">
        <f t="shared" si="1"/>
        <v/>
      </c>
      <c r="P1312" s="52"/>
    </row>
    <row r="1313">
      <c r="F1313" s="116" t="str">
        <f t="shared" si="1"/>
        <v/>
      </c>
      <c r="P1313" s="52"/>
    </row>
    <row r="1314">
      <c r="F1314" s="116" t="str">
        <f t="shared" si="1"/>
        <v/>
      </c>
      <c r="P1314" s="52"/>
    </row>
    <row r="1315">
      <c r="F1315" s="116" t="str">
        <f t="shared" si="1"/>
        <v/>
      </c>
      <c r="P1315" s="52"/>
    </row>
    <row r="1316">
      <c r="F1316" s="116" t="str">
        <f t="shared" si="1"/>
        <v/>
      </c>
      <c r="P1316" s="52"/>
    </row>
    <row r="1317">
      <c r="F1317" s="116" t="str">
        <f t="shared" si="1"/>
        <v/>
      </c>
      <c r="P1317" s="52"/>
    </row>
    <row r="1318">
      <c r="F1318" s="116" t="str">
        <f t="shared" si="1"/>
        <v/>
      </c>
      <c r="P1318" s="52"/>
    </row>
    <row r="1319">
      <c r="F1319" s="116" t="str">
        <f t="shared" si="1"/>
        <v/>
      </c>
      <c r="P1319" s="52"/>
    </row>
    <row r="1320">
      <c r="F1320" s="116" t="str">
        <f t="shared" si="1"/>
        <v/>
      </c>
      <c r="P1320" s="52"/>
    </row>
    <row r="1321">
      <c r="F1321" s="116" t="str">
        <f t="shared" si="1"/>
        <v/>
      </c>
      <c r="P1321" s="52"/>
    </row>
    <row r="1322">
      <c r="F1322" s="116" t="str">
        <f t="shared" si="1"/>
        <v/>
      </c>
      <c r="P1322" s="52"/>
    </row>
    <row r="1323">
      <c r="F1323" s="116" t="str">
        <f t="shared" si="1"/>
        <v/>
      </c>
      <c r="P1323" s="52"/>
    </row>
    <row r="1324">
      <c r="F1324" s="116" t="str">
        <f t="shared" si="1"/>
        <v/>
      </c>
      <c r="P1324" s="52"/>
    </row>
    <row r="1325">
      <c r="F1325" s="116" t="str">
        <f t="shared" si="1"/>
        <v/>
      </c>
      <c r="P1325" s="52"/>
    </row>
    <row r="1326">
      <c r="F1326" s="116" t="str">
        <f t="shared" si="1"/>
        <v/>
      </c>
      <c r="P1326" s="52"/>
    </row>
    <row r="1327">
      <c r="F1327" s="116" t="str">
        <f t="shared" si="1"/>
        <v/>
      </c>
      <c r="P1327" s="52"/>
    </row>
    <row r="1328">
      <c r="F1328" s="116" t="str">
        <f t="shared" si="1"/>
        <v/>
      </c>
      <c r="P1328" s="52"/>
    </row>
    <row r="1329">
      <c r="F1329" s="116" t="str">
        <f t="shared" si="1"/>
        <v/>
      </c>
      <c r="P1329" s="52"/>
    </row>
    <row r="1330">
      <c r="F1330" s="116" t="str">
        <f t="shared" si="1"/>
        <v/>
      </c>
      <c r="P1330" s="52"/>
    </row>
    <row r="1331">
      <c r="F1331" s="116" t="str">
        <f t="shared" si="1"/>
        <v/>
      </c>
      <c r="P1331" s="52"/>
    </row>
    <row r="1332">
      <c r="F1332" s="116" t="str">
        <f t="shared" si="1"/>
        <v/>
      </c>
      <c r="P1332" s="52"/>
    </row>
    <row r="1333">
      <c r="F1333" s="116" t="str">
        <f t="shared" si="1"/>
        <v/>
      </c>
      <c r="P1333" s="52"/>
    </row>
    <row r="1334">
      <c r="F1334" s="116" t="str">
        <f t="shared" si="1"/>
        <v/>
      </c>
      <c r="P1334" s="52"/>
    </row>
    <row r="1335">
      <c r="F1335" s="116" t="str">
        <f t="shared" si="1"/>
        <v/>
      </c>
      <c r="P1335" s="52"/>
    </row>
    <row r="1336">
      <c r="F1336" s="116" t="str">
        <f t="shared" si="1"/>
        <v/>
      </c>
      <c r="P1336" s="52"/>
    </row>
    <row r="1337">
      <c r="F1337" s="116" t="str">
        <f t="shared" si="1"/>
        <v/>
      </c>
      <c r="P1337" s="52"/>
    </row>
    <row r="1338">
      <c r="F1338" s="116" t="str">
        <f t="shared" si="1"/>
        <v/>
      </c>
      <c r="P1338" s="52"/>
    </row>
    <row r="1339">
      <c r="F1339" s="116" t="str">
        <f t="shared" si="1"/>
        <v/>
      </c>
      <c r="P1339" s="52"/>
    </row>
    <row r="1340">
      <c r="F1340" s="116" t="str">
        <f t="shared" si="1"/>
        <v/>
      </c>
      <c r="P1340" s="52"/>
    </row>
    <row r="1341">
      <c r="F1341" s="116" t="str">
        <f t="shared" si="1"/>
        <v/>
      </c>
      <c r="P1341" s="52"/>
    </row>
    <row r="1342">
      <c r="F1342" s="116" t="str">
        <f t="shared" si="1"/>
        <v/>
      </c>
      <c r="P1342" s="52"/>
    </row>
    <row r="1343">
      <c r="F1343" s="116" t="str">
        <f t="shared" si="1"/>
        <v/>
      </c>
      <c r="P1343" s="52"/>
    </row>
    <row r="1344">
      <c r="F1344" s="116" t="str">
        <f t="shared" si="1"/>
        <v/>
      </c>
      <c r="P1344" s="52"/>
    </row>
    <row r="1345">
      <c r="F1345" s="116" t="str">
        <f t="shared" si="1"/>
        <v/>
      </c>
      <c r="P1345" s="52"/>
    </row>
    <row r="1346">
      <c r="F1346" s="116" t="str">
        <f t="shared" si="1"/>
        <v/>
      </c>
      <c r="P1346" s="52"/>
    </row>
    <row r="1347">
      <c r="F1347" s="116" t="str">
        <f t="shared" si="1"/>
        <v/>
      </c>
      <c r="P1347" s="52"/>
    </row>
    <row r="1348">
      <c r="F1348" s="116" t="str">
        <f t="shared" si="1"/>
        <v/>
      </c>
      <c r="P1348" s="52"/>
    </row>
    <row r="1349">
      <c r="F1349" s="116" t="str">
        <f t="shared" si="1"/>
        <v/>
      </c>
      <c r="P1349" s="52"/>
    </row>
    <row r="1350">
      <c r="F1350" s="116" t="str">
        <f t="shared" si="1"/>
        <v/>
      </c>
      <c r="P1350" s="52"/>
    </row>
    <row r="1351">
      <c r="F1351" s="116" t="str">
        <f t="shared" si="1"/>
        <v/>
      </c>
      <c r="P1351" s="52"/>
    </row>
    <row r="1352">
      <c r="F1352" s="116" t="str">
        <f t="shared" si="1"/>
        <v/>
      </c>
      <c r="P1352" s="52"/>
    </row>
    <row r="1353">
      <c r="F1353" s="116" t="str">
        <f t="shared" si="1"/>
        <v/>
      </c>
      <c r="P1353" s="52"/>
    </row>
    <row r="1354">
      <c r="F1354" s="116" t="str">
        <f t="shared" si="1"/>
        <v/>
      </c>
      <c r="P1354" s="52"/>
    </row>
    <row r="1355">
      <c r="F1355" s="116" t="str">
        <f t="shared" si="1"/>
        <v/>
      </c>
      <c r="P1355" s="52"/>
    </row>
    <row r="1356">
      <c r="F1356" s="116" t="str">
        <f t="shared" si="1"/>
        <v/>
      </c>
      <c r="P1356" s="52"/>
    </row>
    <row r="1357">
      <c r="F1357" s="116" t="str">
        <f t="shared" si="1"/>
        <v/>
      </c>
      <c r="P1357" s="52"/>
    </row>
    <row r="1358">
      <c r="F1358" s="116" t="str">
        <f t="shared" si="1"/>
        <v/>
      </c>
      <c r="P1358" s="52"/>
    </row>
    <row r="1359">
      <c r="F1359" s="116" t="str">
        <f t="shared" si="1"/>
        <v/>
      </c>
      <c r="P1359" s="52"/>
    </row>
    <row r="1360">
      <c r="F1360" s="116" t="str">
        <f t="shared" si="1"/>
        <v/>
      </c>
      <c r="P1360" s="52"/>
    </row>
    <row r="1361">
      <c r="F1361" s="116" t="str">
        <f t="shared" si="1"/>
        <v/>
      </c>
      <c r="P1361" s="52"/>
    </row>
    <row r="1362">
      <c r="F1362" s="116" t="str">
        <f t="shared" si="1"/>
        <v/>
      </c>
      <c r="P1362" s="52"/>
    </row>
    <row r="1363">
      <c r="F1363" s="116" t="str">
        <f t="shared" si="1"/>
        <v/>
      </c>
      <c r="P1363" s="52"/>
    </row>
    <row r="1364">
      <c r="F1364" s="116" t="str">
        <f t="shared" si="1"/>
        <v/>
      </c>
      <c r="P1364" s="52"/>
    </row>
    <row r="1365">
      <c r="F1365" s="116" t="str">
        <f t="shared" si="1"/>
        <v/>
      </c>
      <c r="P1365" s="52"/>
    </row>
    <row r="1366">
      <c r="F1366" s="116" t="str">
        <f t="shared" si="1"/>
        <v/>
      </c>
      <c r="P1366" s="52"/>
    </row>
    <row r="1367">
      <c r="F1367" s="116" t="str">
        <f t="shared" si="1"/>
        <v/>
      </c>
      <c r="P1367" s="52"/>
    </row>
    <row r="1368">
      <c r="F1368" s="116" t="str">
        <f t="shared" si="1"/>
        <v/>
      </c>
      <c r="P1368" s="52"/>
    </row>
    <row r="1369">
      <c r="F1369" s="116" t="str">
        <f t="shared" si="1"/>
        <v/>
      </c>
      <c r="P1369" s="52"/>
    </row>
    <row r="1370">
      <c r="F1370" s="116" t="str">
        <f t="shared" si="1"/>
        <v/>
      </c>
      <c r="P1370" s="52"/>
    </row>
    <row r="1371">
      <c r="F1371" s="116" t="str">
        <f t="shared" si="1"/>
        <v/>
      </c>
      <c r="P1371" s="52"/>
    </row>
    <row r="1372">
      <c r="F1372" s="116" t="str">
        <f t="shared" si="1"/>
        <v/>
      </c>
      <c r="P1372" s="52"/>
    </row>
    <row r="1373">
      <c r="F1373" s="116" t="str">
        <f t="shared" si="1"/>
        <v/>
      </c>
      <c r="P1373" s="52"/>
    </row>
    <row r="1374">
      <c r="F1374" s="116" t="str">
        <f t="shared" si="1"/>
        <v/>
      </c>
      <c r="P1374" s="52"/>
    </row>
    <row r="1375">
      <c r="F1375" s="116" t="str">
        <f t="shared" si="1"/>
        <v/>
      </c>
      <c r="P1375" s="52"/>
    </row>
    <row r="1376">
      <c r="F1376" s="116" t="str">
        <f t="shared" si="1"/>
        <v/>
      </c>
      <c r="P1376" s="52"/>
    </row>
    <row r="1377">
      <c r="F1377" s="116" t="str">
        <f t="shared" si="1"/>
        <v/>
      </c>
      <c r="P1377" s="52"/>
    </row>
    <row r="1378">
      <c r="F1378" s="116" t="str">
        <f t="shared" si="1"/>
        <v/>
      </c>
      <c r="P1378" s="52"/>
    </row>
    <row r="1379">
      <c r="F1379" s="116" t="str">
        <f t="shared" si="1"/>
        <v/>
      </c>
      <c r="P1379" s="52"/>
    </row>
    <row r="1380">
      <c r="F1380" s="116" t="str">
        <f t="shared" si="1"/>
        <v/>
      </c>
      <c r="P1380" s="52"/>
    </row>
    <row r="1381">
      <c r="F1381" s="116" t="str">
        <f t="shared" si="1"/>
        <v/>
      </c>
      <c r="P1381" s="52"/>
    </row>
    <row r="1382">
      <c r="F1382" s="116" t="str">
        <f t="shared" si="1"/>
        <v/>
      </c>
      <c r="P1382" s="52"/>
    </row>
    <row r="1383">
      <c r="F1383" s="116" t="str">
        <f t="shared" si="1"/>
        <v/>
      </c>
      <c r="P1383" s="52"/>
    </row>
    <row r="1384">
      <c r="F1384" s="116" t="str">
        <f t="shared" si="1"/>
        <v/>
      </c>
      <c r="P1384" s="52"/>
    </row>
    <row r="1385">
      <c r="F1385" s="116" t="str">
        <f t="shared" si="1"/>
        <v/>
      </c>
      <c r="P1385" s="52"/>
    </row>
    <row r="1386">
      <c r="F1386" s="116" t="str">
        <f t="shared" si="1"/>
        <v/>
      </c>
      <c r="P1386" s="52"/>
    </row>
    <row r="1387">
      <c r="F1387" s="116" t="str">
        <f t="shared" si="1"/>
        <v/>
      </c>
      <c r="P1387" s="52"/>
    </row>
    <row r="1388">
      <c r="F1388" s="116" t="str">
        <f t="shared" si="1"/>
        <v/>
      </c>
      <c r="P1388" s="52"/>
    </row>
    <row r="1389">
      <c r="F1389" s="116" t="str">
        <f t="shared" si="1"/>
        <v/>
      </c>
      <c r="P1389" s="52"/>
    </row>
    <row r="1390">
      <c r="F1390" s="116" t="str">
        <f t="shared" si="1"/>
        <v/>
      </c>
      <c r="P1390" s="52"/>
    </row>
    <row r="1391">
      <c r="F1391" s="116" t="str">
        <f t="shared" si="1"/>
        <v/>
      </c>
      <c r="P1391" s="52"/>
    </row>
    <row r="1392">
      <c r="F1392" s="116" t="str">
        <f t="shared" si="1"/>
        <v/>
      </c>
      <c r="P1392" s="52"/>
    </row>
    <row r="1393">
      <c r="F1393" s="116" t="str">
        <f t="shared" si="1"/>
        <v/>
      </c>
      <c r="P1393" s="52"/>
    </row>
    <row r="1394">
      <c r="F1394" s="116" t="str">
        <f t="shared" si="1"/>
        <v/>
      </c>
      <c r="P1394" s="52"/>
    </row>
    <row r="1395">
      <c r="F1395" s="116" t="str">
        <f t="shared" si="1"/>
        <v/>
      </c>
      <c r="P1395" s="52"/>
    </row>
    <row r="1396">
      <c r="F1396" s="116" t="str">
        <f t="shared" si="1"/>
        <v/>
      </c>
      <c r="P1396" s="52"/>
    </row>
    <row r="1397">
      <c r="F1397" s="116" t="str">
        <f t="shared" si="1"/>
        <v/>
      </c>
      <c r="P1397" s="52"/>
    </row>
    <row r="1398">
      <c r="F1398" s="116" t="str">
        <f t="shared" si="1"/>
        <v/>
      </c>
      <c r="P1398" s="52"/>
    </row>
    <row r="1399">
      <c r="F1399" s="116" t="str">
        <f t="shared" si="1"/>
        <v/>
      </c>
      <c r="P1399" s="52"/>
    </row>
    <row r="1400">
      <c r="F1400" s="116" t="str">
        <f t="shared" si="1"/>
        <v/>
      </c>
      <c r="P1400" s="52"/>
    </row>
    <row r="1401">
      <c r="F1401" s="116" t="str">
        <f t="shared" si="1"/>
        <v/>
      </c>
      <c r="P1401" s="52"/>
    </row>
    <row r="1402">
      <c r="F1402" s="116" t="str">
        <f t="shared" si="1"/>
        <v/>
      </c>
      <c r="P1402" s="52"/>
    </row>
    <row r="1403">
      <c r="F1403" s="116" t="str">
        <f t="shared" si="1"/>
        <v/>
      </c>
      <c r="P1403" s="52"/>
    </row>
    <row r="1404">
      <c r="F1404" s="116" t="str">
        <f t="shared" si="1"/>
        <v/>
      </c>
      <c r="P1404" s="52"/>
    </row>
    <row r="1405">
      <c r="F1405" s="116" t="str">
        <f t="shared" si="1"/>
        <v/>
      </c>
      <c r="P1405" s="52"/>
    </row>
    <row r="1406">
      <c r="F1406" s="116" t="str">
        <f t="shared" si="1"/>
        <v/>
      </c>
      <c r="P1406" s="52"/>
    </row>
    <row r="1407">
      <c r="F1407" s="116" t="str">
        <f t="shared" si="1"/>
        <v/>
      </c>
      <c r="P1407" s="52"/>
    </row>
    <row r="1408">
      <c r="F1408" s="116" t="str">
        <f t="shared" si="1"/>
        <v/>
      </c>
      <c r="P1408" s="52"/>
    </row>
    <row r="1409">
      <c r="F1409" s="116" t="str">
        <f t="shared" si="1"/>
        <v/>
      </c>
      <c r="P1409" s="52"/>
    </row>
    <row r="1410">
      <c r="F1410" s="116" t="str">
        <f t="shared" si="1"/>
        <v/>
      </c>
      <c r="P1410" s="52"/>
    </row>
    <row r="1411">
      <c r="F1411" s="116" t="str">
        <f t="shared" si="1"/>
        <v/>
      </c>
      <c r="P1411" s="52"/>
    </row>
    <row r="1412">
      <c r="F1412" s="116" t="str">
        <f t="shared" si="1"/>
        <v/>
      </c>
      <c r="P1412" s="52"/>
    </row>
    <row r="1413">
      <c r="F1413" s="116" t="str">
        <f t="shared" si="1"/>
        <v/>
      </c>
      <c r="P1413" s="52"/>
    </row>
    <row r="1414">
      <c r="F1414" s="116" t="str">
        <f t="shared" si="1"/>
        <v/>
      </c>
      <c r="P1414" s="52"/>
    </row>
    <row r="1415">
      <c r="F1415" s="116" t="str">
        <f t="shared" si="1"/>
        <v/>
      </c>
      <c r="P1415" s="52"/>
    </row>
    <row r="1416">
      <c r="F1416" s="116" t="str">
        <f t="shared" si="1"/>
        <v/>
      </c>
      <c r="P1416" s="52"/>
    </row>
    <row r="1417">
      <c r="F1417" s="116" t="str">
        <f t="shared" si="1"/>
        <v/>
      </c>
      <c r="P1417" s="52"/>
    </row>
    <row r="1418">
      <c r="F1418" s="116" t="str">
        <f t="shared" si="1"/>
        <v/>
      </c>
      <c r="P1418" s="52"/>
    </row>
    <row r="1419">
      <c r="F1419" s="116" t="str">
        <f t="shared" si="1"/>
        <v/>
      </c>
      <c r="P1419" s="52"/>
    </row>
    <row r="1420">
      <c r="F1420" s="116" t="str">
        <f t="shared" si="1"/>
        <v/>
      </c>
      <c r="P1420" s="52"/>
    </row>
    <row r="1421">
      <c r="F1421" s="116" t="str">
        <f t="shared" si="1"/>
        <v/>
      </c>
      <c r="P1421" s="52"/>
    </row>
    <row r="1422">
      <c r="F1422" s="116" t="str">
        <f t="shared" si="1"/>
        <v/>
      </c>
      <c r="P1422" s="52"/>
    </row>
    <row r="1423">
      <c r="F1423" s="116" t="str">
        <f t="shared" si="1"/>
        <v/>
      </c>
      <c r="P1423" s="52"/>
    </row>
    <row r="1424">
      <c r="F1424" s="116" t="str">
        <f t="shared" si="1"/>
        <v/>
      </c>
      <c r="P1424" s="52"/>
    </row>
    <row r="1425">
      <c r="F1425" s="116" t="str">
        <f t="shared" si="1"/>
        <v/>
      </c>
      <c r="P1425" s="52"/>
    </row>
    <row r="1426">
      <c r="F1426" s="116" t="str">
        <f t="shared" si="1"/>
        <v/>
      </c>
      <c r="P1426" s="52"/>
    </row>
    <row r="1427">
      <c r="F1427" s="116" t="str">
        <f t="shared" si="1"/>
        <v/>
      </c>
      <c r="P1427" s="52"/>
    </row>
    <row r="1428">
      <c r="F1428" s="116" t="str">
        <f t="shared" si="1"/>
        <v/>
      </c>
      <c r="P1428" s="52"/>
    </row>
    <row r="1429">
      <c r="F1429" s="116" t="str">
        <f t="shared" si="1"/>
        <v/>
      </c>
      <c r="P1429" s="52"/>
    </row>
    <row r="1430">
      <c r="F1430" s="116" t="str">
        <f t="shared" si="1"/>
        <v/>
      </c>
      <c r="P1430" s="52"/>
    </row>
    <row r="1431">
      <c r="F1431" s="116" t="str">
        <f t="shared" si="1"/>
        <v/>
      </c>
      <c r="P1431" s="52"/>
    </row>
    <row r="1432">
      <c r="F1432" s="116" t="str">
        <f t="shared" si="1"/>
        <v/>
      </c>
      <c r="P1432" s="52"/>
    </row>
    <row r="1433">
      <c r="F1433" s="116" t="str">
        <f t="shared" si="1"/>
        <v/>
      </c>
      <c r="P1433" s="52"/>
    </row>
    <row r="1434">
      <c r="F1434" s="116" t="str">
        <f t="shared" si="1"/>
        <v/>
      </c>
      <c r="P1434" s="52"/>
    </row>
    <row r="1435">
      <c r="F1435" s="116" t="str">
        <f t="shared" si="1"/>
        <v/>
      </c>
      <c r="P1435" s="52"/>
    </row>
    <row r="1436">
      <c r="F1436" s="116" t="str">
        <f t="shared" si="1"/>
        <v/>
      </c>
      <c r="P1436" s="52"/>
    </row>
    <row r="1437">
      <c r="F1437" s="116" t="str">
        <f t="shared" si="1"/>
        <v/>
      </c>
      <c r="P1437" s="52"/>
    </row>
    <row r="1438">
      <c r="F1438" s="116" t="str">
        <f t="shared" si="1"/>
        <v/>
      </c>
      <c r="P1438" s="52"/>
    </row>
    <row r="1439">
      <c r="F1439" s="116" t="str">
        <f t="shared" si="1"/>
        <v/>
      </c>
      <c r="P1439" s="52"/>
    </row>
    <row r="1440">
      <c r="F1440" s="116" t="str">
        <f t="shared" si="1"/>
        <v/>
      </c>
      <c r="P1440" s="52"/>
    </row>
    <row r="1441">
      <c r="F1441" s="116" t="str">
        <f t="shared" si="1"/>
        <v/>
      </c>
      <c r="P1441" s="52"/>
    </row>
    <row r="1442">
      <c r="F1442" s="116" t="str">
        <f t="shared" si="1"/>
        <v/>
      </c>
      <c r="P1442" s="52"/>
    </row>
    <row r="1443">
      <c r="F1443" s="116" t="str">
        <f t="shared" si="1"/>
        <v/>
      </c>
      <c r="P1443" s="52"/>
    </row>
    <row r="1444">
      <c r="F1444" s="116" t="str">
        <f t="shared" si="1"/>
        <v/>
      </c>
      <c r="P1444" s="52"/>
    </row>
    <row r="1445">
      <c r="F1445" s="116" t="str">
        <f t="shared" si="1"/>
        <v/>
      </c>
      <c r="P1445" s="52"/>
    </row>
    <row r="1446">
      <c r="F1446" s="116" t="str">
        <f t="shared" si="1"/>
        <v/>
      </c>
      <c r="P1446" s="52"/>
    </row>
    <row r="1447">
      <c r="F1447" s="116" t="str">
        <f t="shared" si="1"/>
        <v/>
      </c>
      <c r="P1447" s="52"/>
    </row>
    <row r="1448">
      <c r="F1448" s="116" t="str">
        <f t="shared" si="1"/>
        <v/>
      </c>
      <c r="P1448" s="52"/>
    </row>
    <row r="1449">
      <c r="F1449" s="116" t="str">
        <f t="shared" si="1"/>
        <v/>
      </c>
      <c r="P1449" s="52"/>
    </row>
    <row r="1450">
      <c r="F1450" s="116" t="str">
        <f t="shared" si="1"/>
        <v/>
      </c>
      <c r="P1450" s="52"/>
    </row>
    <row r="1451">
      <c r="F1451" s="116" t="str">
        <f t="shared" si="1"/>
        <v/>
      </c>
      <c r="P1451" s="52"/>
    </row>
    <row r="1452">
      <c r="F1452" s="116" t="str">
        <f t="shared" si="1"/>
        <v/>
      </c>
      <c r="P1452" s="52"/>
    </row>
    <row r="1453">
      <c r="F1453" s="116" t="str">
        <f t="shared" si="1"/>
        <v/>
      </c>
      <c r="P1453" s="52"/>
    </row>
    <row r="1454">
      <c r="F1454" s="116" t="str">
        <f t="shared" si="1"/>
        <v/>
      </c>
      <c r="P1454" s="52"/>
    </row>
    <row r="1455">
      <c r="F1455" s="116" t="str">
        <f t="shared" si="1"/>
        <v/>
      </c>
      <c r="P1455" s="52"/>
    </row>
    <row r="1456">
      <c r="F1456" s="116" t="str">
        <f t="shared" si="1"/>
        <v/>
      </c>
      <c r="P1456" s="52"/>
    </row>
    <row r="1457">
      <c r="F1457" s="116" t="str">
        <f t="shared" si="1"/>
        <v/>
      </c>
      <c r="P1457" s="52"/>
    </row>
    <row r="1458">
      <c r="F1458" s="116" t="str">
        <f t="shared" si="1"/>
        <v/>
      </c>
      <c r="P1458" s="52"/>
    </row>
    <row r="1459">
      <c r="F1459" s="116" t="str">
        <f t="shared" si="1"/>
        <v/>
      </c>
      <c r="P1459" s="52"/>
    </row>
    <row r="1460">
      <c r="F1460" s="116" t="str">
        <f t="shared" si="1"/>
        <v/>
      </c>
      <c r="P1460" s="52"/>
    </row>
    <row r="1461">
      <c r="F1461" s="116" t="str">
        <f t="shared" si="1"/>
        <v/>
      </c>
      <c r="P1461" s="52"/>
    </row>
    <row r="1462">
      <c r="F1462" s="116" t="str">
        <f t="shared" si="1"/>
        <v/>
      </c>
      <c r="P1462" s="52"/>
    </row>
    <row r="1463">
      <c r="F1463" s="116" t="str">
        <f t="shared" si="1"/>
        <v/>
      </c>
      <c r="P1463" s="52"/>
    </row>
    <row r="1464">
      <c r="F1464" s="116" t="str">
        <f t="shared" si="1"/>
        <v/>
      </c>
      <c r="P1464" s="52"/>
    </row>
    <row r="1465">
      <c r="F1465" s="116" t="str">
        <f t="shared" si="1"/>
        <v/>
      </c>
      <c r="P1465" s="52"/>
    </row>
    <row r="1466">
      <c r="F1466" s="116" t="str">
        <f t="shared" si="1"/>
        <v/>
      </c>
      <c r="P1466" s="52"/>
    </row>
    <row r="1467">
      <c r="F1467" s="116" t="str">
        <f t="shared" si="1"/>
        <v/>
      </c>
      <c r="P1467" s="52"/>
    </row>
    <row r="1468">
      <c r="F1468" s="116" t="str">
        <f t="shared" si="1"/>
        <v/>
      </c>
      <c r="P1468" s="52"/>
    </row>
    <row r="1469">
      <c r="F1469" s="116" t="str">
        <f t="shared" si="1"/>
        <v/>
      </c>
      <c r="P1469" s="52"/>
    </row>
    <row r="1470">
      <c r="F1470" s="116" t="str">
        <f t="shared" si="1"/>
        <v/>
      </c>
      <c r="P1470" s="52"/>
    </row>
    <row r="1471">
      <c r="F1471" s="116" t="str">
        <f t="shared" si="1"/>
        <v/>
      </c>
      <c r="P1471" s="52"/>
    </row>
    <row r="1472">
      <c r="F1472" s="116" t="str">
        <f t="shared" si="1"/>
        <v/>
      </c>
      <c r="P1472" s="52"/>
    </row>
    <row r="1473">
      <c r="F1473" s="116" t="str">
        <f t="shared" si="1"/>
        <v/>
      </c>
      <c r="P1473" s="52"/>
    </row>
    <row r="1474">
      <c r="F1474" s="116" t="str">
        <f t="shared" si="1"/>
        <v/>
      </c>
      <c r="P1474" s="52"/>
    </row>
    <row r="1475">
      <c r="F1475" s="116" t="str">
        <f t="shared" si="1"/>
        <v/>
      </c>
      <c r="P1475" s="52"/>
    </row>
    <row r="1476">
      <c r="F1476" s="116" t="str">
        <f t="shared" si="1"/>
        <v/>
      </c>
      <c r="P1476" s="52"/>
    </row>
    <row r="1477">
      <c r="F1477" s="116" t="str">
        <f t="shared" si="1"/>
        <v/>
      </c>
      <c r="P1477" s="52"/>
    </row>
    <row r="1478">
      <c r="F1478" s="116" t="str">
        <f t="shared" si="1"/>
        <v/>
      </c>
      <c r="P1478" s="52"/>
    </row>
    <row r="1479">
      <c r="F1479" s="116" t="str">
        <f t="shared" si="1"/>
        <v/>
      </c>
      <c r="P1479" s="52"/>
    </row>
    <row r="1480">
      <c r="F1480" s="116" t="str">
        <f t="shared" si="1"/>
        <v/>
      </c>
      <c r="P1480" s="52"/>
    </row>
    <row r="1481">
      <c r="F1481" s="116" t="str">
        <f t="shared" si="1"/>
        <v/>
      </c>
      <c r="P1481" s="52"/>
    </row>
    <row r="1482">
      <c r="F1482" s="116" t="str">
        <f t="shared" si="1"/>
        <v/>
      </c>
      <c r="P1482" s="52"/>
    </row>
    <row r="1483">
      <c r="F1483" s="116" t="str">
        <f t="shared" si="1"/>
        <v/>
      </c>
      <c r="P1483" s="52"/>
    </row>
    <row r="1484">
      <c r="F1484" s="116" t="str">
        <f t="shared" si="1"/>
        <v/>
      </c>
      <c r="P1484" s="52"/>
    </row>
    <row r="1485">
      <c r="F1485" s="116" t="str">
        <f t="shared" si="1"/>
        <v/>
      </c>
      <c r="P1485" s="52"/>
    </row>
    <row r="1486">
      <c r="F1486" s="116" t="str">
        <f t="shared" si="1"/>
        <v/>
      </c>
      <c r="P1486" s="52"/>
    </row>
    <row r="1487">
      <c r="F1487" s="116" t="str">
        <f t="shared" si="1"/>
        <v/>
      </c>
      <c r="P1487" s="52"/>
    </row>
    <row r="1488">
      <c r="F1488" s="116" t="str">
        <f t="shared" si="1"/>
        <v/>
      </c>
      <c r="P1488" s="52"/>
    </row>
    <row r="1489">
      <c r="F1489" s="116" t="str">
        <f t="shared" si="1"/>
        <v/>
      </c>
      <c r="P1489" s="52"/>
    </row>
    <row r="1490">
      <c r="F1490" s="116" t="str">
        <f t="shared" si="1"/>
        <v/>
      </c>
      <c r="P1490" s="52"/>
    </row>
    <row r="1491">
      <c r="F1491" s="116" t="str">
        <f t="shared" si="1"/>
        <v/>
      </c>
      <c r="P1491" s="52"/>
    </row>
    <row r="1492">
      <c r="F1492" s="116" t="str">
        <f t="shared" si="1"/>
        <v/>
      </c>
      <c r="P1492" s="52"/>
    </row>
    <row r="1493">
      <c r="F1493" s="116" t="str">
        <f t="shared" si="1"/>
        <v/>
      </c>
      <c r="P1493" s="52"/>
    </row>
    <row r="1494">
      <c r="F1494" s="116" t="str">
        <f t="shared" si="1"/>
        <v/>
      </c>
      <c r="P1494" s="52"/>
    </row>
    <row r="1495">
      <c r="F1495" s="116" t="str">
        <f t="shared" si="1"/>
        <v/>
      </c>
      <c r="P1495" s="52"/>
    </row>
    <row r="1496">
      <c r="F1496" s="116" t="str">
        <f t="shared" si="1"/>
        <v/>
      </c>
      <c r="P1496" s="52"/>
    </row>
    <row r="1497">
      <c r="F1497" s="116" t="str">
        <f t="shared" si="1"/>
        <v/>
      </c>
      <c r="P1497" s="52"/>
    </row>
    <row r="1498">
      <c r="F1498" s="116" t="str">
        <f t="shared" si="1"/>
        <v/>
      </c>
      <c r="P1498" s="52"/>
    </row>
    <row r="1499">
      <c r="F1499" s="116" t="str">
        <f t="shared" si="1"/>
        <v/>
      </c>
      <c r="P1499" s="52"/>
    </row>
    <row r="1500">
      <c r="F1500" s="116" t="str">
        <f t="shared" si="1"/>
        <v/>
      </c>
      <c r="P1500" s="52"/>
    </row>
    <row r="1501">
      <c r="F1501" s="116" t="str">
        <f t="shared" si="1"/>
        <v/>
      </c>
      <c r="P1501" s="52"/>
    </row>
    <row r="1502">
      <c r="F1502" s="116" t="str">
        <f t="shared" si="1"/>
        <v/>
      </c>
      <c r="P1502" s="52"/>
    </row>
    <row r="1503">
      <c r="F1503" s="116" t="str">
        <f t="shared" si="1"/>
        <v/>
      </c>
      <c r="P1503" s="52"/>
    </row>
    <row r="1504">
      <c r="F1504" s="116" t="str">
        <f t="shared" si="1"/>
        <v/>
      </c>
      <c r="P1504" s="52"/>
    </row>
    <row r="1505">
      <c r="F1505" s="116" t="str">
        <f t="shared" si="1"/>
        <v/>
      </c>
      <c r="P1505" s="52"/>
    </row>
    <row r="1506">
      <c r="F1506" s="116" t="str">
        <f t="shared" si="1"/>
        <v/>
      </c>
      <c r="P1506" s="52"/>
    </row>
    <row r="1507">
      <c r="F1507" s="116" t="str">
        <f t="shared" si="1"/>
        <v/>
      </c>
      <c r="P1507" s="52"/>
    </row>
    <row r="1508">
      <c r="F1508" s="116" t="str">
        <f t="shared" si="1"/>
        <v/>
      </c>
      <c r="P1508" s="52"/>
    </row>
    <row r="1509">
      <c r="F1509" s="116" t="str">
        <f t="shared" si="1"/>
        <v/>
      </c>
      <c r="P1509" s="52"/>
    </row>
    <row r="1510">
      <c r="F1510" s="116" t="str">
        <f t="shared" si="1"/>
        <v/>
      </c>
      <c r="P1510" s="52"/>
    </row>
    <row r="1511">
      <c r="F1511" s="116" t="str">
        <f t="shared" si="1"/>
        <v/>
      </c>
      <c r="P1511" s="52"/>
    </row>
    <row r="1512">
      <c r="F1512" s="116" t="str">
        <f t="shared" si="1"/>
        <v/>
      </c>
      <c r="P1512" s="52"/>
    </row>
    <row r="1513">
      <c r="F1513" s="116" t="str">
        <f t="shared" si="1"/>
        <v/>
      </c>
      <c r="P1513" s="52"/>
    </row>
    <row r="1514">
      <c r="F1514" s="116" t="str">
        <f t="shared" si="1"/>
        <v/>
      </c>
      <c r="P1514" s="52"/>
    </row>
    <row r="1515">
      <c r="F1515" s="116" t="str">
        <f t="shared" si="1"/>
        <v/>
      </c>
      <c r="P1515" s="52"/>
    </row>
    <row r="1516">
      <c r="F1516" s="116" t="str">
        <f t="shared" si="1"/>
        <v/>
      </c>
      <c r="P1516" s="52"/>
    </row>
    <row r="1517">
      <c r="F1517" s="116" t="str">
        <f t="shared" si="1"/>
        <v/>
      </c>
      <c r="P1517" s="52"/>
    </row>
    <row r="1518">
      <c r="F1518" s="116" t="str">
        <f t="shared" si="1"/>
        <v/>
      </c>
      <c r="P1518" s="52"/>
    </row>
    <row r="1519">
      <c r="F1519" s="116" t="str">
        <f t="shared" si="1"/>
        <v/>
      </c>
      <c r="P1519" s="52"/>
    </row>
    <row r="1520">
      <c r="F1520" s="116" t="str">
        <f t="shared" si="1"/>
        <v/>
      </c>
      <c r="P1520" s="52"/>
    </row>
    <row r="1521">
      <c r="F1521" s="116" t="str">
        <f t="shared" si="1"/>
        <v/>
      </c>
      <c r="P1521" s="52"/>
    </row>
    <row r="1522">
      <c r="F1522" s="116" t="str">
        <f t="shared" si="1"/>
        <v/>
      </c>
      <c r="P1522" s="52"/>
    </row>
    <row r="1523">
      <c r="F1523" s="116" t="str">
        <f t="shared" si="1"/>
        <v/>
      </c>
      <c r="P1523" s="52"/>
    </row>
    <row r="1524">
      <c r="F1524" s="116" t="str">
        <f t="shared" si="1"/>
        <v/>
      </c>
      <c r="P1524" s="52"/>
    </row>
    <row r="1525">
      <c r="F1525" s="116" t="str">
        <f t="shared" si="1"/>
        <v/>
      </c>
      <c r="P1525" s="52"/>
    </row>
    <row r="1526">
      <c r="F1526" s="116" t="str">
        <f t="shared" si="1"/>
        <v/>
      </c>
      <c r="P1526" s="52"/>
    </row>
    <row r="1527">
      <c r="F1527" s="116" t="str">
        <f t="shared" si="1"/>
        <v/>
      </c>
      <c r="P1527" s="52"/>
    </row>
    <row r="1528">
      <c r="F1528" s="116" t="str">
        <f t="shared" si="1"/>
        <v/>
      </c>
      <c r="P1528" s="52"/>
    </row>
    <row r="1529">
      <c r="F1529" s="116" t="str">
        <f t="shared" si="1"/>
        <v/>
      </c>
      <c r="P1529" s="52"/>
    </row>
    <row r="1530">
      <c r="F1530" s="116" t="str">
        <f t="shared" si="1"/>
        <v/>
      </c>
      <c r="P1530" s="52"/>
    </row>
    <row r="1531">
      <c r="F1531" s="116" t="str">
        <f t="shared" si="1"/>
        <v/>
      </c>
      <c r="P1531" s="52"/>
    </row>
    <row r="1532">
      <c r="F1532" s="116" t="str">
        <f t="shared" si="1"/>
        <v/>
      </c>
      <c r="P1532" s="52"/>
    </row>
    <row r="1533">
      <c r="F1533" s="116" t="str">
        <f t="shared" si="1"/>
        <v/>
      </c>
      <c r="P1533" s="52"/>
    </row>
    <row r="1534">
      <c r="F1534" s="116" t="str">
        <f t="shared" si="1"/>
        <v/>
      </c>
      <c r="P1534" s="52"/>
    </row>
    <row r="1535">
      <c r="F1535" s="116" t="str">
        <f t="shared" si="1"/>
        <v/>
      </c>
      <c r="P1535" s="52"/>
    </row>
    <row r="1536">
      <c r="F1536" s="116" t="str">
        <f t="shared" si="1"/>
        <v/>
      </c>
      <c r="P1536" s="52"/>
    </row>
    <row r="1537">
      <c r="F1537" s="116" t="str">
        <f t="shared" si="1"/>
        <v/>
      </c>
      <c r="P1537" s="52"/>
    </row>
    <row r="1538">
      <c r="F1538" s="116" t="str">
        <f t="shared" si="1"/>
        <v/>
      </c>
      <c r="P1538" s="52"/>
    </row>
    <row r="1539">
      <c r="F1539" s="116" t="str">
        <f t="shared" si="1"/>
        <v/>
      </c>
      <c r="P1539" s="52"/>
    </row>
    <row r="1540">
      <c r="F1540" s="116" t="str">
        <f t="shared" si="1"/>
        <v/>
      </c>
      <c r="P1540" s="52"/>
    </row>
    <row r="1541">
      <c r="F1541" s="116" t="str">
        <f t="shared" si="1"/>
        <v/>
      </c>
      <c r="P1541" s="52"/>
    </row>
    <row r="1542">
      <c r="F1542" s="116" t="str">
        <f t="shared" si="1"/>
        <v/>
      </c>
      <c r="P1542" s="52"/>
    </row>
    <row r="1543">
      <c r="F1543" s="116" t="str">
        <f t="shared" si="1"/>
        <v/>
      </c>
      <c r="P1543" s="52"/>
    </row>
    <row r="1544">
      <c r="F1544" s="116" t="str">
        <f t="shared" si="1"/>
        <v/>
      </c>
      <c r="P1544" s="52"/>
    </row>
    <row r="1545">
      <c r="F1545" s="116" t="str">
        <f t="shared" si="1"/>
        <v/>
      </c>
      <c r="P1545" s="52"/>
    </row>
    <row r="1546">
      <c r="F1546" s="116" t="str">
        <f t="shared" si="1"/>
        <v/>
      </c>
      <c r="P1546" s="52"/>
    </row>
    <row r="1547">
      <c r="F1547" s="116" t="str">
        <f t="shared" si="1"/>
        <v/>
      </c>
      <c r="P1547" s="52"/>
    </row>
    <row r="1548">
      <c r="F1548" s="116" t="str">
        <f t="shared" si="1"/>
        <v/>
      </c>
      <c r="P1548" s="52"/>
    </row>
    <row r="1549">
      <c r="F1549" s="116" t="str">
        <f t="shared" si="1"/>
        <v/>
      </c>
      <c r="P1549" s="52"/>
    </row>
    <row r="1550">
      <c r="F1550" s="116" t="str">
        <f t="shared" si="1"/>
        <v/>
      </c>
      <c r="P1550" s="52"/>
    </row>
    <row r="1551">
      <c r="F1551" s="116" t="str">
        <f t="shared" si="1"/>
        <v/>
      </c>
      <c r="P1551" s="52"/>
    </row>
    <row r="1552">
      <c r="F1552" s="116" t="str">
        <f t="shared" si="1"/>
        <v/>
      </c>
      <c r="P1552" s="52"/>
    </row>
    <row r="1553">
      <c r="F1553" s="116" t="str">
        <f t="shared" si="1"/>
        <v/>
      </c>
      <c r="P1553" s="52"/>
    </row>
    <row r="1554">
      <c r="F1554" s="116" t="str">
        <f t="shared" si="1"/>
        <v/>
      </c>
      <c r="P1554" s="52"/>
    </row>
    <row r="1555">
      <c r="F1555" s="116" t="str">
        <f t="shared" si="1"/>
        <v/>
      </c>
      <c r="P1555" s="52"/>
    </row>
    <row r="1556">
      <c r="F1556" s="116" t="str">
        <f t="shared" si="1"/>
        <v/>
      </c>
      <c r="P1556" s="52"/>
    </row>
    <row r="1557">
      <c r="F1557" s="116" t="str">
        <f t="shared" si="1"/>
        <v/>
      </c>
      <c r="P1557" s="52"/>
    </row>
    <row r="1558">
      <c r="F1558" s="116" t="str">
        <f t="shared" si="1"/>
        <v/>
      </c>
      <c r="P1558" s="52"/>
    </row>
    <row r="1559">
      <c r="F1559" s="116" t="str">
        <f t="shared" si="1"/>
        <v/>
      </c>
      <c r="P1559" s="52"/>
    </row>
    <row r="1560">
      <c r="F1560" s="116" t="str">
        <f t="shared" si="1"/>
        <v/>
      </c>
      <c r="P1560" s="52"/>
    </row>
    <row r="1561">
      <c r="F1561" s="116" t="str">
        <f t="shared" si="1"/>
        <v/>
      </c>
      <c r="P1561" s="52"/>
    </row>
    <row r="1562">
      <c r="F1562" s="116" t="str">
        <f t="shared" si="1"/>
        <v/>
      </c>
      <c r="P1562" s="52"/>
    </row>
    <row r="1563">
      <c r="F1563" s="116" t="str">
        <f t="shared" si="1"/>
        <v/>
      </c>
      <c r="P1563" s="52"/>
    </row>
    <row r="1564">
      <c r="F1564" s="116" t="str">
        <f t="shared" si="1"/>
        <v/>
      </c>
      <c r="P1564" s="52"/>
    </row>
    <row r="1565">
      <c r="F1565" s="116" t="str">
        <f t="shared" si="1"/>
        <v/>
      </c>
      <c r="P1565" s="52"/>
    </row>
    <row r="1566">
      <c r="F1566" s="116" t="str">
        <f t="shared" si="1"/>
        <v/>
      </c>
      <c r="P1566" s="52"/>
    </row>
    <row r="1567">
      <c r="F1567" s="116" t="str">
        <f t="shared" si="1"/>
        <v/>
      </c>
      <c r="P1567" s="52"/>
    </row>
    <row r="1568">
      <c r="F1568" s="116" t="str">
        <f t="shared" si="1"/>
        <v/>
      </c>
      <c r="P1568" s="52"/>
    </row>
    <row r="1569">
      <c r="F1569" s="116" t="str">
        <f t="shared" si="1"/>
        <v/>
      </c>
      <c r="P1569" s="52"/>
    </row>
    <row r="1570">
      <c r="F1570" s="116" t="str">
        <f t="shared" si="1"/>
        <v/>
      </c>
      <c r="P1570" s="52"/>
    </row>
    <row r="1571">
      <c r="F1571" s="116" t="str">
        <f t="shared" si="1"/>
        <v/>
      </c>
      <c r="P1571" s="52"/>
    </row>
    <row r="1572">
      <c r="F1572" s="116" t="str">
        <f t="shared" si="1"/>
        <v/>
      </c>
      <c r="P1572" s="52"/>
    </row>
    <row r="1573">
      <c r="F1573" s="116" t="str">
        <f t="shared" si="1"/>
        <v/>
      </c>
      <c r="P1573" s="52"/>
    </row>
    <row r="1574">
      <c r="F1574" s="116" t="str">
        <f t="shared" si="1"/>
        <v/>
      </c>
      <c r="P1574" s="52"/>
    </row>
    <row r="1575">
      <c r="F1575" s="116" t="str">
        <f t="shared" si="1"/>
        <v/>
      </c>
      <c r="P1575" s="52"/>
    </row>
    <row r="1576">
      <c r="F1576" s="116" t="str">
        <f t="shared" si="1"/>
        <v/>
      </c>
      <c r="P1576" s="52"/>
    </row>
    <row r="1577">
      <c r="F1577" s="116" t="str">
        <f t="shared" si="1"/>
        <v/>
      </c>
      <c r="P1577" s="52"/>
    </row>
    <row r="1578">
      <c r="F1578" s="116" t="str">
        <f t="shared" si="1"/>
        <v/>
      </c>
      <c r="P1578" s="52"/>
    </row>
    <row r="1579">
      <c r="F1579" s="116" t="str">
        <f t="shared" si="1"/>
        <v/>
      </c>
      <c r="P1579" s="52"/>
    </row>
    <row r="1580">
      <c r="F1580" s="116" t="str">
        <f t="shared" si="1"/>
        <v/>
      </c>
      <c r="P1580" s="52"/>
    </row>
    <row r="1581">
      <c r="F1581" s="116" t="str">
        <f t="shared" si="1"/>
        <v/>
      </c>
      <c r="P1581" s="52"/>
    </row>
    <row r="1582">
      <c r="F1582" s="116" t="str">
        <f t="shared" si="1"/>
        <v/>
      </c>
      <c r="P1582" s="52"/>
    </row>
    <row r="1583">
      <c r="F1583" s="116" t="str">
        <f t="shared" si="1"/>
        <v/>
      </c>
      <c r="P1583" s="52"/>
    </row>
    <row r="1584">
      <c r="F1584" s="116" t="str">
        <f t="shared" si="1"/>
        <v/>
      </c>
      <c r="P1584" s="52"/>
    </row>
    <row r="1585">
      <c r="F1585" s="116" t="str">
        <f t="shared" si="1"/>
        <v/>
      </c>
      <c r="P1585" s="52"/>
    </row>
    <row r="1586">
      <c r="F1586" s="116" t="str">
        <f t="shared" si="1"/>
        <v/>
      </c>
      <c r="P1586" s="52"/>
    </row>
    <row r="1587">
      <c r="F1587" s="116" t="str">
        <f t="shared" si="1"/>
        <v/>
      </c>
      <c r="P1587" s="52"/>
    </row>
    <row r="1588">
      <c r="F1588" s="116" t="str">
        <f t="shared" si="1"/>
        <v/>
      </c>
      <c r="P1588" s="52"/>
    </row>
    <row r="1589">
      <c r="F1589" s="116" t="str">
        <f t="shared" si="1"/>
        <v/>
      </c>
      <c r="P1589" s="52"/>
    </row>
    <row r="1590">
      <c r="F1590" s="116" t="str">
        <f t="shared" si="1"/>
        <v/>
      </c>
      <c r="P1590" s="52"/>
    </row>
    <row r="1591">
      <c r="F1591" s="116" t="str">
        <f t="shared" si="1"/>
        <v/>
      </c>
      <c r="P1591" s="52"/>
    </row>
    <row r="1592">
      <c r="F1592" s="116" t="str">
        <f t="shared" si="1"/>
        <v/>
      </c>
      <c r="P1592" s="52"/>
    </row>
    <row r="1593">
      <c r="F1593" s="116" t="str">
        <f t="shared" si="1"/>
        <v/>
      </c>
      <c r="P1593" s="52"/>
    </row>
    <row r="1594">
      <c r="F1594" s="116" t="str">
        <f t="shared" si="1"/>
        <v/>
      </c>
      <c r="P1594" s="52"/>
    </row>
    <row r="1595">
      <c r="F1595" s="116" t="str">
        <f t="shared" si="1"/>
        <v/>
      </c>
      <c r="P1595" s="52"/>
    </row>
    <row r="1596">
      <c r="F1596" s="116" t="str">
        <f t="shared" si="1"/>
        <v/>
      </c>
      <c r="P1596" s="52"/>
    </row>
    <row r="1597">
      <c r="F1597" s="116" t="str">
        <f t="shared" si="1"/>
        <v/>
      </c>
      <c r="P1597" s="52"/>
    </row>
    <row r="1598">
      <c r="F1598" s="116" t="str">
        <f t="shared" si="1"/>
        <v/>
      </c>
      <c r="P1598" s="52"/>
    </row>
    <row r="1599">
      <c r="F1599" s="116" t="str">
        <f t="shared" si="1"/>
        <v/>
      </c>
      <c r="P1599" s="52"/>
    </row>
    <row r="1600">
      <c r="F1600" s="116" t="str">
        <f t="shared" si="1"/>
        <v/>
      </c>
      <c r="P1600" s="52"/>
    </row>
    <row r="1601">
      <c r="F1601" s="116" t="str">
        <f t="shared" si="1"/>
        <v/>
      </c>
      <c r="P1601" s="52"/>
    </row>
    <row r="1602">
      <c r="F1602" s="116" t="str">
        <f t="shared" si="1"/>
        <v/>
      </c>
      <c r="P1602" s="52"/>
    </row>
    <row r="1603">
      <c r="F1603" s="116" t="str">
        <f t="shared" si="1"/>
        <v/>
      </c>
      <c r="P1603" s="52"/>
    </row>
    <row r="1604">
      <c r="F1604" s="116" t="str">
        <f t="shared" si="1"/>
        <v/>
      </c>
      <c r="P1604" s="52"/>
    </row>
    <row r="1605">
      <c r="F1605" s="116" t="str">
        <f t="shared" si="1"/>
        <v/>
      </c>
      <c r="P1605" s="52"/>
    </row>
    <row r="1606">
      <c r="F1606" s="116" t="str">
        <f t="shared" si="1"/>
        <v/>
      </c>
      <c r="P1606" s="52"/>
    </row>
    <row r="1607">
      <c r="F1607" s="116" t="str">
        <f t="shared" si="1"/>
        <v/>
      </c>
      <c r="P1607" s="52"/>
    </row>
    <row r="1608">
      <c r="F1608" s="116" t="str">
        <f t="shared" si="1"/>
        <v/>
      </c>
      <c r="P1608" s="52"/>
    </row>
    <row r="1609">
      <c r="F1609" s="116" t="str">
        <f t="shared" si="1"/>
        <v/>
      </c>
      <c r="P1609" s="52"/>
    </row>
    <row r="1610">
      <c r="F1610" s="116" t="str">
        <f t="shared" si="1"/>
        <v/>
      </c>
      <c r="P1610" s="52"/>
    </row>
    <row r="1611">
      <c r="F1611" s="116" t="str">
        <f t="shared" si="1"/>
        <v/>
      </c>
      <c r="P1611" s="52"/>
    </row>
    <row r="1612">
      <c r="F1612" s="116" t="str">
        <f t="shared" si="1"/>
        <v/>
      </c>
      <c r="P1612" s="52"/>
    </row>
    <row r="1613">
      <c r="F1613" s="116" t="str">
        <f t="shared" si="1"/>
        <v/>
      </c>
      <c r="P1613" s="52"/>
    </row>
    <row r="1614">
      <c r="F1614" s="116" t="str">
        <f t="shared" si="1"/>
        <v/>
      </c>
      <c r="P1614" s="52"/>
    </row>
    <row r="1615">
      <c r="F1615" s="116" t="str">
        <f t="shared" si="1"/>
        <v/>
      </c>
      <c r="P1615" s="52"/>
    </row>
    <row r="1616">
      <c r="F1616" s="116" t="str">
        <f t="shared" si="1"/>
        <v/>
      </c>
      <c r="P1616" s="52"/>
    </row>
    <row r="1617">
      <c r="F1617" s="116" t="str">
        <f t="shared" si="1"/>
        <v/>
      </c>
      <c r="P1617" s="52"/>
    </row>
    <row r="1618">
      <c r="F1618" s="116" t="str">
        <f t="shared" si="1"/>
        <v/>
      </c>
      <c r="P1618" s="52"/>
    </row>
    <row r="1619">
      <c r="F1619" s="116" t="str">
        <f t="shared" si="1"/>
        <v/>
      </c>
      <c r="P1619" s="52"/>
    </row>
    <row r="1620">
      <c r="F1620" s="116" t="str">
        <f t="shared" si="1"/>
        <v/>
      </c>
      <c r="P1620" s="52"/>
    </row>
    <row r="1621">
      <c r="F1621" s="116" t="str">
        <f t="shared" si="1"/>
        <v/>
      </c>
      <c r="P1621" s="52"/>
    </row>
    <row r="1622">
      <c r="F1622" s="116" t="str">
        <f t="shared" si="1"/>
        <v/>
      </c>
      <c r="P1622" s="52"/>
    </row>
    <row r="1623">
      <c r="F1623" s="116" t="str">
        <f t="shared" si="1"/>
        <v/>
      </c>
      <c r="P1623" s="52"/>
    </row>
    <row r="1624">
      <c r="F1624" s="116" t="str">
        <f t="shared" si="1"/>
        <v/>
      </c>
      <c r="P1624" s="52"/>
    </row>
    <row r="1625">
      <c r="F1625" s="116" t="str">
        <f t="shared" si="1"/>
        <v/>
      </c>
      <c r="P1625" s="52"/>
    </row>
    <row r="1626">
      <c r="F1626" s="116" t="str">
        <f t="shared" si="1"/>
        <v/>
      </c>
      <c r="P1626" s="52"/>
    </row>
    <row r="1627">
      <c r="F1627" s="116" t="str">
        <f t="shared" si="1"/>
        <v/>
      </c>
      <c r="P1627" s="52"/>
    </row>
    <row r="1628">
      <c r="F1628" s="116" t="str">
        <f t="shared" si="1"/>
        <v/>
      </c>
      <c r="P1628" s="52"/>
    </row>
    <row r="1629">
      <c r="F1629" s="116" t="str">
        <f t="shared" si="1"/>
        <v/>
      </c>
      <c r="P1629" s="52"/>
    </row>
    <row r="1630">
      <c r="F1630" s="116" t="str">
        <f t="shared" si="1"/>
        <v/>
      </c>
      <c r="P1630" s="52"/>
    </row>
    <row r="1631">
      <c r="F1631" s="116" t="str">
        <f t="shared" si="1"/>
        <v/>
      </c>
      <c r="P1631" s="52"/>
    </row>
    <row r="1632">
      <c r="F1632" s="116" t="str">
        <f t="shared" si="1"/>
        <v/>
      </c>
      <c r="P1632" s="52"/>
    </row>
    <row r="1633">
      <c r="F1633" s="116" t="str">
        <f t="shared" si="1"/>
        <v/>
      </c>
      <c r="P1633" s="52"/>
    </row>
    <row r="1634">
      <c r="F1634" s="116" t="str">
        <f t="shared" si="1"/>
        <v/>
      </c>
      <c r="P1634" s="52"/>
    </row>
    <row r="1635">
      <c r="F1635" s="116" t="str">
        <f t="shared" si="1"/>
        <v/>
      </c>
      <c r="P1635" s="52"/>
    </row>
    <row r="1636">
      <c r="F1636" s="116" t="str">
        <f t="shared" si="1"/>
        <v/>
      </c>
      <c r="P1636" s="52"/>
    </row>
    <row r="1637">
      <c r="F1637" s="116" t="str">
        <f t="shared" si="1"/>
        <v/>
      </c>
      <c r="P1637" s="52"/>
    </row>
    <row r="1638">
      <c r="F1638" s="116" t="str">
        <f t="shared" si="1"/>
        <v/>
      </c>
      <c r="P1638" s="52"/>
    </row>
    <row r="1639">
      <c r="F1639" s="116" t="str">
        <f t="shared" si="1"/>
        <v/>
      </c>
      <c r="P1639" s="52"/>
    </row>
    <row r="1640">
      <c r="F1640" s="116" t="str">
        <f t="shared" si="1"/>
        <v/>
      </c>
      <c r="P1640" s="52"/>
    </row>
    <row r="1641">
      <c r="F1641" s="116" t="str">
        <f t="shared" si="1"/>
        <v/>
      </c>
      <c r="P1641" s="52"/>
    </row>
    <row r="1642">
      <c r="F1642" s="116" t="str">
        <f t="shared" si="1"/>
        <v/>
      </c>
      <c r="P1642" s="52"/>
    </row>
    <row r="1643">
      <c r="F1643" s="116" t="str">
        <f t="shared" si="1"/>
        <v/>
      </c>
      <c r="P1643" s="52"/>
    </row>
    <row r="1644">
      <c r="F1644" s="116" t="str">
        <f t="shared" si="1"/>
        <v/>
      </c>
      <c r="P1644" s="52"/>
    </row>
    <row r="1645">
      <c r="F1645" s="116" t="str">
        <f t="shared" si="1"/>
        <v/>
      </c>
      <c r="P1645" s="52"/>
    </row>
    <row r="1646">
      <c r="F1646" s="116" t="str">
        <f t="shared" si="1"/>
        <v/>
      </c>
      <c r="P1646" s="52"/>
    </row>
    <row r="1647">
      <c r="F1647" s="116" t="str">
        <f t="shared" si="1"/>
        <v/>
      </c>
      <c r="P1647" s="52"/>
    </row>
    <row r="1648">
      <c r="F1648" s="116" t="str">
        <f t="shared" si="1"/>
        <v/>
      </c>
      <c r="P1648" s="52"/>
    </row>
    <row r="1649">
      <c r="F1649" s="116" t="str">
        <f t="shared" si="1"/>
        <v/>
      </c>
      <c r="P1649" s="52"/>
    </row>
    <row r="1650">
      <c r="F1650" s="116" t="str">
        <f t="shared" si="1"/>
        <v/>
      </c>
      <c r="P1650" s="52"/>
    </row>
    <row r="1651">
      <c r="F1651" s="116" t="str">
        <f t="shared" si="1"/>
        <v/>
      </c>
      <c r="P1651" s="52"/>
    </row>
    <row r="1652">
      <c r="F1652" s="116" t="str">
        <f t="shared" si="1"/>
        <v/>
      </c>
      <c r="P1652" s="52"/>
    </row>
    <row r="1653">
      <c r="F1653" s="116" t="str">
        <f t="shared" si="1"/>
        <v/>
      </c>
      <c r="P1653" s="52"/>
    </row>
    <row r="1654">
      <c r="F1654" s="116" t="str">
        <f t="shared" si="1"/>
        <v/>
      </c>
      <c r="P1654" s="52"/>
    </row>
    <row r="1655">
      <c r="F1655" s="116" t="str">
        <f t="shared" si="1"/>
        <v/>
      </c>
      <c r="P1655" s="52"/>
    </row>
    <row r="1656">
      <c r="F1656" s="116" t="str">
        <f t="shared" si="1"/>
        <v/>
      </c>
      <c r="P1656" s="52"/>
    </row>
    <row r="1657">
      <c r="F1657" s="116" t="str">
        <f t="shared" si="1"/>
        <v/>
      </c>
      <c r="P1657" s="52"/>
    </row>
    <row r="1658">
      <c r="F1658" s="116" t="str">
        <f t="shared" si="1"/>
        <v/>
      </c>
      <c r="P1658" s="52"/>
    </row>
    <row r="1659">
      <c r="F1659" s="116" t="str">
        <f t="shared" si="1"/>
        <v/>
      </c>
      <c r="P1659" s="52"/>
    </row>
    <row r="1660">
      <c r="F1660" s="116" t="str">
        <f t="shared" si="1"/>
        <v/>
      </c>
      <c r="P1660" s="52"/>
    </row>
    <row r="1661">
      <c r="F1661" s="116" t="str">
        <f t="shared" si="1"/>
        <v/>
      </c>
      <c r="P1661" s="52"/>
    </row>
    <row r="1662">
      <c r="F1662" s="116" t="str">
        <f t="shared" si="1"/>
        <v/>
      </c>
      <c r="P1662" s="52"/>
    </row>
    <row r="1663">
      <c r="F1663" s="116" t="str">
        <f t="shared" si="1"/>
        <v/>
      </c>
      <c r="P1663" s="52"/>
    </row>
    <row r="1664">
      <c r="F1664" s="116" t="str">
        <f t="shared" si="1"/>
        <v/>
      </c>
      <c r="P1664" s="52"/>
    </row>
    <row r="1665">
      <c r="F1665" s="116" t="str">
        <f t="shared" si="1"/>
        <v/>
      </c>
      <c r="P1665" s="52"/>
    </row>
    <row r="1666">
      <c r="F1666" s="116" t="str">
        <f t="shared" si="1"/>
        <v/>
      </c>
      <c r="P1666" s="52"/>
    </row>
    <row r="1667">
      <c r="F1667" s="116" t="str">
        <f t="shared" si="1"/>
        <v/>
      </c>
      <c r="P1667" s="52"/>
    </row>
    <row r="1668">
      <c r="F1668" s="116" t="str">
        <f t="shared" si="1"/>
        <v/>
      </c>
      <c r="P1668" s="52"/>
    </row>
    <row r="1669">
      <c r="F1669" s="116" t="str">
        <f t="shared" si="1"/>
        <v/>
      </c>
      <c r="P1669" s="52"/>
    </row>
    <row r="1670">
      <c r="F1670" s="116" t="str">
        <f t="shared" si="1"/>
        <v/>
      </c>
      <c r="P1670" s="52"/>
    </row>
    <row r="1671">
      <c r="F1671" s="116" t="str">
        <f t="shared" si="1"/>
        <v/>
      </c>
      <c r="P1671" s="52"/>
    </row>
    <row r="1672">
      <c r="F1672" s="116" t="str">
        <f t="shared" si="1"/>
        <v/>
      </c>
      <c r="P1672" s="52"/>
    </row>
    <row r="1673">
      <c r="F1673" s="116" t="str">
        <f t="shared" si="1"/>
        <v/>
      </c>
      <c r="P1673" s="52"/>
    </row>
    <row r="1674">
      <c r="F1674" s="116" t="str">
        <f t="shared" si="1"/>
        <v/>
      </c>
      <c r="P1674" s="52"/>
    </row>
    <row r="1675">
      <c r="F1675" s="116" t="str">
        <f t="shared" si="1"/>
        <v/>
      </c>
      <c r="P1675" s="52"/>
    </row>
    <row r="1676">
      <c r="F1676" s="116" t="str">
        <f t="shared" si="1"/>
        <v/>
      </c>
      <c r="P1676" s="52"/>
    </row>
    <row r="1677">
      <c r="F1677" s="116" t="str">
        <f t="shared" si="1"/>
        <v/>
      </c>
      <c r="P1677" s="52"/>
    </row>
    <row r="1678">
      <c r="F1678" s="116" t="str">
        <f t="shared" si="1"/>
        <v/>
      </c>
      <c r="P1678" s="52"/>
    </row>
    <row r="1679">
      <c r="F1679" s="116" t="str">
        <f t="shared" si="1"/>
        <v/>
      </c>
      <c r="P1679" s="52"/>
    </row>
    <row r="1680">
      <c r="F1680" s="116" t="str">
        <f t="shared" si="1"/>
        <v/>
      </c>
      <c r="P1680" s="52"/>
    </row>
    <row r="1681">
      <c r="F1681" s="116" t="str">
        <f t="shared" si="1"/>
        <v/>
      </c>
      <c r="P1681" s="52"/>
    </row>
    <row r="1682">
      <c r="F1682" s="116" t="str">
        <f t="shared" si="1"/>
        <v/>
      </c>
      <c r="P1682" s="52"/>
    </row>
    <row r="1683">
      <c r="F1683" s="116" t="str">
        <f t="shared" si="1"/>
        <v/>
      </c>
      <c r="P1683" s="52"/>
    </row>
    <row r="1684">
      <c r="F1684" s="116" t="str">
        <f t="shared" si="1"/>
        <v/>
      </c>
      <c r="P1684" s="52"/>
    </row>
    <row r="1685">
      <c r="F1685" s="116" t="str">
        <f t="shared" si="1"/>
        <v/>
      </c>
      <c r="P1685" s="52"/>
    </row>
    <row r="1686">
      <c r="F1686" s="116" t="str">
        <f t="shared" si="1"/>
        <v/>
      </c>
      <c r="P1686" s="52"/>
    </row>
    <row r="1687">
      <c r="F1687" s="116" t="str">
        <f t="shared" si="1"/>
        <v/>
      </c>
      <c r="P1687" s="52"/>
    </row>
    <row r="1688">
      <c r="F1688" s="116" t="str">
        <f t="shared" si="1"/>
        <v/>
      </c>
      <c r="P1688" s="52"/>
    </row>
    <row r="1689">
      <c r="F1689" s="116" t="str">
        <f t="shared" si="1"/>
        <v/>
      </c>
      <c r="P1689" s="52"/>
    </row>
    <row r="1690">
      <c r="F1690" s="116" t="str">
        <f t="shared" si="1"/>
        <v/>
      </c>
      <c r="P1690" s="52"/>
    </row>
    <row r="1691">
      <c r="F1691" s="116" t="str">
        <f t="shared" si="1"/>
        <v/>
      </c>
      <c r="P1691" s="52"/>
    </row>
    <row r="1692">
      <c r="F1692" s="116" t="str">
        <f t="shared" si="1"/>
        <v/>
      </c>
      <c r="P1692" s="52"/>
    </row>
    <row r="1693">
      <c r="F1693" s="116" t="str">
        <f t="shared" si="1"/>
        <v/>
      </c>
      <c r="P1693" s="52"/>
    </row>
    <row r="1694">
      <c r="F1694" s="116" t="str">
        <f t="shared" si="1"/>
        <v/>
      </c>
      <c r="P1694" s="52"/>
    </row>
    <row r="1695">
      <c r="F1695" s="116" t="str">
        <f t="shared" si="1"/>
        <v/>
      </c>
      <c r="P1695" s="52"/>
    </row>
    <row r="1696">
      <c r="F1696" s="116" t="str">
        <f t="shared" si="1"/>
        <v/>
      </c>
      <c r="P1696" s="52"/>
    </row>
    <row r="1697">
      <c r="F1697" s="116" t="str">
        <f t="shared" si="1"/>
        <v/>
      </c>
      <c r="P1697" s="52"/>
    </row>
    <row r="1698">
      <c r="F1698" s="116" t="str">
        <f t="shared" si="1"/>
        <v/>
      </c>
      <c r="P1698" s="52"/>
    </row>
    <row r="1699">
      <c r="F1699" s="116" t="str">
        <f t="shared" si="1"/>
        <v/>
      </c>
      <c r="P1699" s="52"/>
    </row>
    <row r="1700">
      <c r="F1700" s="116" t="str">
        <f t="shared" si="1"/>
        <v/>
      </c>
      <c r="P1700" s="52"/>
    </row>
    <row r="1701">
      <c r="F1701" s="116" t="str">
        <f t="shared" si="1"/>
        <v/>
      </c>
      <c r="P1701" s="52"/>
    </row>
    <row r="1702">
      <c r="F1702" s="116" t="str">
        <f t="shared" si="1"/>
        <v/>
      </c>
      <c r="P1702" s="52"/>
    </row>
    <row r="1703">
      <c r="F1703" s="116" t="str">
        <f t="shared" si="1"/>
        <v/>
      </c>
      <c r="P1703" s="52"/>
    </row>
    <row r="1704">
      <c r="F1704" s="116" t="str">
        <f t="shared" si="1"/>
        <v/>
      </c>
      <c r="P1704" s="52"/>
    </row>
    <row r="1705">
      <c r="F1705" s="116" t="str">
        <f t="shared" si="1"/>
        <v/>
      </c>
      <c r="P1705" s="52"/>
    </row>
    <row r="1706">
      <c r="F1706" s="116" t="str">
        <f t="shared" si="1"/>
        <v/>
      </c>
      <c r="P1706" s="52"/>
    </row>
    <row r="1707">
      <c r="F1707" s="116" t="str">
        <f t="shared" si="1"/>
        <v/>
      </c>
      <c r="P1707" s="52"/>
    </row>
    <row r="1708">
      <c r="F1708" s="116" t="str">
        <f t="shared" si="1"/>
        <v/>
      </c>
      <c r="P1708" s="52"/>
    </row>
    <row r="1709">
      <c r="F1709" s="116" t="str">
        <f t="shared" si="1"/>
        <v/>
      </c>
      <c r="P1709" s="52"/>
    </row>
    <row r="1710">
      <c r="F1710" s="116" t="str">
        <f t="shared" si="1"/>
        <v/>
      </c>
      <c r="P1710" s="52"/>
    </row>
    <row r="1711">
      <c r="F1711" s="116" t="str">
        <f t="shared" si="1"/>
        <v/>
      </c>
      <c r="P1711" s="52"/>
    </row>
    <row r="1712">
      <c r="F1712" s="116" t="str">
        <f t="shared" si="1"/>
        <v/>
      </c>
      <c r="P1712" s="52"/>
    </row>
    <row r="1713">
      <c r="F1713" s="116" t="str">
        <f t="shared" si="1"/>
        <v/>
      </c>
      <c r="P1713" s="52"/>
    </row>
    <row r="1714">
      <c r="F1714" s="116" t="str">
        <f t="shared" si="1"/>
        <v/>
      </c>
      <c r="P1714" s="52"/>
    </row>
    <row r="1715">
      <c r="F1715" s="116" t="str">
        <f t="shared" si="1"/>
        <v/>
      </c>
      <c r="P1715" s="52"/>
    </row>
    <row r="1716">
      <c r="F1716" s="116" t="str">
        <f t="shared" si="1"/>
        <v/>
      </c>
      <c r="P1716" s="52"/>
    </row>
    <row r="1717">
      <c r="F1717" s="116" t="str">
        <f t="shared" si="1"/>
        <v/>
      </c>
      <c r="P1717" s="52"/>
    </row>
    <row r="1718">
      <c r="F1718" s="116" t="str">
        <f t="shared" si="1"/>
        <v/>
      </c>
      <c r="P1718" s="52"/>
    </row>
    <row r="1719">
      <c r="F1719" s="116" t="str">
        <f t="shared" si="1"/>
        <v/>
      </c>
      <c r="P1719" s="52"/>
    </row>
    <row r="1720">
      <c r="F1720" s="116" t="str">
        <f t="shared" si="1"/>
        <v/>
      </c>
      <c r="P1720" s="52"/>
    </row>
    <row r="1721">
      <c r="F1721" s="116" t="str">
        <f t="shared" si="1"/>
        <v/>
      </c>
      <c r="P1721" s="52"/>
    </row>
    <row r="1722">
      <c r="F1722" s="116" t="str">
        <f t="shared" si="1"/>
        <v/>
      </c>
      <c r="P1722" s="52"/>
    </row>
    <row r="1723">
      <c r="F1723" s="116" t="str">
        <f t="shared" si="1"/>
        <v/>
      </c>
      <c r="P1723" s="52"/>
    </row>
    <row r="1724">
      <c r="F1724" s="116" t="str">
        <f t="shared" si="1"/>
        <v/>
      </c>
      <c r="P1724" s="52"/>
    </row>
    <row r="1725">
      <c r="F1725" s="116" t="str">
        <f t="shared" si="1"/>
        <v/>
      </c>
      <c r="P1725" s="52"/>
    </row>
    <row r="1726">
      <c r="F1726" s="116" t="str">
        <f t="shared" si="1"/>
        <v/>
      </c>
      <c r="P1726" s="52"/>
    </row>
    <row r="1727">
      <c r="F1727" s="116" t="str">
        <f t="shared" si="1"/>
        <v/>
      </c>
      <c r="P1727" s="52"/>
    </row>
    <row r="1728">
      <c r="F1728" s="116" t="str">
        <f t="shared" si="1"/>
        <v/>
      </c>
      <c r="P1728" s="52"/>
    </row>
    <row r="1729">
      <c r="F1729" s="116" t="str">
        <f t="shared" si="1"/>
        <v/>
      </c>
      <c r="P1729" s="52"/>
    </row>
    <row r="1730">
      <c r="F1730" s="116" t="str">
        <f t="shared" si="1"/>
        <v/>
      </c>
      <c r="P1730" s="52"/>
    </row>
    <row r="1731">
      <c r="F1731" s="116" t="str">
        <f t="shared" si="1"/>
        <v/>
      </c>
      <c r="P1731" s="52"/>
    </row>
    <row r="1732">
      <c r="F1732" s="116" t="str">
        <f t="shared" si="1"/>
        <v/>
      </c>
      <c r="P1732" s="52"/>
    </row>
    <row r="1733">
      <c r="F1733" s="116" t="str">
        <f t="shared" si="1"/>
        <v/>
      </c>
      <c r="P1733" s="52"/>
    </row>
    <row r="1734">
      <c r="F1734" s="116" t="str">
        <f t="shared" si="1"/>
        <v/>
      </c>
      <c r="P1734" s="52"/>
    </row>
    <row r="1735">
      <c r="F1735" s="116" t="str">
        <f t="shared" si="1"/>
        <v/>
      </c>
      <c r="P1735" s="52"/>
    </row>
    <row r="1736">
      <c r="F1736" s="116" t="str">
        <f t="shared" si="1"/>
        <v/>
      </c>
      <c r="P1736" s="52"/>
    </row>
    <row r="1737">
      <c r="F1737" s="116" t="str">
        <f t="shared" si="1"/>
        <v/>
      </c>
      <c r="P1737" s="52"/>
    </row>
    <row r="1738">
      <c r="F1738" s="116" t="str">
        <f t="shared" si="1"/>
        <v/>
      </c>
      <c r="P1738" s="52"/>
    </row>
    <row r="1739">
      <c r="F1739" s="116" t="str">
        <f t="shared" si="1"/>
        <v/>
      </c>
      <c r="P1739" s="52"/>
    </row>
    <row r="1740">
      <c r="F1740" s="116" t="str">
        <f t="shared" si="1"/>
        <v/>
      </c>
      <c r="P1740" s="52"/>
    </row>
    <row r="1741">
      <c r="F1741" s="116" t="str">
        <f t="shared" si="1"/>
        <v/>
      </c>
      <c r="P1741" s="52"/>
    </row>
    <row r="1742">
      <c r="F1742" s="116" t="str">
        <f t="shared" si="1"/>
        <v/>
      </c>
      <c r="P1742" s="52"/>
    </row>
    <row r="1743">
      <c r="F1743" s="116" t="str">
        <f t="shared" si="1"/>
        <v/>
      </c>
      <c r="P1743" s="52"/>
    </row>
    <row r="1744">
      <c r="F1744" s="116" t="str">
        <f t="shared" si="1"/>
        <v/>
      </c>
      <c r="P1744" s="52"/>
    </row>
    <row r="1745">
      <c r="F1745" s="116" t="str">
        <f t="shared" si="1"/>
        <v/>
      </c>
      <c r="P1745" s="52"/>
    </row>
    <row r="1746">
      <c r="F1746" s="116" t="str">
        <f t="shared" si="1"/>
        <v/>
      </c>
      <c r="P1746" s="52"/>
    </row>
    <row r="1747">
      <c r="F1747" s="116" t="str">
        <f t="shared" si="1"/>
        <v/>
      </c>
      <c r="P1747" s="52"/>
    </row>
    <row r="1748">
      <c r="F1748" s="116" t="str">
        <f t="shared" si="1"/>
        <v/>
      </c>
      <c r="P1748" s="52"/>
    </row>
    <row r="1749">
      <c r="F1749" s="116" t="str">
        <f t="shared" si="1"/>
        <v/>
      </c>
      <c r="P1749" s="52"/>
    </row>
    <row r="1750">
      <c r="F1750" s="116" t="str">
        <f t="shared" si="1"/>
        <v/>
      </c>
      <c r="P1750" s="52"/>
    </row>
    <row r="1751">
      <c r="F1751" s="116" t="str">
        <f t="shared" si="1"/>
        <v/>
      </c>
      <c r="P1751" s="52"/>
    </row>
    <row r="1752">
      <c r="F1752" s="116" t="str">
        <f t="shared" si="1"/>
        <v/>
      </c>
      <c r="P1752" s="52"/>
    </row>
    <row r="1753">
      <c r="F1753" s="116" t="str">
        <f t="shared" si="1"/>
        <v/>
      </c>
      <c r="P1753" s="52"/>
    </row>
    <row r="1754">
      <c r="F1754" s="116" t="str">
        <f t="shared" si="1"/>
        <v/>
      </c>
      <c r="P1754" s="52"/>
    </row>
    <row r="1755">
      <c r="F1755" s="116" t="str">
        <f t="shared" si="1"/>
        <v/>
      </c>
      <c r="P1755" s="52"/>
    </row>
    <row r="1756">
      <c r="F1756" s="116" t="str">
        <f t="shared" si="1"/>
        <v/>
      </c>
      <c r="P1756" s="52"/>
    </row>
    <row r="1757">
      <c r="F1757" s="116" t="str">
        <f t="shared" si="1"/>
        <v/>
      </c>
      <c r="P1757" s="52"/>
    </row>
    <row r="1758">
      <c r="F1758" s="116" t="str">
        <f t="shared" si="1"/>
        <v/>
      </c>
      <c r="P1758" s="52"/>
    </row>
    <row r="1759">
      <c r="F1759" s="116" t="str">
        <f t="shared" si="1"/>
        <v/>
      </c>
      <c r="P1759" s="52"/>
    </row>
    <row r="1760">
      <c r="F1760" s="116" t="str">
        <f t="shared" si="1"/>
        <v/>
      </c>
      <c r="P1760" s="52"/>
    </row>
    <row r="1761">
      <c r="F1761" s="116" t="str">
        <f t="shared" si="1"/>
        <v/>
      </c>
      <c r="P1761" s="52"/>
    </row>
    <row r="1762">
      <c r="F1762" s="116" t="str">
        <f t="shared" si="1"/>
        <v/>
      </c>
      <c r="P1762" s="52"/>
    </row>
    <row r="1763">
      <c r="F1763" s="116" t="str">
        <f t="shared" si="1"/>
        <v/>
      </c>
      <c r="P1763" s="52"/>
    </row>
    <row r="1764">
      <c r="F1764" s="116" t="str">
        <f t="shared" si="1"/>
        <v/>
      </c>
      <c r="P1764" s="52"/>
    </row>
    <row r="1765">
      <c r="F1765" s="116" t="str">
        <f t="shared" si="1"/>
        <v/>
      </c>
      <c r="P1765" s="52"/>
    </row>
    <row r="1766">
      <c r="F1766" s="116" t="str">
        <f t="shared" si="1"/>
        <v/>
      </c>
      <c r="P1766" s="52"/>
    </row>
    <row r="1767">
      <c r="F1767" s="116" t="str">
        <f t="shared" si="1"/>
        <v/>
      </c>
      <c r="P1767" s="52"/>
    </row>
    <row r="1768">
      <c r="F1768" s="116" t="str">
        <f t="shared" si="1"/>
        <v/>
      </c>
      <c r="P1768" s="52"/>
    </row>
    <row r="1769">
      <c r="F1769" s="116" t="str">
        <f t="shared" si="1"/>
        <v/>
      </c>
      <c r="P1769" s="52"/>
    </row>
    <row r="1770">
      <c r="F1770" s="116" t="str">
        <f t="shared" si="1"/>
        <v/>
      </c>
      <c r="P1770" s="52"/>
    </row>
    <row r="1771">
      <c r="F1771" s="116" t="str">
        <f t="shared" si="1"/>
        <v/>
      </c>
      <c r="P1771" s="52"/>
    </row>
    <row r="1772">
      <c r="F1772" s="116" t="str">
        <f t="shared" si="1"/>
        <v/>
      </c>
      <c r="P1772" s="52"/>
    </row>
    <row r="1773">
      <c r="F1773" s="116" t="str">
        <f t="shared" si="1"/>
        <v/>
      </c>
      <c r="P1773" s="52"/>
    </row>
    <row r="1774">
      <c r="F1774" s="116" t="str">
        <f t="shared" si="1"/>
        <v/>
      </c>
      <c r="P1774" s="52"/>
    </row>
    <row r="1775">
      <c r="F1775" s="116" t="str">
        <f t="shared" si="1"/>
        <v/>
      </c>
      <c r="P1775" s="52"/>
    </row>
    <row r="1776">
      <c r="F1776" s="116" t="str">
        <f t="shared" si="1"/>
        <v/>
      </c>
      <c r="P1776" s="52"/>
    </row>
    <row r="1777">
      <c r="F1777" s="116" t="str">
        <f t="shared" si="1"/>
        <v/>
      </c>
      <c r="P1777" s="52"/>
    </row>
    <row r="1778">
      <c r="F1778" s="116" t="str">
        <f t="shared" si="1"/>
        <v/>
      </c>
      <c r="P1778" s="52"/>
    </row>
    <row r="1779">
      <c r="F1779" s="116" t="str">
        <f t="shared" si="1"/>
        <v/>
      </c>
      <c r="P1779" s="52"/>
    </row>
    <row r="1780">
      <c r="F1780" s="116" t="str">
        <f t="shared" si="1"/>
        <v/>
      </c>
      <c r="P1780" s="52"/>
    </row>
    <row r="1781">
      <c r="F1781" s="116" t="str">
        <f t="shared" si="1"/>
        <v/>
      </c>
      <c r="P1781" s="52"/>
    </row>
    <row r="1782">
      <c r="F1782" s="116" t="str">
        <f t="shared" si="1"/>
        <v/>
      </c>
      <c r="P1782" s="52"/>
    </row>
    <row r="1783">
      <c r="F1783" s="116" t="str">
        <f t="shared" si="1"/>
        <v/>
      </c>
      <c r="P1783" s="52"/>
    </row>
    <row r="1784">
      <c r="F1784" s="116" t="str">
        <f t="shared" si="1"/>
        <v/>
      </c>
      <c r="P1784" s="52"/>
    </row>
    <row r="1785">
      <c r="F1785" s="116" t="str">
        <f t="shared" si="1"/>
        <v/>
      </c>
      <c r="P1785" s="52"/>
    </row>
    <row r="1786">
      <c r="F1786" s="116" t="str">
        <f t="shared" si="1"/>
        <v/>
      </c>
      <c r="P1786" s="52"/>
    </row>
    <row r="1787">
      <c r="F1787" s="116" t="str">
        <f t="shared" si="1"/>
        <v/>
      </c>
      <c r="P1787" s="52"/>
    </row>
    <row r="1788">
      <c r="F1788" s="116" t="str">
        <f t="shared" si="1"/>
        <v/>
      </c>
      <c r="P1788" s="52"/>
    </row>
    <row r="1789">
      <c r="F1789" s="116" t="str">
        <f t="shared" si="1"/>
        <v/>
      </c>
      <c r="P1789" s="52"/>
    </row>
    <row r="1790">
      <c r="F1790" s="116" t="str">
        <f t="shared" si="1"/>
        <v/>
      </c>
      <c r="P1790" s="52"/>
    </row>
    <row r="1791">
      <c r="F1791" s="116" t="str">
        <f t="shared" si="1"/>
        <v/>
      </c>
      <c r="P1791" s="52"/>
    </row>
    <row r="1792">
      <c r="F1792" s="116" t="str">
        <f t="shared" si="1"/>
        <v/>
      </c>
      <c r="P1792" s="52"/>
    </row>
    <row r="1793">
      <c r="F1793" s="116" t="str">
        <f t="shared" si="1"/>
        <v/>
      </c>
      <c r="P1793" s="52"/>
    </row>
    <row r="1794">
      <c r="F1794" s="116" t="str">
        <f t="shared" si="1"/>
        <v/>
      </c>
      <c r="P1794" s="52"/>
    </row>
    <row r="1795">
      <c r="F1795" s="116" t="str">
        <f t="shared" si="1"/>
        <v/>
      </c>
      <c r="P1795" s="52"/>
    </row>
    <row r="1796">
      <c r="F1796" s="116" t="str">
        <f t="shared" si="1"/>
        <v/>
      </c>
      <c r="P1796" s="52"/>
    </row>
    <row r="1797">
      <c r="F1797" s="116" t="str">
        <f t="shared" si="1"/>
        <v/>
      </c>
      <c r="P1797" s="52"/>
    </row>
    <row r="1798">
      <c r="F1798" s="116" t="str">
        <f t="shared" si="1"/>
        <v/>
      </c>
      <c r="P1798" s="52"/>
    </row>
    <row r="1799">
      <c r="F1799" s="116" t="str">
        <f t="shared" si="1"/>
        <v/>
      </c>
      <c r="P1799" s="52"/>
    </row>
    <row r="1800">
      <c r="F1800" s="116" t="str">
        <f t="shared" si="1"/>
        <v/>
      </c>
      <c r="P1800" s="52"/>
    </row>
    <row r="1801">
      <c r="F1801" s="116" t="str">
        <f t="shared" si="1"/>
        <v/>
      </c>
      <c r="P1801" s="52"/>
    </row>
    <row r="1802">
      <c r="F1802" s="116" t="str">
        <f t="shared" si="1"/>
        <v/>
      </c>
      <c r="P1802" s="52"/>
    </row>
    <row r="1803">
      <c r="F1803" s="116" t="str">
        <f t="shared" si="1"/>
        <v/>
      </c>
      <c r="P1803" s="52"/>
    </row>
    <row r="1804">
      <c r="F1804" s="116" t="str">
        <f t="shared" si="1"/>
        <v/>
      </c>
      <c r="P1804" s="52"/>
    </row>
    <row r="1805">
      <c r="F1805" s="116" t="str">
        <f t="shared" si="1"/>
        <v/>
      </c>
      <c r="P1805" s="52"/>
    </row>
    <row r="1806">
      <c r="F1806" s="116" t="str">
        <f t="shared" si="1"/>
        <v/>
      </c>
      <c r="P1806" s="52"/>
    </row>
    <row r="1807">
      <c r="F1807" s="116" t="str">
        <f t="shared" si="1"/>
        <v/>
      </c>
      <c r="P1807" s="52"/>
    </row>
    <row r="1808">
      <c r="F1808" s="116" t="str">
        <f t="shared" si="1"/>
        <v/>
      </c>
      <c r="P1808" s="52"/>
    </row>
    <row r="1809">
      <c r="F1809" s="116" t="str">
        <f t="shared" si="1"/>
        <v/>
      </c>
      <c r="P1809" s="52"/>
    </row>
    <row r="1810">
      <c r="F1810" s="116" t="str">
        <f t="shared" si="1"/>
        <v/>
      </c>
      <c r="P1810" s="52"/>
    </row>
    <row r="1811">
      <c r="F1811" s="116" t="str">
        <f t="shared" si="1"/>
        <v/>
      </c>
      <c r="P1811" s="52"/>
    </row>
    <row r="1812">
      <c r="F1812" s="116" t="str">
        <f t="shared" si="1"/>
        <v/>
      </c>
      <c r="P1812" s="52"/>
    </row>
    <row r="1813">
      <c r="F1813" s="116" t="str">
        <f t="shared" si="1"/>
        <v/>
      </c>
      <c r="P1813" s="52"/>
    </row>
    <row r="1814">
      <c r="F1814" s="116" t="str">
        <f t="shared" si="1"/>
        <v/>
      </c>
      <c r="P1814" s="52"/>
    </row>
    <row r="1815">
      <c r="F1815" s="116" t="str">
        <f t="shared" si="1"/>
        <v/>
      </c>
      <c r="P1815" s="52"/>
    </row>
    <row r="1816">
      <c r="F1816" s="116" t="str">
        <f t="shared" si="1"/>
        <v/>
      </c>
      <c r="P1816" s="52"/>
    </row>
    <row r="1817">
      <c r="F1817" s="116" t="str">
        <f t="shared" si="1"/>
        <v/>
      </c>
      <c r="P1817" s="52"/>
    </row>
    <row r="1818">
      <c r="F1818" s="116" t="str">
        <f t="shared" si="1"/>
        <v/>
      </c>
      <c r="P1818" s="52"/>
    </row>
    <row r="1819">
      <c r="F1819" s="116" t="str">
        <f t="shared" si="1"/>
        <v/>
      </c>
      <c r="P1819" s="52"/>
    </row>
    <row r="1820">
      <c r="F1820" s="116" t="str">
        <f t="shared" si="1"/>
        <v/>
      </c>
      <c r="P1820" s="52"/>
    </row>
    <row r="1821">
      <c r="F1821" s="116" t="str">
        <f t="shared" si="1"/>
        <v/>
      </c>
      <c r="P1821" s="52"/>
    </row>
    <row r="1822">
      <c r="F1822" s="116" t="str">
        <f t="shared" si="1"/>
        <v/>
      </c>
      <c r="P1822" s="52"/>
    </row>
    <row r="1823">
      <c r="F1823" s="116" t="str">
        <f t="shared" si="1"/>
        <v/>
      </c>
      <c r="P1823" s="52"/>
    </row>
    <row r="1824">
      <c r="F1824" s="116" t="str">
        <f t="shared" si="1"/>
        <v/>
      </c>
      <c r="P1824" s="52"/>
    </row>
    <row r="1825">
      <c r="F1825" s="116" t="str">
        <f t="shared" si="1"/>
        <v/>
      </c>
      <c r="P1825" s="52"/>
    </row>
    <row r="1826">
      <c r="F1826" s="116" t="str">
        <f t="shared" si="1"/>
        <v/>
      </c>
      <c r="P1826" s="52"/>
    </row>
    <row r="1827">
      <c r="F1827" s="116" t="str">
        <f t="shared" si="1"/>
        <v/>
      </c>
      <c r="P1827" s="52"/>
    </row>
    <row r="1828">
      <c r="F1828" s="116" t="str">
        <f t="shared" si="1"/>
        <v/>
      </c>
      <c r="P1828" s="52"/>
    </row>
    <row r="1829">
      <c r="F1829" s="116" t="str">
        <f t="shared" si="1"/>
        <v/>
      </c>
      <c r="P1829" s="52"/>
    </row>
    <row r="1830">
      <c r="F1830" s="116" t="str">
        <f t="shared" si="1"/>
        <v/>
      </c>
      <c r="P1830" s="52"/>
    </row>
    <row r="1831">
      <c r="F1831" s="116" t="str">
        <f t="shared" si="1"/>
        <v/>
      </c>
      <c r="P1831" s="52"/>
    </row>
    <row r="1832">
      <c r="F1832" s="116" t="str">
        <f t="shared" si="1"/>
        <v/>
      </c>
      <c r="P1832" s="52"/>
    </row>
    <row r="1833">
      <c r="F1833" s="116" t="str">
        <f t="shared" si="1"/>
        <v/>
      </c>
      <c r="P1833" s="52"/>
    </row>
    <row r="1834">
      <c r="F1834" s="116" t="str">
        <f t="shared" si="1"/>
        <v/>
      </c>
      <c r="P1834" s="52"/>
    </row>
    <row r="1835">
      <c r="F1835" s="116" t="str">
        <f t="shared" si="1"/>
        <v/>
      </c>
      <c r="P1835" s="52"/>
    </row>
    <row r="1836">
      <c r="F1836" s="116" t="str">
        <f t="shared" si="1"/>
        <v/>
      </c>
      <c r="P1836" s="52"/>
    </row>
    <row r="1837">
      <c r="F1837" s="116" t="str">
        <f t="shared" si="1"/>
        <v/>
      </c>
      <c r="P1837" s="52"/>
    </row>
    <row r="1838">
      <c r="F1838" s="116" t="str">
        <f t="shared" si="1"/>
        <v/>
      </c>
      <c r="P1838" s="52"/>
    </row>
    <row r="1839">
      <c r="F1839" s="116" t="str">
        <f t="shared" si="1"/>
        <v/>
      </c>
      <c r="P1839" s="52"/>
    </row>
    <row r="1840">
      <c r="F1840" s="116" t="str">
        <f t="shared" si="1"/>
        <v/>
      </c>
      <c r="P1840" s="52"/>
    </row>
    <row r="1841">
      <c r="F1841" s="116" t="str">
        <f t="shared" si="1"/>
        <v/>
      </c>
      <c r="P1841" s="52"/>
    </row>
    <row r="1842">
      <c r="F1842" s="116" t="str">
        <f t="shared" si="1"/>
        <v/>
      </c>
      <c r="P1842" s="52"/>
    </row>
    <row r="1843">
      <c r="F1843" s="116" t="str">
        <f t="shared" si="1"/>
        <v/>
      </c>
      <c r="P1843" s="52"/>
    </row>
    <row r="1844">
      <c r="F1844" s="116" t="str">
        <f t="shared" si="1"/>
        <v/>
      </c>
      <c r="P1844" s="52"/>
    </row>
    <row r="1845">
      <c r="F1845" s="116" t="str">
        <f t="shared" si="1"/>
        <v/>
      </c>
      <c r="P1845" s="52"/>
    </row>
    <row r="1846">
      <c r="F1846" s="116" t="str">
        <f t="shared" si="1"/>
        <v/>
      </c>
      <c r="P1846" s="52"/>
    </row>
    <row r="1847">
      <c r="F1847" s="116" t="str">
        <f t="shared" si="1"/>
        <v/>
      </c>
      <c r="P1847" s="52"/>
    </row>
    <row r="1848">
      <c r="F1848" s="116" t="str">
        <f t="shared" si="1"/>
        <v/>
      </c>
      <c r="P1848" s="52"/>
    </row>
    <row r="1849">
      <c r="F1849" s="116" t="str">
        <f t="shared" si="1"/>
        <v/>
      </c>
      <c r="P1849" s="52"/>
    </row>
    <row r="1850">
      <c r="F1850" s="116" t="str">
        <f t="shared" si="1"/>
        <v/>
      </c>
      <c r="P1850" s="52"/>
    </row>
    <row r="1851">
      <c r="F1851" s="116" t="str">
        <f t="shared" si="1"/>
        <v/>
      </c>
      <c r="P1851" s="52"/>
    </row>
    <row r="1852">
      <c r="F1852" s="116" t="str">
        <f t="shared" si="1"/>
        <v/>
      </c>
      <c r="P1852" s="52"/>
    </row>
    <row r="1853">
      <c r="F1853" s="116" t="str">
        <f t="shared" si="1"/>
        <v/>
      </c>
      <c r="P1853" s="52"/>
    </row>
    <row r="1854">
      <c r="F1854" s="116" t="str">
        <f t="shared" si="1"/>
        <v/>
      </c>
      <c r="P1854" s="52"/>
    </row>
    <row r="1855">
      <c r="F1855" s="116" t="str">
        <f t="shared" si="1"/>
        <v/>
      </c>
      <c r="P1855" s="52"/>
    </row>
    <row r="1856">
      <c r="F1856" s="116" t="str">
        <f t="shared" si="1"/>
        <v/>
      </c>
      <c r="P1856" s="52"/>
    </row>
    <row r="1857">
      <c r="F1857" s="116" t="str">
        <f t="shared" si="1"/>
        <v/>
      </c>
      <c r="P1857" s="52"/>
    </row>
    <row r="1858">
      <c r="F1858" s="116" t="str">
        <f t="shared" si="1"/>
        <v/>
      </c>
      <c r="P1858" s="52"/>
    </row>
    <row r="1859">
      <c r="F1859" s="116" t="str">
        <f t="shared" si="1"/>
        <v/>
      </c>
      <c r="P1859" s="52"/>
    </row>
    <row r="1860">
      <c r="F1860" s="116" t="str">
        <f t="shared" si="1"/>
        <v/>
      </c>
      <c r="P1860" s="52"/>
    </row>
    <row r="1861">
      <c r="F1861" s="116" t="str">
        <f t="shared" si="1"/>
        <v/>
      </c>
      <c r="P1861" s="52"/>
    </row>
    <row r="1862">
      <c r="F1862" s="116" t="str">
        <f t="shared" si="1"/>
        <v/>
      </c>
      <c r="P1862" s="52"/>
    </row>
    <row r="1863">
      <c r="F1863" s="116" t="str">
        <f t="shared" si="1"/>
        <v/>
      </c>
      <c r="P1863" s="52"/>
    </row>
    <row r="1864">
      <c r="F1864" s="116" t="str">
        <f t="shared" si="1"/>
        <v/>
      </c>
      <c r="P1864" s="52"/>
    </row>
    <row r="1865">
      <c r="F1865" s="116" t="str">
        <f t="shared" si="1"/>
        <v/>
      </c>
      <c r="P1865" s="52"/>
    </row>
    <row r="1866">
      <c r="F1866" s="116" t="str">
        <f t="shared" si="1"/>
        <v/>
      </c>
      <c r="P1866" s="52"/>
    </row>
    <row r="1867">
      <c r="F1867" s="116" t="str">
        <f t="shared" si="1"/>
        <v/>
      </c>
      <c r="P1867" s="52"/>
    </row>
    <row r="1868">
      <c r="F1868" s="116" t="str">
        <f t="shared" si="1"/>
        <v/>
      </c>
      <c r="P1868" s="52"/>
    </row>
    <row r="1869">
      <c r="F1869" s="116" t="str">
        <f t="shared" si="1"/>
        <v/>
      </c>
      <c r="P1869" s="52"/>
    </row>
    <row r="1870">
      <c r="F1870" s="116" t="str">
        <f t="shared" si="1"/>
        <v/>
      </c>
      <c r="P1870" s="52"/>
    </row>
    <row r="1871">
      <c r="F1871" s="116" t="str">
        <f t="shared" si="1"/>
        <v/>
      </c>
      <c r="P1871" s="52"/>
    </row>
    <row r="1872">
      <c r="F1872" s="116" t="str">
        <f t="shared" si="1"/>
        <v/>
      </c>
      <c r="P1872" s="52"/>
    </row>
    <row r="1873">
      <c r="F1873" s="116" t="str">
        <f t="shared" si="1"/>
        <v/>
      </c>
      <c r="P1873" s="52"/>
    </row>
    <row r="1874">
      <c r="F1874" s="116" t="str">
        <f t="shared" si="1"/>
        <v/>
      </c>
      <c r="P1874" s="52"/>
    </row>
    <row r="1875">
      <c r="F1875" s="116" t="str">
        <f t="shared" si="1"/>
        <v/>
      </c>
      <c r="P1875" s="52"/>
    </row>
    <row r="1876">
      <c r="F1876" s="116" t="str">
        <f t="shared" si="1"/>
        <v/>
      </c>
      <c r="P1876" s="52"/>
    </row>
    <row r="1877">
      <c r="F1877" s="116" t="str">
        <f t="shared" si="1"/>
        <v/>
      </c>
      <c r="P1877" s="52"/>
    </row>
    <row r="1878">
      <c r="F1878" s="116" t="str">
        <f t="shared" si="1"/>
        <v/>
      </c>
      <c r="P1878" s="52"/>
    </row>
    <row r="1879">
      <c r="F1879" s="116" t="str">
        <f t="shared" si="1"/>
        <v/>
      </c>
      <c r="P1879" s="52"/>
    </row>
    <row r="1880">
      <c r="F1880" s="116" t="str">
        <f t="shared" si="1"/>
        <v/>
      </c>
      <c r="P1880" s="52"/>
    </row>
    <row r="1881">
      <c r="F1881" s="116" t="str">
        <f t="shared" si="1"/>
        <v/>
      </c>
      <c r="P1881" s="52"/>
    </row>
    <row r="1882">
      <c r="F1882" s="116" t="str">
        <f t="shared" si="1"/>
        <v/>
      </c>
      <c r="P1882" s="52"/>
    </row>
    <row r="1883">
      <c r="F1883" s="116" t="str">
        <f t="shared" si="1"/>
        <v/>
      </c>
      <c r="P1883" s="52"/>
    </row>
    <row r="1884">
      <c r="F1884" s="116" t="str">
        <f t="shared" si="1"/>
        <v/>
      </c>
      <c r="P1884" s="52"/>
    </row>
    <row r="1885">
      <c r="F1885" s="116" t="str">
        <f t="shared" si="1"/>
        <v/>
      </c>
      <c r="P1885" s="52"/>
    </row>
    <row r="1886">
      <c r="F1886" s="116" t="str">
        <f t="shared" si="1"/>
        <v/>
      </c>
      <c r="P1886" s="52"/>
    </row>
    <row r="1887">
      <c r="F1887" s="116" t="str">
        <f t="shared" si="1"/>
        <v/>
      </c>
      <c r="P1887" s="52"/>
    </row>
    <row r="1888">
      <c r="F1888" s="116" t="str">
        <f t="shared" si="1"/>
        <v/>
      </c>
      <c r="P1888" s="52"/>
    </row>
    <row r="1889">
      <c r="F1889" s="116" t="str">
        <f t="shared" si="1"/>
        <v/>
      </c>
      <c r="P1889" s="52"/>
    </row>
    <row r="1890">
      <c r="F1890" s="116" t="str">
        <f t="shared" si="1"/>
        <v/>
      </c>
      <c r="P1890" s="52"/>
    </row>
    <row r="1891">
      <c r="F1891" s="116" t="str">
        <f t="shared" si="1"/>
        <v/>
      </c>
      <c r="P1891" s="52"/>
    </row>
    <row r="1892">
      <c r="F1892" s="116" t="str">
        <f t="shared" si="1"/>
        <v/>
      </c>
      <c r="P1892" s="52"/>
    </row>
    <row r="1893">
      <c r="F1893" s="116" t="str">
        <f t="shared" si="1"/>
        <v/>
      </c>
      <c r="P1893" s="52"/>
    </row>
    <row r="1894">
      <c r="F1894" s="116" t="str">
        <f t="shared" si="1"/>
        <v/>
      </c>
      <c r="P1894" s="52"/>
    </row>
    <row r="1895">
      <c r="F1895" s="116" t="str">
        <f t="shared" si="1"/>
        <v/>
      </c>
      <c r="P1895" s="52"/>
    </row>
    <row r="1896">
      <c r="F1896" s="116" t="str">
        <f t="shared" si="1"/>
        <v/>
      </c>
      <c r="P1896" s="52"/>
    </row>
    <row r="1897">
      <c r="F1897" s="116" t="str">
        <f t="shared" si="1"/>
        <v/>
      </c>
      <c r="P1897" s="52"/>
    </row>
    <row r="1898">
      <c r="F1898" s="116" t="str">
        <f t="shared" si="1"/>
        <v/>
      </c>
      <c r="P1898" s="52"/>
    </row>
    <row r="1899">
      <c r="F1899" s="116" t="str">
        <f t="shared" si="1"/>
        <v/>
      </c>
      <c r="P1899" s="52"/>
    </row>
    <row r="1900">
      <c r="F1900" s="116" t="str">
        <f t="shared" si="1"/>
        <v/>
      </c>
      <c r="P1900" s="52"/>
    </row>
    <row r="1901">
      <c r="F1901" s="116" t="str">
        <f t="shared" si="1"/>
        <v/>
      </c>
      <c r="P1901" s="52"/>
    </row>
    <row r="1902">
      <c r="F1902" s="116" t="str">
        <f t="shared" si="1"/>
        <v/>
      </c>
      <c r="P1902" s="52"/>
    </row>
    <row r="1903">
      <c r="F1903" s="116" t="str">
        <f t="shared" si="1"/>
        <v/>
      </c>
      <c r="P1903" s="52"/>
    </row>
    <row r="1904">
      <c r="F1904" s="116" t="str">
        <f t="shared" si="1"/>
        <v/>
      </c>
      <c r="P1904" s="52"/>
    </row>
    <row r="1905">
      <c r="F1905" s="116" t="str">
        <f t="shared" si="1"/>
        <v/>
      </c>
      <c r="P1905" s="52"/>
    </row>
    <row r="1906">
      <c r="F1906" s="116" t="str">
        <f t="shared" si="1"/>
        <v/>
      </c>
      <c r="P1906" s="52"/>
    </row>
    <row r="1907">
      <c r="F1907" s="116" t="str">
        <f t="shared" si="1"/>
        <v/>
      </c>
      <c r="P1907" s="52"/>
    </row>
    <row r="1908">
      <c r="F1908" s="116" t="str">
        <f t="shared" si="1"/>
        <v/>
      </c>
      <c r="P1908" s="52"/>
    </row>
    <row r="1909">
      <c r="F1909" s="116" t="str">
        <f t="shared" si="1"/>
        <v/>
      </c>
      <c r="P1909" s="52"/>
    </row>
    <row r="1910">
      <c r="F1910" s="116" t="str">
        <f t="shared" si="1"/>
        <v/>
      </c>
      <c r="P1910" s="52"/>
    </row>
    <row r="1911">
      <c r="F1911" s="116" t="str">
        <f t="shared" si="1"/>
        <v/>
      </c>
      <c r="P1911" s="52"/>
    </row>
    <row r="1912">
      <c r="F1912" s="116" t="str">
        <f t="shared" si="1"/>
        <v/>
      </c>
      <c r="P1912" s="52"/>
    </row>
    <row r="1913">
      <c r="F1913" s="116" t="str">
        <f t="shared" si="1"/>
        <v/>
      </c>
      <c r="P1913" s="52"/>
    </row>
    <row r="1914">
      <c r="F1914" s="116" t="str">
        <f t="shared" si="1"/>
        <v/>
      </c>
      <c r="P1914" s="52"/>
    </row>
    <row r="1915">
      <c r="F1915" s="116" t="str">
        <f t="shared" si="1"/>
        <v/>
      </c>
      <c r="P1915" s="52"/>
    </row>
    <row r="1916">
      <c r="F1916" s="116" t="str">
        <f t="shared" si="1"/>
        <v/>
      </c>
      <c r="P1916" s="52"/>
    </row>
    <row r="1917">
      <c r="F1917" s="116" t="str">
        <f t="shared" si="1"/>
        <v/>
      </c>
      <c r="P1917" s="52"/>
    </row>
    <row r="1918">
      <c r="F1918" s="116" t="str">
        <f t="shared" si="1"/>
        <v/>
      </c>
      <c r="P1918" s="52"/>
    </row>
    <row r="1919">
      <c r="F1919" s="116" t="str">
        <f t="shared" si="1"/>
        <v/>
      </c>
      <c r="P1919" s="52"/>
    </row>
    <row r="1920">
      <c r="F1920" s="116" t="str">
        <f t="shared" si="1"/>
        <v/>
      </c>
      <c r="P1920" s="52"/>
    </row>
    <row r="1921">
      <c r="F1921" s="116" t="str">
        <f t="shared" si="1"/>
        <v/>
      </c>
      <c r="P1921" s="52"/>
    </row>
    <row r="1922">
      <c r="F1922" s="116" t="str">
        <f t="shared" si="1"/>
        <v/>
      </c>
      <c r="P1922" s="52"/>
    </row>
    <row r="1923">
      <c r="F1923" s="116" t="str">
        <f t="shared" si="1"/>
        <v/>
      </c>
      <c r="P1923" s="52"/>
    </row>
    <row r="1924">
      <c r="F1924" s="116" t="str">
        <f t="shared" si="1"/>
        <v/>
      </c>
      <c r="P1924" s="52"/>
    </row>
    <row r="1925">
      <c r="F1925" s="116" t="str">
        <f t="shared" si="1"/>
        <v/>
      </c>
      <c r="P1925" s="52"/>
    </row>
    <row r="1926">
      <c r="F1926" s="116" t="str">
        <f t="shared" si="1"/>
        <v/>
      </c>
      <c r="P1926" s="52"/>
    </row>
    <row r="1927">
      <c r="F1927" s="116" t="str">
        <f t="shared" si="1"/>
        <v/>
      </c>
      <c r="P1927" s="52"/>
    </row>
    <row r="1928">
      <c r="F1928" s="116" t="str">
        <f t="shared" si="1"/>
        <v/>
      </c>
      <c r="P1928" s="52"/>
    </row>
    <row r="1929">
      <c r="F1929" s="116" t="str">
        <f t="shared" si="1"/>
        <v/>
      </c>
      <c r="P1929" s="52"/>
    </row>
    <row r="1930">
      <c r="F1930" s="116" t="str">
        <f t="shared" si="1"/>
        <v/>
      </c>
      <c r="P1930" s="52"/>
    </row>
    <row r="1931">
      <c r="F1931" s="116" t="str">
        <f t="shared" si="1"/>
        <v/>
      </c>
      <c r="P1931" s="52"/>
    </row>
    <row r="1932">
      <c r="F1932" s="116" t="str">
        <f t="shared" si="1"/>
        <v/>
      </c>
      <c r="P1932" s="52"/>
    </row>
    <row r="1933">
      <c r="F1933" s="116" t="str">
        <f t="shared" si="1"/>
        <v/>
      </c>
      <c r="P1933" s="52"/>
    </row>
    <row r="1934">
      <c r="F1934" s="116" t="str">
        <f t="shared" si="1"/>
        <v/>
      </c>
      <c r="P1934" s="52"/>
    </row>
    <row r="1935">
      <c r="F1935" s="116" t="str">
        <f t="shared" si="1"/>
        <v/>
      </c>
      <c r="P1935" s="52"/>
    </row>
    <row r="1936">
      <c r="F1936" s="116" t="str">
        <f t="shared" si="1"/>
        <v/>
      </c>
      <c r="P1936" s="52"/>
    </row>
    <row r="1937">
      <c r="F1937" s="116" t="str">
        <f t="shared" si="1"/>
        <v/>
      </c>
      <c r="P1937" s="52"/>
    </row>
    <row r="1938">
      <c r="F1938" s="116" t="str">
        <f t="shared" si="1"/>
        <v/>
      </c>
      <c r="P1938" s="52"/>
    </row>
    <row r="1939">
      <c r="F1939" s="116" t="str">
        <f t="shared" si="1"/>
        <v/>
      </c>
      <c r="P1939" s="52"/>
    </row>
    <row r="1940">
      <c r="F1940" s="116" t="str">
        <f t="shared" si="1"/>
        <v/>
      </c>
      <c r="P1940" s="52"/>
    </row>
    <row r="1941">
      <c r="F1941" s="116" t="str">
        <f t="shared" si="1"/>
        <v/>
      </c>
      <c r="P1941" s="52"/>
    </row>
    <row r="1942">
      <c r="F1942" s="116" t="str">
        <f t="shared" si="1"/>
        <v/>
      </c>
      <c r="P1942" s="52"/>
    </row>
    <row r="1943">
      <c r="F1943" s="116" t="str">
        <f t="shared" si="1"/>
        <v/>
      </c>
      <c r="P1943" s="52"/>
    </row>
    <row r="1944">
      <c r="F1944" s="116" t="str">
        <f t="shared" si="1"/>
        <v/>
      </c>
      <c r="P1944" s="52"/>
    </row>
    <row r="1945">
      <c r="F1945" s="116" t="str">
        <f t="shared" si="1"/>
        <v/>
      </c>
      <c r="P1945" s="52"/>
    </row>
    <row r="1946">
      <c r="F1946" s="116" t="str">
        <f t="shared" si="1"/>
        <v/>
      </c>
      <c r="P1946" s="52"/>
    </row>
    <row r="1947">
      <c r="F1947" s="116" t="str">
        <f t="shared" si="1"/>
        <v/>
      </c>
      <c r="P1947" s="52"/>
    </row>
    <row r="1948">
      <c r="F1948" s="116" t="str">
        <f t="shared" si="1"/>
        <v/>
      </c>
      <c r="P1948" s="52"/>
    </row>
    <row r="1949">
      <c r="F1949" s="116" t="str">
        <f t="shared" si="1"/>
        <v/>
      </c>
      <c r="P1949" s="52"/>
    </row>
    <row r="1950">
      <c r="F1950" s="116" t="str">
        <f t="shared" si="1"/>
        <v/>
      </c>
      <c r="P1950" s="52"/>
    </row>
    <row r="1951">
      <c r="F1951" s="116" t="str">
        <f t="shared" si="1"/>
        <v/>
      </c>
      <c r="P1951" s="52"/>
    </row>
    <row r="1952">
      <c r="F1952" s="116" t="str">
        <f t="shared" si="1"/>
        <v/>
      </c>
      <c r="P1952" s="52"/>
    </row>
    <row r="1953">
      <c r="F1953" s="116" t="str">
        <f t="shared" si="1"/>
        <v/>
      </c>
      <c r="P1953" s="52"/>
    </row>
    <row r="1954">
      <c r="F1954" s="116" t="str">
        <f t="shared" si="1"/>
        <v/>
      </c>
      <c r="P1954" s="52"/>
    </row>
    <row r="1955">
      <c r="F1955" s="116" t="str">
        <f t="shared" si="1"/>
        <v/>
      </c>
      <c r="P1955" s="52"/>
    </row>
    <row r="1956">
      <c r="F1956" s="116" t="str">
        <f t="shared" si="1"/>
        <v/>
      </c>
      <c r="P1956" s="52"/>
    </row>
    <row r="1957">
      <c r="F1957" s="116" t="str">
        <f t="shared" si="1"/>
        <v/>
      </c>
      <c r="P1957" s="52"/>
    </row>
    <row r="1958">
      <c r="F1958" s="116" t="str">
        <f t="shared" si="1"/>
        <v/>
      </c>
      <c r="P1958" s="52"/>
    </row>
    <row r="1959">
      <c r="F1959" s="116" t="str">
        <f t="shared" si="1"/>
        <v/>
      </c>
      <c r="P1959" s="52"/>
    </row>
    <row r="1960">
      <c r="F1960" s="116" t="str">
        <f t="shared" si="1"/>
        <v/>
      </c>
      <c r="P1960" s="52"/>
    </row>
    <row r="1961">
      <c r="F1961" s="116" t="str">
        <f t="shared" si="1"/>
        <v/>
      </c>
      <c r="P1961" s="52"/>
    </row>
    <row r="1962">
      <c r="F1962" s="116" t="str">
        <f t="shared" si="1"/>
        <v/>
      </c>
      <c r="P1962" s="52"/>
    </row>
    <row r="1963">
      <c r="F1963" s="116" t="str">
        <f t="shared" si="1"/>
        <v/>
      </c>
      <c r="P1963" s="52"/>
    </row>
    <row r="1964">
      <c r="F1964" s="116" t="str">
        <f t="shared" si="1"/>
        <v/>
      </c>
      <c r="P1964" s="52"/>
    </row>
    <row r="1965">
      <c r="F1965" s="116" t="str">
        <f t="shared" si="1"/>
        <v/>
      </c>
      <c r="P1965" s="52"/>
    </row>
    <row r="1966">
      <c r="F1966" s="116" t="str">
        <f t="shared" si="1"/>
        <v/>
      </c>
      <c r="P1966" s="52"/>
    </row>
    <row r="1967">
      <c r="F1967" s="116" t="str">
        <f t="shared" si="1"/>
        <v/>
      </c>
      <c r="P1967" s="52"/>
    </row>
    <row r="1968">
      <c r="F1968" s="116" t="str">
        <f t="shared" si="1"/>
        <v/>
      </c>
      <c r="P1968" s="52"/>
    </row>
    <row r="1969">
      <c r="F1969" s="116" t="str">
        <f t="shared" si="1"/>
        <v/>
      </c>
      <c r="P1969" s="52"/>
    </row>
    <row r="1970">
      <c r="F1970" s="116" t="str">
        <f t="shared" si="1"/>
        <v/>
      </c>
      <c r="P1970" s="52"/>
    </row>
    <row r="1971">
      <c r="F1971" s="116" t="str">
        <f t="shared" si="1"/>
        <v/>
      </c>
      <c r="P1971" s="52"/>
    </row>
    <row r="1972">
      <c r="F1972" s="116" t="str">
        <f t="shared" si="1"/>
        <v/>
      </c>
      <c r="P1972" s="52"/>
    </row>
    <row r="1973">
      <c r="F1973" s="116" t="str">
        <f t="shared" si="1"/>
        <v/>
      </c>
      <c r="P1973" s="52"/>
    </row>
    <row r="1974">
      <c r="F1974" s="116" t="str">
        <f t="shared" si="1"/>
        <v/>
      </c>
      <c r="P1974" s="52"/>
    </row>
    <row r="1975">
      <c r="F1975" s="116" t="str">
        <f t="shared" si="1"/>
        <v/>
      </c>
      <c r="P1975" s="52"/>
    </row>
    <row r="1976">
      <c r="F1976" s="116" t="str">
        <f t="shared" si="1"/>
        <v/>
      </c>
      <c r="P1976" s="52"/>
    </row>
    <row r="1977">
      <c r="F1977" s="116" t="str">
        <f t="shared" si="1"/>
        <v/>
      </c>
      <c r="P1977" s="52"/>
    </row>
    <row r="1978">
      <c r="F1978" s="116" t="str">
        <f t="shared" si="1"/>
        <v/>
      </c>
      <c r="P1978" s="52"/>
    </row>
    <row r="1979">
      <c r="F1979" s="116" t="str">
        <f t="shared" si="1"/>
        <v/>
      </c>
      <c r="P1979" s="52"/>
    </row>
    <row r="1980">
      <c r="F1980" s="116" t="str">
        <f t="shared" si="1"/>
        <v/>
      </c>
      <c r="P1980" s="52"/>
    </row>
    <row r="1981">
      <c r="F1981" s="116" t="str">
        <f t="shared" si="1"/>
        <v/>
      </c>
      <c r="P1981" s="52"/>
    </row>
    <row r="1982">
      <c r="F1982" s="116" t="str">
        <f t="shared" si="1"/>
        <v/>
      </c>
      <c r="P1982" s="52"/>
    </row>
    <row r="1983">
      <c r="F1983" s="116" t="str">
        <f t="shared" si="1"/>
        <v/>
      </c>
      <c r="P1983" s="52"/>
    </row>
    <row r="1984">
      <c r="F1984" s="116" t="str">
        <f t="shared" si="1"/>
        <v/>
      </c>
      <c r="P1984" s="52"/>
    </row>
    <row r="1985">
      <c r="F1985" s="116" t="str">
        <f t="shared" si="1"/>
        <v/>
      </c>
      <c r="P1985" s="52"/>
    </row>
    <row r="1986">
      <c r="F1986" s="116" t="str">
        <f t="shared" si="1"/>
        <v/>
      </c>
      <c r="P1986" s="52"/>
    </row>
    <row r="1987">
      <c r="F1987" s="116" t="str">
        <f t="shared" si="1"/>
        <v/>
      </c>
      <c r="P1987" s="52"/>
    </row>
    <row r="1988">
      <c r="F1988" s="116" t="str">
        <f t="shared" si="1"/>
        <v/>
      </c>
      <c r="P1988" s="52"/>
    </row>
    <row r="1989">
      <c r="F1989" s="116" t="str">
        <f t="shared" si="1"/>
        <v/>
      </c>
      <c r="P1989" s="52"/>
    </row>
    <row r="1990">
      <c r="F1990" s="116" t="str">
        <f t="shared" si="1"/>
        <v/>
      </c>
      <c r="P1990" s="52"/>
    </row>
    <row r="1991">
      <c r="F1991" s="116" t="str">
        <f t="shared" si="1"/>
        <v/>
      </c>
      <c r="P1991" s="52"/>
    </row>
    <row r="1992">
      <c r="F1992" s="116" t="str">
        <f t="shared" si="1"/>
        <v/>
      </c>
      <c r="P1992" s="52"/>
    </row>
    <row r="1993">
      <c r="F1993" s="116" t="str">
        <f t="shared" si="1"/>
        <v/>
      </c>
      <c r="P1993" s="52"/>
    </row>
    <row r="1994">
      <c r="F1994" s="116" t="str">
        <f t="shared" si="1"/>
        <v/>
      </c>
      <c r="P1994" s="52"/>
    </row>
    <row r="1995">
      <c r="F1995" s="116" t="str">
        <f t="shared" si="1"/>
        <v/>
      </c>
      <c r="P1995" s="52"/>
    </row>
    <row r="1996">
      <c r="F1996" s="116" t="str">
        <f t="shared" si="1"/>
        <v/>
      </c>
      <c r="P1996" s="52"/>
    </row>
    <row r="1997">
      <c r="F1997" s="116" t="str">
        <f t="shared" si="1"/>
        <v/>
      </c>
      <c r="P1997" s="52"/>
    </row>
    <row r="1998">
      <c r="F1998" s="116" t="str">
        <f t="shared" si="1"/>
        <v/>
      </c>
      <c r="P1998" s="52"/>
    </row>
    <row r="1999">
      <c r="F1999" s="116" t="str">
        <f t="shared" si="1"/>
        <v/>
      </c>
      <c r="P1999" s="52"/>
    </row>
    <row r="2000">
      <c r="F2000" s="116" t="str">
        <f t="shared" si="1"/>
        <v/>
      </c>
      <c r="P2000" s="52"/>
    </row>
    <row r="2001">
      <c r="F2001" s="116" t="str">
        <f t="shared" si="1"/>
        <v/>
      </c>
      <c r="P2001" s="52"/>
    </row>
    <row r="2002">
      <c r="F2002" s="116" t="str">
        <f t="shared" si="1"/>
        <v/>
      </c>
      <c r="P2002" s="52"/>
    </row>
    <row r="2003">
      <c r="F2003" s="116" t="str">
        <f t="shared" si="1"/>
        <v/>
      </c>
      <c r="P2003" s="52"/>
    </row>
    <row r="2004">
      <c r="F2004" s="116" t="str">
        <f t="shared" si="1"/>
        <v/>
      </c>
      <c r="P2004" s="52"/>
    </row>
    <row r="2005">
      <c r="F2005" s="116" t="str">
        <f t="shared" si="1"/>
        <v/>
      </c>
      <c r="P2005" s="52"/>
    </row>
    <row r="2006">
      <c r="F2006" s="116" t="str">
        <f t="shared" si="1"/>
        <v/>
      </c>
      <c r="P2006" s="52"/>
    </row>
    <row r="2007">
      <c r="F2007" s="116" t="str">
        <f t="shared" si="1"/>
        <v/>
      </c>
      <c r="P2007" s="52"/>
    </row>
    <row r="2008">
      <c r="F2008" s="116" t="str">
        <f t="shared" si="1"/>
        <v/>
      </c>
      <c r="P2008" s="52"/>
    </row>
    <row r="2009">
      <c r="F2009" s="116" t="str">
        <f t="shared" si="1"/>
        <v/>
      </c>
      <c r="P2009" s="52"/>
    </row>
    <row r="2010">
      <c r="F2010" s="116" t="str">
        <f t="shared" si="1"/>
        <v/>
      </c>
      <c r="P2010" s="52"/>
    </row>
    <row r="2011">
      <c r="F2011" s="116" t="str">
        <f t="shared" si="1"/>
        <v/>
      </c>
      <c r="P2011" s="52"/>
    </row>
    <row r="2012">
      <c r="F2012" s="116" t="str">
        <f t="shared" si="1"/>
        <v/>
      </c>
      <c r="P2012" s="52"/>
    </row>
    <row r="2013">
      <c r="F2013" s="116" t="str">
        <f t="shared" si="1"/>
        <v/>
      </c>
      <c r="P2013" s="52"/>
    </row>
    <row r="2014">
      <c r="F2014" s="116" t="str">
        <f t="shared" si="1"/>
        <v/>
      </c>
      <c r="P2014" s="52"/>
    </row>
    <row r="2015">
      <c r="F2015" s="116" t="str">
        <f t="shared" si="1"/>
        <v/>
      </c>
      <c r="P2015" s="52"/>
    </row>
    <row r="2016">
      <c r="F2016" s="116" t="str">
        <f t="shared" si="1"/>
        <v/>
      </c>
      <c r="P2016" s="52"/>
    </row>
    <row r="2017">
      <c r="F2017" s="116" t="str">
        <f t="shared" si="1"/>
        <v/>
      </c>
      <c r="P2017" s="52"/>
    </row>
    <row r="2018">
      <c r="F2018" s="116" t="str">
        <f t="shared" si="1"/>
        <v/>
      </c>
      <c r="P2018" s="52"/>
    </row>
    <row r="2019">
      <c r="F2019" s="116" t="str">
        <f t="shared" si="1"/>
        <v/>
      </c>
      <c r="P2019" s="52"/>
    </row>
    <row r="2020">
      <c r="F2020" s="116" t="str">
        <f t="shared" si="1"/>
        <v/>
      </c>
      <c r="P2020" s="52"/>
    </row>
    <row r="2021">
      <c r="F2021" s="116" t="str">
        <f t="shared" si="1"/>
        <v/>
      </c>
      <c r="P2021" s="52"/>
    </row>
    <row r="2022">
      <c r="F2022" s="116" t="str">
        <f t="shared" si="1"/>
        <v/>
      </c>
      <c r="P2022" s="52"/>
    </row>
    <row r="2023">
      <c r="F2023" s="116" t="str">
        <f t="shared" si="1"/>
        <v/>
      </c>
      <c r="P2023" s="52"/>
    </row>
    <row r="2024">
      <c r="F2024" s="116" t="str">
        <f t="shared" si="1"/>
        <v/>
      </c>
      <c r="P2024" s="52"/>
    </row>
    <row r="2025">
      <c r="F2025" s="116" t="str">
        <f t="shared" si="1"/>
        <v/>
      </c>
      <c r="P2025" s="52"/>
    </row>
    <row r="2026">
      <c r="F2026" s="116" t="str">
        <f t="shared" si="1"/>
        <v/>
      </c>
      <c r="P2026" s="52"/>
    </row>
    <row r="2027">
      <c r="F2027" s="116" t="str">
        <f t="shared" si="1"/>
        <v/>
      </c>
      <c r="P2027" s="52"/>
    </row>
    <row r="2028">
      <c r="F2028" s="116" t="str">
        <f t="shared" si="1"/>
        <v/>
      </c>
      <c r="P2028" s="52"/>
    </row>
    <row r="2029">
      <c r="F2029" s="116" t="str">
        <f t="shared" si="1"/>
        <v/>
      </c>
      <c r="P2029" s="52"/>
    </row>
    <row r="2030">
      <c r="F2030" s="116" t="str">
        <f t="shared" si="1"/>
        <v/>
      </c>
      <c r="P2030" s="52"/>
    </row>
    <row r="2031">
      <c r="F2031" s="116" t="str">
        <f t="shared" si="1"/>
        <v/>
      </c>
      <c r="P2031" s="52"/>
    </row>
    <row r="2032">
      <c r="F2032" s="116" t="str">
        <f t="shared" si="1"/>
        <v/>
      </c>
      <c r="P2032" s="52"/>
    </row>
    <row r="2033">
      <c r="F2033" s="116" t="str">
        <f t="shared" si="1"/>
        <v/>
      </c>
      <c r="P2033" s="52"/>
    </row>
    <row r="2034">
      <c r="F2034" s="116" t="str">
        <f t="shared" si="1"/>
        <v/>
      </c>
      <c r="P2034" s="52"/>
    </row>
    <row r="2035">
      <c r="F2035" s="116" t="str">
        <f t="shared" si="1"/>
        <v/>
      </c>
      <c r="P2035" s="52"/>
    </row>
    <row r="2036">
      <c r="F2036" s="116" t="str">
        <f t="shared" si="1"/>
        <v/>
      </c>
      <c r="P2036" s="52"/>
    </row>
    <row r="2037">
      <c r="F2037" s="116" t="str">
        <f t="shared" si="1"/>
        <v/>
      </c>
      <c r="P2037" s="52"/>
    </row>
    <row r="2038">
      <c r="F2038" s="116" t="str">
        <f t="shared" si="1"/>
        <v/>
      </c>
      <c r="P2038" s="52"/>
    </row>
    <row r="2039">
      <c r="F2039" s="116" t="str">
        <f t="shared" si="1"/>
        <v/>
      </c>
      <c r="P2039" s="52"/>
    </row>
    <row r="2040">
      <c r="F2040" s="116" t="str">
        <f t="shared" si="1"/>
        <v/>
      </c>
      <c r="P2040" s="52"/>
    </row>
    <row r="2041">
      <c r="F2041" s="116" t="str">
        <f t="shared" si="1"/>
        <v/>
      </c>
      <c r="P2041" s="52"/>
    </row>
    <row r="2042">
      <c r="F2042" s="116" t="str">
        <f t="shared" si="1"/>
        <v/>
      </c>
      <c r="P2042" s="52"/>
    </row>
    <row r="2043">
      <c r="F2043" s="116" t="str">
        <f t="shared" si="1"/>
        <v/>
      </c>
      <c r="P2043" s="52"/>
    </row>
    <row r="2044">
      <c r="F2044" s="116" t="str">
        <f t="shared" si="1"/>
        <v/>
      </c>
      <c r="P2044" s="52"/>
    </row>
    <row r="2045">
      <c r="F2045" s="116" t="str">
        <f t="shared" si="1"/>
        <v/>
      </c>
      <c r="P2045" s="52"/>
    </row>
    <row r="2046">
      <c r="F2046" s="116" t="str">
        <f t="shared" si="1"/>
        <v/>
      </c>
      <c r="P2046" s="52"/>
    </row>
    <row r="2047">
      <c r="F2047" s="116" t="str">
        <f t="shared" si="1"/>
        <v/>
      </c>
      <c r="P2047" s="52"/>
    </row>
    <row r="2048">
      <c r="F2048" s="116" t="str">
        <f t="shared" si="1"/>
        <v/>
      </c>
      <c r="P2048" s="52"/>
    </row>
    <row r="2049">
      <c r="F2049" s="116" t="str">
        <f t="shared" si="1"/>
        <v/>
      </c>
      <c r="P2049" s="52"/>
    </row>
    <row r="2050">
      <c r="F2050" s="116" t="str">
        <f t="shared" si="1"/>
        <v/>
      </c>
      <c r="P2050" s="52"/>
    </row>
    <row r="2051">
      <c r="F2051" s="116" t="str">
        <f t="shared" si="1"/>
        <v/>
      </c>
      <c r="P2051" s="52"/>
    </row>
    <row r="2052">
      <c r="F2052" s="116" t="str">
        <f t="shared" si="1"/>
        <v/>
      </c>
      <c r="P2052" s="52"/>
    </row>
    <row r="2053">
      <c r="F2053" s="116" t="str">
        <f t="shared" si="1"/>
        <v/>
      </c>
      <c r="P2053" s="52"/>
    </row>
    <row r="2054">
      <c r="F2054" s="116" t="str">
        <f t="shared" si="1"/>
        <v/>
      </c>
      <c r="P2054" s="52"/>
    </row>
    <row r="2055">
      <c r="F2055" s="116" t="str">
        <f t="shared" si="1"/>
        <v/>
      </c>
      <c r="P2055" s="52"/>
    </row>
    <row r="2056">
      <c r="F2056" s="116" t="str">
        <f t="shared" si="1"/>
        <v/>
      </c>
      <c r="P2056" s="52"/>
    </row>
    <row r="2057">
      <c r="F2057" s="116" t="str">
        <f t="shared" si="1"/>
        <v/>
      </c>
      <c r="P2057" s="52"/>
    </row>
    <row r="2058">
      <c r="F2058" s="116" t="str">
        <f t="shared" si="1"/>
        <v/>
      </c>
      <c r="P2058" s="52"/>
    </row>
    <row r="2059">
      <c r="F2059" s="116" t="str">
        <f t="shared" si="1"/>
        <v/>
      </c>
      <c r="P2059" s="52"/>
    </row>
    <row r="2060">
      <c r="F2060" s="116" t="str">
        <f t="shared" si="1"/>
        <v/>
      </c>
      <c r="P2060" s="52"/>
    </row>
    <row r="2061">
      <c r="F2061" s="116" t="str">
        <f t="shared" si="1"/>
        <v/>
      </c>
      <c r="P2061" s="52"/>
    </row>
    <row r="2062">
      <c r="F2062" s="116" t="str">
        <f t="shared" si="1"/>
        <v/>
      </c>
      <c r="P2062" s="52"/>
    </row>
    <row r="2063">
      <c r="F2063" s="116" t="str">
        <f t="shared" si="1"/>
        <v/>
      </c>
      <c r="P2063" s="52"/>
    </row>
    <row r="2064">
      <c r="F2064" s="116" t="str">
        <f t="shared" si="1"/>
        <v/>
      </c>
      <c r="P2064" s="52"/>
    </row>
    <row r="2065">
      <c r="F2065" s="116" t="str">
        <f t="shared" si="1"/>
        <v/>
      </c>
      <c r="P2065" s="52"/>
    </row>
    <row r="2066">
      <c r="F2066" s="116" t="str">
        <f t="shared" si="1"/>
        <v/>
      </c>
      <c r="P2066" s="52"/>
    </row>
    <row r="2067">
      <c r="F2067" s="116" t="str">
        <f t="shared" si="1"/>
        <v/>
      </c>
      <c r="P2067" s="52"/>
    </row>
    <row r="2068">
      <c r="F2068" s="116" t="str">
        <f t="shared" si="1"/>
        <v/>
      </c>
      <c r="P2068" s="52"/>
    </row>
    <row r="2069">
      <c r="F2069" s="116" t="str">
        <f t="shared" si="1"/>
        <v/>
      </c>
      <c r="P2069" s="52"/>
    </row>
    <row r="2070">
      <c r="F2070" s="116" t="str">
        <f t="shared" si="1"/>
        <v/>
      </c>
      <c r="P2070" s="52"/>
    </row>
    <row r="2071">
      <c r="F2071" s="116" t="str">
        <f t="shared" si="1"/>
        <v/>
      </c>
      <c r="P2071" s="52"/>
    </row>
    <row r="2072">
      <c r="F2072" s="116" t="str">
        <f t="shared" si="1"/>
        <v/>
      </c>
      <c r="P2072" s="52"/>
    </row>
    <row r="2073">
      <c r="F2073" s="116" t="str">
        <f t="shared" si="1"/>
        <v/>
      </c>
      <c r="P2073" s="52"/>
    </row>
    <row r="2074">
      <c r="F2074" s="116" t="str">
        <f t="shared" si="1"/>
        <v/>
      </c>
      <c r="P2074" s="52"/>
    </row>
    <row r="2075">
      <c r="F2075" s="116" t="str">
        <f t="shared" si="1"/>
        <v/>
      </c>
      <c r="P2075" s="52"/>
    </row>
    <row r="2076">
      <c r="F2076" s="116" t="str">
        <f t="shared" si="1"/>
        <v/>
      </c>
      <c r="P2076" s="52"/>
    </row>
    <row r="2077">
      <c r="F2077" s="116" t="str">
        <f t="shared" si="1"/>
        <v/>
      </c>
      <c r="P2077" s="52"/>
    </row>
    <row r="2078">
      <c r="F2078" s="116" t="str">
        <f t="shared" si="1"/>
        <v/>
      </c>
      <c r="P2078" s="52"/>
    </row>
    <row r="2079">
      <c r="F2079" s="116" t="str">
        <f t="shared" si="1"/>
        <v/>
      </c>
      <c r="P2079" s="52"/>
    </row>
    <row r="2080">
      <c r="F2080" s="116" t="str">
        <f t="shared" si="1"/>
        <v/>
      </c>
      <c r="P2080" s="52"/>
    </row>
    <row r="2081">
      <c r="F2081" s="116" t="str">
        <f t="shared" si="1"/>
        <v/>
      </c>
      <c r="P2081" s="52"/>
    </row>
    <row r="2082">
      <c r="F2082" s="116" t="str">
        <f t="shared" si="1"/>
        <v/>
      </c>
      <c r="P2082" s="52"/>
    </row>
    <row r="2083">
      <c r="F2083" s="116" t="str">
        <f t="shared" si="1"/>
        <v/>
      </c>
      <c r="P2083" s="52"/>
    </row>
    <row r="2084">
      <c r="F2084" s="116" t="str">
        <f t="shared" si="1"/>
        <v/>
      </c>
      <c r="P2084" s="52"/>
    </row>
    <row r="2085">
      <c r="F2085" s="116" t="str">
        <f t="shared" si="1"/>
        <v/>
      </c>
      <c r="P2085" s="52"/>
    </row>
    <row r="2086">
      <c r="F2086" s="116" t="str">
        <f t="shared" si="1"/>
        <v/>
      </c>
      <c r="P2086" s="52"/>
    </row>
    <row r="2087">
      <c r="F2087" s="116" t="str">
        <f t="shared" si="1"/>
        <v/>
      </c>
      <c r="P2087" s="52"/>
    </row>
    <row r="2088">
      <c r="F2088" s="116" t="str">
        <f t="shared" si="1"/>
        <v/>
      </c>
      <c r="P2088" s="52"/>
    </row>
    <row r="2089">
      <c r="F2089" s="116" t="str">
        <f t="shared" si="1"/>
        <v/>
      </c>
      <c r="P2089" s="52"/>
    </row>
    <row r="2090">
      <c r="F2090" s="116" t="str">
        <f t="shared" si="1"/>
        <v/>
      </c>
      <c r="P2090" s="52"/>
    </row>
    <row r="2091">
      <c r="F2091" s="116" t="str">
        <f t="shared" si="1"/>
        <v/>
      </c>
      <c r="P2091" s="52"/>
    </row>
    <row r="2092">
      <c r="F2092" s="116" t="str">
        <f t="shared" si="1"/>
        <v/>
      </c>
      <c r="P2092" s="52"/>
    </row>
    <row r="2093">
      <c r="F2093" s="116" t="str">
        <f t="shared" si="1"/>
        <v/>
      </c>
      <c r="P2093" s="52"/>
    </row>
    <row r="2094">
      <c r="F2094" s="116" t="str">
        <f t="shared" si="1"/>
        <v/>
      </c>
      <c r="P2094" s="52"/>
    </row>
    <row r="2095">
      <c r="F2095" s="116" t="str">
        <f t="shared" si="1"/>
        <v/>
      </c>
      <c r="P2095" s="52"/>
    </row>
    <row r="2096">
      <c r="F2096" s="116" t="str">
        <f t="shared" si="1"/>
        <v/>
      </c>
      <c r="P2096" s="52"/>
    </row>
    <row r="2097">
      <c r="F2097" s="116" t="str">
        <f t="shared" si="1"/>
        <v/>
      </c>
      <c r="P2097" s="52"/>
    </row>
    <row r="2098">
      <c r="F2098" s="116" t="str">
        <f t="shared" si="1"/>
        <v/>
      </c>
      <c r="P2098" s="52"/>
    </row>
    <row r="2099">
      <c r="F2099" s="116" t="str">
        <f t="shared" si="1"/>
        <v/>
      </c>
      <c r="P2099" s="52"/>
    </row>
    <row r="2100">
      <c r="F2100" s="116" t="str">
        <f t="shared" si="1"/>
        <v/>
      </c>
      <c r="P2100" s="52"/>
    </row>
    <row r="2101">
      <c r="F2101" s="116" t="str">
        <f t="shared" si="1"/>
        <v/>
      </c>
      <c r="P2101" s="52"/>
    </row>
    <row r="2102">
      <c r="F2102" s="116" t="str">
        <f t="shared" si="1"/>
        <v/>
      </c>
      <c r="P2102" s="52"/>
    </row>
    <row r="2103">
      <c r="F2103" s="116" t="str">
        <f t="shared" si="1"/>
        <v/>
      </c>
      <c r="P2103" s="52"/>
    </row>
    <row r="2104">
      <c r="F2104" s="116" t="str">
        <f t="shared" si="1"/>
        <v/>
      </c>
      <c r="P2104" s="52"/>
    </row>
    <row r="2105">
      <c r="F2105" s="116" t="str">
        <f t="shared" si="1"/>
        <v/>
      </c>
      <c r="P2105" s="52"/>
    </row>
    <row r="2106">
      <c r="F2106" s="116" t="str">
        <f t="shared" si="1"/>
        <v/>
      </c>
      <c r="P2106" s="52"/>
    </row>
    <row r="2107">
      <c r="F2107" s="116" t="str">
        <f t="shared" si="1"/>
        <v/>
      </c>
      <c r="P2107" s="52"/>
    </row>
    <row r="2108">
      <c r="F2108" s="116" t="str">
        <f t="shared" si="1"/>
        <v/>
      </c>
      <c r="P2108" s="52"/>
    </row>
    <row r="2109">
      <c r="F2109" s="116" t="str">
        <f t="shared" si="1"/>
        <v/>
      </c>
      <c r="P2109" s="52"/>
    </row>
    <row r="2110">
      <c r="F2110" s="116" t="str">
        <f t="shared" si="1"/>
        <v/>
      </c>
      <c r="P2110" s="52"/>
    </row>
    <row r="2111">
      <c r="F2111" s="116" t="str">
        <f t="shared" si="1"/>
        <v/>
      </c>
      <c r="P2111" s="52"/>
    </row>
    <row r="2112">
      <c r="F2112" s="116" t="str">
        <f t="shared" si="1"/>
        <v/>
      </c>
      <c r="P2112" s="52"/>
    </row>
    <row r="2113">
      <c r="F2113" s="116" t="str">
        <f t="shared" si="1"/>
        <v/>
      </c>
      <c r="P2113" s="52"/>
    </row>
    <row r="2114">
      <c r="F2114" s="116" t="str">
        <f t="shared" si="1"/>
        <v/>
      </c>
      <c r="P2114" s="52"/>
    </row>
    <row r="2115">
      <c r="F2115" s="116" t="str">
        <f t="shared" si="1"/>
        <v/>
      </c>
      <c r="P2115" s="52"/>
    </row>
    <row r="2116">
      <c r="F2116" s="116" t="str">
        <f t="shared" si="1"/>
        <v/>
      </c>
      <c r="P2116" s="52"/>
    </row>
    <row r="2117">
      <c r="F2117" s="116" t="str">
        <f t="shared" si="1"/>
        <v/>
      </c>
      <c r="P2117" s="52"/>
    </row>
    <row r="2118">
      <c r="F2118" s="116" t="str">
        <f t="shared" si="1"/>
        <v/>
      </c>
      <c r="P2118" s="52"/>
    </row>
    <row r="2119">
      <c r="F2119" s="116" t="str">
        <f t="shared" si="1"/>
        <v/>
      </c>
      <c r="P2119" s="52"/>
    </row>
    <row r="2120">
      <c r="F2120" s="116" t="str">
        <f t="shared" si="1"/>
        <v/>
      </c>
      <c r="P2120" s="52"/>
    </row>
    <row r="2121">
      <c r="F2121" s="116" t="str">
        <f t="shared" si="1"/>
        <v/>
      </c>
      <c r="P2121" s="52"/>
    </row>
    <row r="2122">
      <c r="F2122" s="116" t="str">
        <f t="shared" si="1"/>
        <v/>
      </c>
      <c r="P2122" s="52"/>
    </row>
    <row r="2123">
      <c r="F2123" s="116" t="str">
        <f t="shared" si="1"/>
        <v/>
      </c>
      <c r="P2123" s="52"/>
    </row>
    <row r="2124">
      <c r="F2124" s="116" t="str">
        <f t="shared" si="1"/>
        <v/>
      </c>
      <c r="P2124" s="52"/>
    </row>
    <row r="2125">
      <c r="F2125" s="116" t="str">
        <f t="shared" si="1"/>
        <v/>
      </c>
      <c r="P2125" s="52"/>
    </row>
    <row r="2126">
      <c r="F2126" s="116" t="str">
        <f t="shared" si="1"/>
        <v/>
      </c>
      <c r="P2126" s="52"/>
    </row>
    <row r="2127">
      <c r="F2127" s="116" t="str">
        <f t="shared" si="1"/>
        <v/>
      </c>
      <c r="P2127" s="52"/>
    </row>
    <row r="2128">
      <c r="F2128" s="116" t="str">
        <f t="shared" si="1"/>
        <v/>
      </c>
      <c r="P2128" s="52"/>
    </row>
    <row r="2129">
      <c r="F2129" s="116" t="str">
        <f t="shared" si="1"/>
        <v/>
      </c>
      <c r="P2129" s="52"/>
    </row>
    <row r="2130">
      <c r="F2130" s="116" t="str">
        <f t="shared" si="1"/>
        <v/>
      </c>
      <c r="P2130" s="52"/>
    </row>
    <row r="2131">
      <c r="F2131" s="116" t="str">
        <f t="shared" si="1"/>
        <v/>
      </c>
      <c r="P2131" s="52"/>
    </row>
    <row r="2132">
      <c r="F2132" s="116" t="str">
        <f t="shared" si="1"/>
        <v/>
      </c>
      <c r="P2132" s="52"/>
    </row>
    <row r="2133">
      <c r="F2133" s="116" t="str">
        <f t="shared" si="1"/>
        <v/>
      </c>
      <c r="P2133" s="52"/>
    </row>
    <row r="2134">
      <c r="F2134" s="116" t="str">
        <f t="shared" si="1"/>
        <v/>
      </c>
      <c r="P2134" s="52"/>
    </row>
    <row r="2135">
      <c r="F2135" s="116" t="str">
        <f t="shared" si="1"/>
        <v/>
      </c>
      <c r="P2135" s="52"/>
    </row>
    <row r="2136">
      <c r="F2136" s="116" t="str">
        <f t="shared" si="1"/>
        <v/>
      </c>
      <c r="P2136" s="52"/>
    </row>
    <row r="2137">
      <c r="F2137" s="116" t="str">
        <f t="shared" si="1"/>
        <v/>
      </c>
      <c r="P2137" s="52"/>
    </row>
    <row r="2138">
      <c r="F2138" s="116" t="str">
        <f t="shared" si="1"/>
        <v/>
      </c>
      <c r="P2138" s="52"/>
    </row>
    <row r="2139">
      <c r="F2139" s="116" t="str">
        <f t="shared" si="1"/>
        <v/>
      </c>
      <c r="P2139" s="52"/>
    </row>
    <row r="2140">
      <c r="F2140" s="116" t="str">
        <f t="shared" si="1"/>
        <v/>
      </c>
      <c r="P2140" s="52"/>
    </row>
    <row r="2141">
      <c r="F2141" s="116" t="str">
        <f t="shared" si="1"/>
        <v/>
      </c>
      <c r="P2141" s="52"/>
    </row>
    <row r="2142">
      <c r="F2142" s="116" t="str">
        <f t="shared" si="1"/>
        <v/>
      </c>
      <c r="P2142" s="52"/>
    </row>
    <row r="2143">
      <c r="F2143" s="116" t="str">
        <f t="shared" si="1"/>
        <v/>
      </c>
      <c r="P2143" s="52"/>
    </row>
    <row r="2144">
      <c r="F2144" s="116" t="str">
        <f t="shared" si="1"/>
        <v/>
      </c>
      <c r="P2144" s="52"/>
    </row>
    <row r="2145">
      <c r="F2145" s="116" t="str">
        <f t="shared" si="1"/>
        <v/>
      </c>
      <c r="P2145" s="52"/>
    </row>
    <row r="2146">
      <c r="F2146" s="116" t="str">
        <f t="shared" si="1"/>
        <v/>
      </c>
      <c r="P2146" s="52"/>
    </row>
    <row r="2147">
      <c r="F2147" s="116" t="str">
        <f t="shared" si="1"/>
        <v/>
      </c>
      <c r="P2147" s="52"/>
    </row>
    <row r="2148">
      <c r="F2148" s="116" t="str">
        <f t="shared" si="1"/>
        <v/>
      </c>
      <c r="P2148" s="52"/>
    </row>
    <row r="2149">
      <c r="F2149" s="116" t="str">
        <f t="shared" si="1"/>
        <v/>
      </c>
      <c r="P2149" s="52"/>
    </row>
    <row r="2150">
      <c r="F2150" s="116" t="str">
        <f t="shared" si="1"/>
        <v/>
      </c>
      <c r="P2150" s="52"/>
    </row>
    <row r="2151">
      <c r="F2151" s="116" t="str">
        <f t="shared" si="1"/>
        <v/>
      </c>
      <c r="P2151" s="52"/>
    </row>
    <row r="2152">
      <c r="F2152" s="116" t="str">
        <f t="shared" si="1"/>
        <v/>
      </c>
      <c r="P2152" s="52"/>
    </row>
    <row r="2153">
      <c r="F2153" s="116" t="str">
        <f t="shared" si="1"/>
        <v/>
      </c>
      <c r="P2153" s="52"/>
    </row>
    <row r="2154">
      <c r="F2154" s="116" t="str">
        <f t="shared" si="1"/>
        <v/>
      </c>
      <c r="P2154" s="52"/>
    </row>
    <row r="2155">
      <c r="F2155" s="116" t="str">
        <f t="shared" si="1"/>
        <v/>
      </c>
      <c r="P2155" s="52"/>
    </row>
    <row r="2156">
      <c r="F2156" s="116" t="str">
        <f t="shared" si="1"/>
        <v/>
      </c>
      <c r="P2156" s="52"/>
    </row>
    <row r="2157">
      <c r="F2157" s="116" t="str">
        <f t="shared" si="1"/>
        <v/>
      </c>
      <c r="P2157" s="52"/>
    </row>
    <row r="2158">
      <c r="F2158" s="116" t="str">
        <f t="shared" si="1"/>
        <v/>
      </c>
      <c r="P2158" s="52"/>
    </row>
    <row r="2159">
      <c r="F2159" s="116" t="str">
        <f t="shared" si="1"/>
        <v/>
      </c>
      <c r="P2159" s="52"/>
    </row>
    <row r="2160">
      <c r="F2160" s="116" t="str">
        <f t="shared" si="1"/>
        <v/>
      </c>
      <c r="P2160" s="52"/>
    </row>
    <row r="2161">
      <c r="F2161" s="116" t="str">
        <f t="shared" si="1"/>
        <v/>
      </c>
      <c r="P2161" s="52"/>
    </row>
    <row r="2162">
      <c r="F2162" s="116" t="str">
        <f t="shared" si="1"/>
        <v/>
      </c>
      <c r="P2162" s="52"/>
    </row>
    <row r="2163">
      <c r="F2163" s="116" t="str">
        <f t="shared" si="1"/>
        <v/>
      </c>
      <c r="P2163" s="52"/>
    </row>
    <row r="2164">
      <c r="F2164" s="116" t="str">
        <f t="shared" si="1"/>
        <v/>
      </c>
      <c r="P2164" s="52"/>
    </row>
    <row r="2165">
      <c r="F2165" s="116" t="str">
        <f t="shared" si="1"/>
        <v/>
      </c>
      <c r="P2165" s="52"/>
    </row>
    <row r="2166">
      <c r="F2166" s="116" t="str">
        <f t="shared" si="1"/>
        <v/>
      </c>
      <c r="P2166" s="52"/>
    </row>
    <row r="2167">
      <c r="F2167" s="116" t="str">
        <f t="shared" si="1"/>
        <v/>
      </c>
      <c r="P2167" s="52"/>
    </row>
    <row r="2168">
      <c r="F2168" s="116" t="str">
        <f t="shared" si="1"/>
        <v/>
      </c>
      <c r="P2168" s="52"/>
    </row>
    <row r="2169">
      <c r="F2169" s="116" t="str">
        <f t="shared" si="1"/>
        <v/>
      </c>
      <c r="P2169" s="52"/>
    </row>
    <row r="2170">
      <c r="F2170" s="116" t="str">
        <f t="shared" si="1"/>
        <v/>
      </c>
      <c r="P2170" s="52"/>
    </row>
    <row r="2171">
      <c r="F2171" s="116" t="str">
        <f t="shared" si="1"/>
        <v/>
      </c>
      <c r="P2171" s="52"/>
    </row>
    <row r="2172">
      <c r="F2172" s="116" t="str">
        <f t="shared" si="1"/>
        <v/>
      </c>
      <c r="P2172" s="52"/>
    </row>
    <row r="2173">
      <c r="F2173" s="116" t="str">
        <f t="shared" si="1"/>
        <v/>
      </c>
      <c r="P2173" s="52"/>
    </row>
    <row r="2174">
      <c r="F2174" s="116" t="str">
        <f t="shared" si="1"/>
        <v/>
      </c>
      <c r="P2174" s="52"/>
    </row>
    <row r="2175">
      <c r="F2175" s="116" t="str">
        <f t="shared" si="1"/>
        <v/>
      </c>
      <c r="P2175" s="52"/>
    </row>
    <row r="2176">
      <c r="F2176" s="116" t="str">
        <f t="shared" si="1"/>
        <v/>
      </c>
      <c r="P2176" s="52"/>
    </row>
    <row r="2177">
      <c r="F2177" s="116" t="str">
        <f t="shared" si="1"/>
        <v/>
      </c>
      <c r="P2177" s="52"/>
    </row>
    <row r="2178">
      <c r="F2178" s="116" t="str">
        <f t="shared" si="1"/>
        <v/>
      </c>
      <c r="P2178" s="52"/>
    </row>
    <row r="2179">
      <c r="F2179" s="116" t="str">
        <f t="shared" si="1"/>
        <v/>
      </c>
      <c r="P2179" s="52"/>
    </row>
    <row r="2180">
      <c r="F2180" s="116" t="str">
        <f t="shared" si="1"/>
        <v/>
      </c>
      <c r="P2180" s="52"/>
    </row>
    <row r="2181">
      <c r="F2181" s="116" t="str">
        <f t="shared" si="1"/>
        <v/>
      </c>
      <c r="P2181" s="52"/>
    </row>
    <row r="2182">
      <c r="F2182" s="116" t="str">
        <f t="shared" si="1"/>
        <v/>
      </c>
      <c r="P2182" s="52"/>
    </row>
    <row r="2183">
      <c r="F2183" s="116" t="str">
        <f t="shared" si="1"/>
        <v/>
      </c>
      <c r="P2183" s="52"/>
    </row>
    <row r="2184">
      <c r="F2184" s="116" t="str">
        <f t="shared" si="1"/>
        <v/>
      </c>
      <c r="P2184" s="52"/>
    </row>
    <row r="2185">
      <c r="F2185" s="116" t="str">
        <f t="shared" si="1"/>
        <v/>
      </c>
      <c r="P2185" s="52"/>
    </row>
    <row r="2186">
      <c r="F2186" s="116" t="str">
        <f t="shared" si="1"/>
        <v/>
      </c>
      <c r="P2186" s="52"/>
    </row>
    <row r="2187">
      <c r="F2187" s="116" t="str">
        <f t="shared" si="1"/>
        <v/>
      </c>
      <c r="P2187" s="52"/>
    </row>
    <row r="2188">
      <c r="F2188" s="116" t="str">
        <f t="shared" si="1"/>
        <v/>
      </c>
      <c r="P2188" s="52"/>
    </row>
    <row r="2189">
      <c r="F2189" s="116" t="str">
        <f t="shared" si="1"/>
        <v/>
      </c>
      <c r="P2189" s="52"/>
    </row>
    <row r="2190">
      <c r="F2190" s="116" t="str">
        <f t="shared" si="1"/>
        <v/>
      </c>
      <c r="P2190" s="52"/>
    </row>
    <row r="2191">
      <c r="F2191" s="116" t="str">
        <f t="shared" si="1"/>
        <v/>
      </c>
      <c r="P2191" s="52"/>
    </row>
    <row r="2192">
      <c r="F2192" s="116" t="str">
        <f t="shared" si="1"/>
        <v/>
      </c>
      <c r="P2192" s="52"/>
    </row>
    <row r="2193">
      <c r="F2193" s="116" t="str">
        <f t="shared" si="1"/>
        <v/>
      </c>
      <c r="P2193" s="52"/>
    </row>
    <row r="2194">
      <c r="F2194" s="116" t="str">
        <f t="shared" si="1"/>
        <v/>
      </c>
      <c r="P2194" s="52"/>
    </row>
    <row r="2195">
      <c r="F2195" s="116" t="str">
        <f t="shared" si="1"/>
        <v/>
      </c>
      <c r="P2195" s="52"/>
    </row>
    <row r="2196">
      <c r="F2196" s="116" t="str">
        <f t="shared" si="1"/>
        <v/>
      </c>
      <c r="P2196" s="52"/>
    </row>
    <row r="2197">
      <c r="F2197" s="116" t="str">
        <f t="shared" si="1"/>
        <v/>
      </c>
      <c r="P2197" s="52"/>
    </row>
    <row r="2198">
      <c r="F2198" s="116" t="str">
        <f t="shared" si="1"/>
        <v/>
      </c>
      <c r="P2198" s="52"/>
    </row>
    <row r="2199">
      <c r="F2199" s="116" t="str">
        <f t="shared" si="1"/>
        <v/>
      </c>
      <c r="P2199" s="52"/>
    </row>
    <row r="2200">
      <c r="F2200" s="116" t="str">
        <f t="shared" si="1"/>
        <v/>
      </c>
      <c r="P2200" s="52"/>
    </row>
    <row r="2201">
      <c r="F2201" s="116" t="str">
        <f t="shared" si="1"/>
        <v/>
      </c>
      <c r="P2201" s="52"/>
    </row>
    <row r="2202">
      <c r="F2202" s="116" t="str">
        <f t="shared" si="1"/>
        <v/>
      </c>
      <c r="P2202" s="52"/>
    </row>
    <row r="2203">
      <c r="F2203" s="116" t="str">
        <f t="shared" si="1"/>
        <v/>
      </c>
      <c r="P2203" s="52"/>
    </row>
    <row r="2204">
      <c r="F2204" s="116" t="str">
        <f t="shared" si="1"/>
        <v/>
      </c>
      <c r="P2204" s="52"/>
    </row>
    <row r="2205">
      <c r="F2205" s="116" t="str">
        <f t="shared" si="1"/>
        <v/>
      </c>
      <c r="P2205" s="52"/>
    </row>
    <row r="2206">
      <c r="F2206" s="116" t="str">
        <f t="shared" si="1"/>
        <v/>
      </c>
      <c r="P2206" s="52"/>
    </row>
    <row r="2207">
      <c r="F2207" s="116" t="str">
        <f t="shared" si="1"/>
        <v/>
      </c>
      <c r="P2207" s="52"/>
    </row>
    <row r="2208">
      <c r="F2208" s="116" t="str">
        <f t="shared" si="1"/>
        <v/>
      </c>
      <c r="P2208" s="52"/>
    </row>
    <row r="2209">
      <c r="F2209" s="116" t="str">
        <f t="shared" si="1"/>
        <v/>
      </c>
      <c r="P2209" s="52"/>
    </row>
    <row r="2210">
      <c r="F2210" s="116" t="str">
        <f t="shared" si="1"/>
        <v/>
      </c>
      <c r="P2210" s="52"/>
    </row>
    <row r="2211">
      <c r="F2211" s="116" t="str">
        <f t="shared" si="1"/>
        <v/>
      </c>
      <c r="P2211" s="52"/>
    </row>
    <row r="2212">
      <c r="F2212" s="116" t="str">
        <f t="shared" si="1"/>
        <v/>
      </c>
      <c r="P2212" s="52"/>
    </row>
    <row r="2213">
      <c r="F2213" s="116" t="str">
        <f t="shared" si="1"/>
        <v/>
      </c>
      <c r="P2213" s="52"/>
    </row>
    <row r="2214">
      <c r="F2214" s="116" t="str">
        <f t="shared" si="1"/>
        <v/>
      </c>
      <c r="P2214" s="52"/>
    </row>
    <row r="2215">
      <c r="F2215" s="116" t="str">
        <f t="shared" si="1"/>
        <v/>
      </c>
      <c r="P2215" s="52"/>
    </row>
    <row r="2216">
      <c r="F2216" s="116" t="str">
        <f t="shared" si="1"/>
        <v/>
      </c>
      <c r="P2216" s="52"/>
    </row>
    <row r="2217">
      <c r="F2217" s="116" t="str">
        <f t="shared" si="1"/>
        <v/>
      </c>
      <c r="P2217" s="52"/>
    </row>
    <row r="2218">
      <c r="F2218" s="116" t="str">
        <f t="shared" si="1"/>
        <v/>
      </c>
      <c r="P2218" s="52"/>
    </row>
    <row r="2219">
      <c r="F2219" s="116" t="str">
        <f t="shared" si="1"/>
        <v/>
      </c>
      <c r="P2219" s="52"/>
    </row>
    <row r="2220">
      <c r="F2220" s="116" t="str">
        <f t="shared" si="1"/>
        <v/>
      </c>
      <c r="P2220" s="52"/>
    </row>
    <row r="2221">
      <c r="F2221" s="116" t="str">
        <f t="shared" si="1"/>
        <v/>
      </c>
      <c r="P2221" s="52"/>
    </row>
    <row r="2222">
      <c r="F2222" s="116" t="str">
        <f t="shared" si="1"/>
        <v/>
      </c>
      <c r="P2222" s="52"/>
    </row>
    <row r="2223">
      <c r="F2223" s="116" t="str">
        <f t="shared" si="1"/>
        <v/>
      </c>
      <c r="P2223" s="52"/>
    </row>
    <row r="2224">
      <c r="F2224" s="116" t="str">
        <f t="shared" si="1"/>
        <v/>
      </c>
      <c r="P2224" s="52"/>
    </row>
    <row r="2225">
      <c r="F2225" s="116" t="str">
        <f t="shared" si="1"/>
        <v/>
      </c>
      <c r="P2225" s="52"/>
    </row>
    <row r="2226">
      <c r="F2226" s="116" t="str">
        <f t="shared" si="1"/>
        <v/>
      </c>
      <c r="P2226" s="52"/>
    </row>
    <row r="2227">
      <c r="F2227" s="116" t="str">
        <f t="shared" si="1"/>
        <v/>
      </c>
      <c r="P2227" s="52"/>
    </row>
    <row r="2228">
      <c r="F2228" s="116" t="str">
        <f t="shared" si="1"/>
        <v/>
      </c>
      <c r="P2228" s="52"/>
    </row>
    <row r="2229">
      <c r="F2229" s="116" t="str">
        <f t="shared" si="1"/>
        <v/>
      </c>
      <c r="P2229" s="52"/>
    </row>
    <row r="2230">
      <c r="F2230" s="116" t="str">
        <f t="shared" si="1"/>
        <v/>
      </c>
      <c r="P2230" s="52"/>
    </row>
    <row r="2231">
      <c r="F2231" s="116" t="str">
        <f t="shared" si="1"/>
        <v/>
      </c>
      <c r="P2231" s="52"/>
    </row>
    <row r="2232">
      <c r="F2232" s="116" t="str">
        <f t="shared" si="1"/>
        <v/>
      </c>
      <c r="P2232" s="52"/>
    </row>
    <row r="2233">
      <c r="F2233" s="116" t="str">
        <f t="shared" si="1"/>
        <v/>
      </c>
      <c r="P2233" s="52"/>
    </row>
    <row r="2234">
      <c r="F2234" s="116" t="str">
        <f t="shared" si="1"/>
        <v/>
      </c>
      <c r="P2234" s="52"/>
    </row>
    <row r="2235">
      <c r="F2235" s="116" t="str">
        <f t="shared" si="1"/>
        <v/>
      </c>
      <c r="P2235" s="52"/>
    </row>
    <row r="2236">
      <c r="F2236" s="116" t="str">
        <f t="shared" si="1"/>
        <v/>
      </c>
      <c r="P2236" s="52"/>
    </row>
    <row r="2237">
      <c r="F2237" s="116" t="str">
        <f t="shared" si="1"/>
        <v/>
      </c>
      <c r="P2237" s="52"/>
    </row>
    <row r="2238">
      <c r="F2238" s="116" t="str">
        <f t="shared" si="1"/>
        <v/>
      </c>
      <c r="P2238" s="52"/>
    </row>
    <row r="2239">
      <c r="F2239" s="116" t="str">
        <f t="shared" si="1"/>
        <v/>
      </c>
      <c r="P2239" s="52"/>
    </row>
    <row r="2240">
      <c r="F2240" s="116" t="str">
        <f t="shared" si="1"/>
        <v/>
      </c>
      <c r="P2240" s="52"/>
    </row>
    <row r="2241">
      <c r="F2241" s="116" t="str">
        <f t="shared" si="1"/>
        <v/>
      </c>
      <c r="P2241" s="52"/>
    </row>
    <row r="2242">
      <c r="F2242" s="116" t="str">
        <f t="shared" si="1"/>
        <v/>
      </c>
      <c r="P2242" s="52"/>
    </row>
    <row r="2243">
      <c r="F2243" s="116" t="str">
        <f t="shared" si="1"/>
        <v/>
      </c>
      <c r="P2243" s="52"/>
    </row>
    <row r="2244">
      <c r="F2244" s="116" t="str">
        <f t="shared" si="1"/>
        <v/>
      </c>
      <c r="P2244" s="52"/>
    </row>
    <row r="2245">
      <c r="F2245" s="116" t="str">
        <f t="shared" si="1"/>
        <v/>
      </c>
      <c r="P2245" s="52"/>
    </row>
    <row r="2246">
      <c r="F2246" s="116" t="str">
        <f t="shared" si="1"/>
        <v/>
      </c>
      <c r="P2246" s="52"/>
    </row>
    <row r="2247">
      <c r="F2247" s="116" t="str">
        <f t="shared" si="1"/>
        <v/>
      </c>
      <c r="P2247" s="52"/>
    </row>
    <row r="2248">
      <c r="F2248" s="116" t="str">
        <f t="shared" si="1"/>
        <v/>
      </c>
      <c r="P2248" s="52"/>
    </row>
    <row r="2249">
      <c r="F2249" s="116" t="str">
        <f t="shared" si="1"/>
        <v/>
      </c>
      <c r="P2249" s="52"/>
    </row>
    <row r="2250">
      <c r="F2250" s="116" t="str">
        <f t="shared" si="1"/>
        <v/>
      </c>
      <c r="P2250" s="52"/>
    </row>
    <row r="2251">
      <c r="F2251" s="116" t="str">
        <f t="shared" si="1"/>
        <v/>
      </c>
      <c r="P2251" s="52"/>
    </row>
    <row r="2252">
      <c r="F2252" s="116" t="str">
        <f t="shared" si="1"/>
        <v/>
      </c>
      <c r="P2252" s="52"/>
    </row>
    <row r="2253">
      <c r="F2253" s="116" t="str">
        <f t="shared" si="1"/>
        <v/>
      </c>
      <c r="P2253" s="52"/>
    </row>
    <row r="2254">
      <c r="F2254" s="116" t="str">
        <f t="shared" si="1"/>
        <v/>
      </c>
      <c r="P2254" s="52"/>
    </row>
    <row r="2255">
      <c r="F2255" s="116" t="str">
        <f t="shared" si="1"/>
        <v/>
      </c>
      <c r="P2255" s="52"/>
    </row>
    <row r="2256">
      <c r="F2256" s="116" t="str">
        <f t="shared" si="1"/>
        <v/>
      </c>
      <c r="P2256" s="52"/>
    </row>
    <row r="2257">
      <c r="F2257" s="116" t="str">
        <f t="shared" si="1"/>
        <v/>
      </c>
      <c r="P2257" s="52"/>
    </row>
    <row r="2258">
      <c r="F2258" s="116" t="str">
        <f t="shared" si="1"/>
        <v/>
      </c>
      <c r="P2258" s="52"/>
    </row>
    <row r="2259">
      <c r="F2259" s="116" t="str">
        <f t="shared" si="1"/>
        <v/>
      </c>
      <c r="P2259" s="52"/>
    </row>
    <row r="2260">
      <c r="F2260" s="116" t="str">
        <f t="shared" si="1"/>
        <v/>
      </c>
      <c r="P2260" s="52"/>
    </row>
    <row r="2261">
      <c r="F2261" s="116" t="str">
        <f t="shared" si="1"/>
        <v/>
      </c>
      <c r="P2261" s="52"/>
    </row>
    <row r="2262">
      <c r="F2262" s="116" t="str">
        <f t="shared" si="1"/>
        <v/>
      </c>
      <c r="P2262" s="52"/>
    </row>
    <row r="2263">
      <c r="F2263" s="116" t="str">
        <f t="shared" si="1"/>
        <v/>
      </c>
      <c r="P2263" s="52"/>
    </row>
    <row r="2264">
      <c r="F2264" s="116" t="str">
        <f t="shared" si="1"/>
        <v/>
      </c>
      <c r="P2264" s="52"/>
    </row>
    <row r="2265">
      <c r="F2265" s="116" t="str">
        <f t="shared" si="1"/>
        <v/>
      </c>
      <c r="P2265" s="52"/>
    </row>
    <row r="2266">
      <c r="F2266" s="116" t="str">
        <f t="shared" si="1"/>
        <v/>
      </c>
      <c r="P2266" s="52"/>
    </row>
    <row r="2267">
      <c r="F2267" s="116" t="str">
        <f t="shared" si="1"/>
        <v/>
      </c>
      <c r="P2267" s="52"/>
    </row>
    <row r="2268">
      <c r="F2268" s="116" t="str">
        <f t="shared" si="1"/>
        <v/>
      </c>
      <c r="P2268" s="52"/>
    </row>
    <row r="2269">
      <c r="F2269" s="116" t="str">
        <f t="shared" si="1"/>
        <v/>
      </c>
      <c r="P2269" s="52"/>
    </row>
    <row r="2270">
      <c r="F2270" s="116" t="str">
        <f t="shared" si="1"/>
        <v/>
      </c>
      <c r="P2270" s="52"/>
    </row>
    <row r="2271">
      <c r="F2271" s="116" t="str">
        <f t="shared" si="1"/>
        <v/>
      </c>
      <c r="P2271" s="52"/>
    </row>
    <row r="2272">
      <c r="F2272" s="116" t="str">
        <f t="shared" si="1"/>
        <v/>
      </c>
      <c r="P2272" s="52"/>
    </row>
    <row r="2273">
      <c r="F2273" s="116" t="str">
        <f t="shared" si="1"/>
        <v/>
      </c>
      <c r="P2273" s="52"/>
    </row>
    <row r="2274">
      <c r="F2274" s="116" t="str">
        <f t="shared" si="1"/>
        <v/>
      </c>
      <c r="P2274" s="52"/>
    </row>
    <row r="2275">
      <c r="F2275" s="116" t="str">
        <f t="shared" si="1"/>
        <v/>
      </c>
      <c r="P2275" s="52"/>
    </row>
    <row r="2276">
      <c r="F2276" s="116" t="str">
        <f t="shared" si="1"/>
        <v/>
      </c>
      <c r="P2276" s="52"/>
    </row>
    <row r="2277">
      <c r="F2277" s="116" t="str">
        <f t="shared" si="1"/>
        <v/>
      </c>
      <c r="P2277" s="52"/>
    </row>
    <row r="2278">
      <c r="F2278" s="116" t="str">
        <f t="shared" si="1"/>
        <v/>
      </c>
      <c r="P2278" s="52"/>
    </row>
    <row r="2279">
      <c r="F2279" s="116" t="str">
        <f t="shared" si="1"/>
        <v/>
      </c>
      <c r="P2279" s="52"/>
    </row>
    <row r="2280">
      <c r="F2280" s="116" t="str">
        <f t="shared" si="1"/>
        <v/>
      </c>
      <c r="P2280" s="52"/>
    </row>
    <row r="2281">
      <c r="F2281" s="116" t="str">
        <f t="shared" si="1"/>
        <v/>
      </c>
      <c r="P2281" s="52"/>
    </row>
    <row r="2282">
      <c r="F2282" s="116" t="str">
        <f t="shared" si="1"/>
        <v/>
      </c>
      <c r="P2282" s="52"/>
    </row>
    <row r="2283">
      <c r="F2283" s="116" t="str">
        <f t="shared" si="1"/>
        <v/>
      </c>
      <c r="P2283" s="52"/>
    </row>
    <row r="2284">
      <c r="F2284" s="116" t="str">
        <f t="shared" si="1"/>
        <v/>
      </c>
      <c r="P2284" s="52"/>
    </row>
    <row r="2285">
      <c r="F2285" s="116" t="str">
        <f t="shared" si="1"/>
        <v/>
      </c>
      <c r="P2285" s="52"/>
    </row>
    <row r="2286">
      <c r="F2286" s="116" t="str">
        <f t="shared" si="1"/>
        <v/>
      </c>
      <c r="P2286" s="52"/>
    </row>
    <row r="2287">
      <c r="F2287" s="116" t="str">
        <f t="shared" si="1"/>
        <v/>
      </c>
      <c r="P2287" s="52"/>
    </row>
    <row r="2288">
      <c r="F2288" s="116" t="str">
        <f t="shared" si="1"/>
        <v/>
      </c>
      <c r="P2288" s="52"/>
    </row>
    <row r="2289">
      <c r="F2289" s="116" t="str">
        <f t="shared" si="1"/>
        <v/>
      </c>
      <c r="P2289" s="52"/>
    </row>
    <row r="2290">
      <c r="F2290" s="116" t="str">
        <f t="shared" si="1"/>
        <v/>
      </c>
      <c r="P2290" s="52"/>
    </row>
    <row r="2291">
      <c r="F2291" s="116" t="str">
        <f t="shared" si="1"/>
        <v/>
      </c>
      <c r="P2291" s="52"/>
    </row>
    <row r="2292">
      <c r="F2292" s="116" t="str">
        <f t="shared" si="1"/>
        <v/>
      </c>
      <c r="P2292" s="52"/>
    </row>
    <row r="2293">
      <c r="F2293" s="116" t="str">
        <f t="shared" si="1"/>
        <v/>
      </c>
      <c r="P2293" s="52"/>
    </row>
    <row r="2294">
      <c r="F2294" s="116" t="str">
        <f t="shared" si="1"/>
        <v/>
      </c>
      <c r="P2294" s="52"/>
    </row>
    <row r="2295">
      <c r="F2295" s="116" t="str">
        <f t="shared" si="1"/>
        <v/>
      </c>
      <c r="P2295" s="52"/>
    </row>
    <row r="2296">
      <c r="F2296" s="116" t="str">
        <f t="shared" si="1"/>
        <v/>
      </c>
      <c r="P2296" s="52"/>
    </row>
    <row r="2297">
      <c r="F2297" s="116" t="str">
        <f t="shared" si="1"/>
        <v/>
      </c>
      <c r="P2297" s="52"/>
    </row>
    <row r="2298">
      <c r="F2298" s="116" t="str">
        <f t="shared" si="1"/>
        <v/>
      </c>
      <c r="P2298" s="52"/>
    </row>
    <row r="2299">
      <c r="F2299" s="116" t="str">
        <f t="shared" si="1"/>
        <v/>
      </c>
      <c r="P2299" s="52"/>
    </row>
    <row r="2300">
      <c r="F2300" s="116" t="str">
        <f t="shared" si="1"/>
        <v/>
      </c>
      <c r="P2300" s="52"/>
    </row>
    <row r="2301">
      <c r="F2301" s="116" t="str">
        <f t="shared" si="1"/>
        <v/>
      </c>
      <c r="P2301" s="52"/>
    </row>
    <row r="2302">
      <c r="F2302" s="116" t="str">
        <f t="shared" si="1"/>
        <v/>
      </c>
      <c r="P2302" s="52"/>
    </row>
    <row r="2303">
      <c r="F2303" s="116" t="str">
        <f t="shared" si="1"/>
        <v/>
      </c>
      <c r="P2303" s="52"/>
    </row>
    <row r="2304">
      <c r="F2304" s="116" t="str">
        <f t="shared" si="1"/>
        <v/>
      </c>
      <c r="P2304" s="52"/>
    </row>
    <row r="2305">
      <c r="F2305" s="116" t="str">
        <f t="shared" si="1"/>
        <v/>
      </c>
      <c r="P2305" s="52"/>
    </row>
    <row r="2306">
      <c r="F2306" s="116" t="str">
        <f t="shared" si="1"/>
        <v/>
      </c>
      <c r="P2306" s="52"/>
    </row>
    <row r="2307">
      <c r="F2307" s="116" t="str">
        <f t="shared" si="1"/>
        <v/>
      </c>
      <c r="P2307" s="52"/>
    </row>
    <row r="2308">
      <c r="F2308" s="116" t="str">
        <f t="shared" si="1"/>
        <v/>
      </c>
      <c r="P2308" s="52"/>
    </row>
    <row r="2309">
      <c r="F2309" s="116" t="str">
        <f t="shared" si="1"/>
        <v/>
      </c>
      <c r="P2309" s="52"/>
    </row>
    <row r="2310">
      <c r="F2310" s="116" t="str">
        <f t="shared" si="1"/>
        <v/>
      </c>
      <c r="P2310" s="52"/>
    </row>
    <row r="2311">
      <c r="F2311" s="116" t="str">
        <f t="shared" si="1"/>
        <v/>
      </c>
      <c r="P2311" s="52"/>
    </row>
    <row r="2312">
      <c r="F2312" s="116" t="str">
        <f t="shared" si="1"/>
        <v/>
      </c>
      <c r="P2312" s="52"/>
    </row>
    <row r="2313">
      <c r="F2313" s="116" t="str">
        <f t="shared" si="1"/>
        <v/>
      </c>
      <c r="P2313" s="52"/>
    </row>
    <row r="2314">
      <c r="F2314" s="116" t="str">
        <f t="shared" si="1"/>
        <v/>
      </c>
      <c r="P2314" s="52"/>
    </row>
    <row r="2315">
      <c r="F2315" s="116" t="str">
        <f t="shared" si="1"/>
        <v/>
      </c>
      <c r="P2315" s="52"/>
    </row>
    <row r="2316">
      <c r="F2316" s="116" t="str">
        <f t="shared" si="1"/>
        <v/>
      </c>
      <c r="P2316" s="52"/>
    </row>
    <row r="2317">
      <c r="F2317" s="116" t="str">
        <f t="shared" si="1"/>
        <v/>
      </c>
      <c r="P2317" s="52"/>
    </row>
    <row r="2318">
      <c r="F2318" s="116" t="str">
        <f t="shared" si="1"/>
        <v/>
      </c>
      <c r="P2318" s="52"/>
    </row>
    <row r="2319">
      <c r="F2319" s="116" t="str">
        <f t="shared" si="1"/>
        <v/>
      </c>
      <c r="P2319" s="52"/>
    </row>
    <row r="2320">
      <c r="F2320" s="116" t="str">
        <f t="shared" si="1"/>
        <v/>
      </c>
      <c r="P2320" s="52"/>
    </row>
    <row r="2321">
      <c r="F2321" s="116" t="str">
        <f t="shared" si="1"/>
        <v/>
      </c>
      <c r="P2321" s="52"/>
    </row>
    <row r="2322">
      <c r="F2322" s="116" t="str">
        <f t="shared" si="1"/>
        <v/>
      </c>
      <c r="P2322" s="52"/>
    </row>
    <row r="2323">
      <c r="F2323" s="116" t="str">
        <f t="shared" si="1"/>
        <v/>
      </c>
      <c r="P2323" s="52"/>
    </row>
    <row r="2324">
      <c r="F2324" s="116" t="str">
        <f t="shared" si="1"/>
        <v/>
      </c>
      <c r="P2324" s="52"/>
    </row>
    <row r="2325">
      <c r="F2325" s="116" t="str">
        <f t="shared" si="1"/>
        <v/>
      </c>
      <c r="P2325" s="52"/>
    </row>
    <row r="2326">
      <c r="F2326" s="116" t="str">
        <f t="shared" si="1"/>
        <v/>
      </c>
      <c r="P2326" s="52"/>
    </row>
    <row r="2327">
      <c r="F2327" s="116" t="str">
        <f t="shared" si="1"/>
        <v/>
      </c>
      <c r="P2327" s="52"/>
    </row>
    <row r="2328">
      <c r="F2328" s="116" t="str">
        <f t="shared" si="1"/>
        <v/>
      </c>
      <c r="P2328" s="52"/>
    </row>
    <row r="2329">
      <c r="F2329" s="116" t="str">
        <f t="shared" si="1"/>
        <v/>
      </c>
      <c r="P2329" s="52"/>
    </row>
    <row r="2330">
      <c r="F2330" s="116" t="str">
        <f t="shared" si="1"/>
        <v/>
      </c>
      <c r="P2330" s="52"/>
    </row>
    <row r="2331">
      <c r="F2331" s="116" t="str">
        <f t="shared" si="1"/>
        <v/>
      </c>
      <c r="P2331" s="52"/>
    </row>
    <row r="2332">
      <c r="F2332" s="116" t="str">
        <f t="shared" si="1"/>
        <v/>
      </c>
      <c r="P2332" s="52"/>
    </row>
    <row r="2333">
      <c r="F2333" s="116" t="str">
        <f t="shared" si="1"/>
        <v/>
      </c>
      <c r="P2333" s="52"/>
    </row>
    <row r="2334">
      <c r="F2334" s="116" t="str">
        <f t="shared" si="1"/>
        <v/>
      </c>
      <c r="P2334" s="52"/>
    </row>
    <row r="2335">
      <c r="F2335" s="116" t="str">
        <f t="shared" si="1"/>
        <v/>
      </c>
      <c r="P2335" s="52"/>
    </row>
    <row r="2336">
      <c r="F2336" s="116" t="str">
        <f t="shared" si="1"/>
        <v/>
      </c>
      <c r="P2336" s="52"/>
    </row>
    <row r="2337">
      <c r="F2337" s="116" t="str">
        <f t="shared" si="1"/>
        <v/>
      </c>
      <c r="P2337" s="52"/>
    </row>
    <row r="2338">
      <c r="F2338" s="116" t="str">
        <f t="shared" si="1"/>
        <v/>
      </c>
      <c r="P2338" s="52"/>
    </row>
    <row r="2339">
      <c r="F2339" s="116" t="str">
        <f t="shared" si="1"/>
        <v/>
      </c>
      <c r="P2339" s="52"/>
    </row>
    <row r="2340">
      <c r="F2340" s="116" t="str">
        <f t="shared" si="1"/>
        <v/>
      </c>
      <c r="P2340" s="52"/>
    </row>
    <row r="2341">
      <c r="F2341" s="116" t="str">
        <f t="shared" si="1"/>
        <v/>
      </c>
      <c r="P2341" s="52"/>
    </row>
    <row r="2342">
      <c r="F2342" s="116" t="str">
        <f t="shared" si="1"/>
        <v/>
      </c>
      <c r="P2342" s="52"/>
    </row>
    <row r="2343">
      <c r="F2343" s="116" t="str">
        <f t="shared" si="1"/>
        <v/>
      </c>
      <c r="P2343" s="52"/>
    </row>
    <row r="2344">
      <c r="F2344" s="116" t="str">
        <f t="shared" si="1"/>
        <v/>
      </c>
      <c r="P2344" s="52"/>
    </row>
    <row r="2345">
      <c r="F2345" s="116" t="str">
        <f t="shared" si="1"/>
        <v/>
      </c>
      <c r="P2345" s="52"/>
    </row>
    <row r="2346">
      <c r="F2346" s="116" t="str">
        <f t="shared" si="1"/>
        <v/>
      </c>
      <c r="P2346" s="52"/>
    </row>
    <row r="2347">
      <c r="F2347" s="116" t="str">
        <f t="shared" si="1"/>
        <v/>
      </c>
      <c r="P2347" s="52"/>
    </row>
    <row r="2348">
      <c r="F2348" s="116" t="str">
        <f t="shared" si="1"/>
        <v/>
      </c>
      <c r="P2348" s="52"/>
    </row>
    <row r="2349">
      <c r="F2349" s="116" t="str">
        <f t="shared" si="1"/>
        <v/>
      </c>
      <c r="P2349" s="52"/>
    </row>
    <row r="2350">
      <c r="F2350" s="116" t="str">
        <f t="shared" si="1"/>
        <v/>
      </c>
      <c r="P2350" s="52"/>
    </row>
    <row r="2351">
      <c r="F2351" s="116" t="str">
        <f t="shared" si="1"/>
        <v/>
      </c>
      <c r="P2351" s="52"/>
    </row>
    <row r="2352">
      <c r="F2352" s="116" t="str">
        <f t="shared" si="1"/>
        <v/>
      </c>
      <c r="P2352" s="52"/>
    </row>
    <row r="2353">
      <c r="F2353" s="116" t="str">
        <f t="shared" si="1"/>
        <v/>
      </c>
      <c r="P2353" s="52"/>
    </row>
    <row r="2354">
      <c r="F2354" s="116" t="str">
        <f t="shared" si="1"/>
        <v/>
      </c>
      <c r="P2354" s="52"/>
    </row>
    <row r="2355">
      <c r="F2355" s="116" t="str">
        <f t="shared" si="1"/>
        <v/>
      </c>
      <c r="P2355" s="52"/>
    </row>
    <row r="2356">
      <c r="F2356" s="116" t="str">
        <f t="shared" si="1"/>
        <v/>
      </c>
      <c r="P2356" s="52"/>
    </row>
    <row r="2357">
      <c r="F2357" s="116" t="str">
        <f t="shared" si="1"/>
        <v/>
      </c>
      <c r="P2357" s="52"/>
    </row>
    <row r="2358">
      <c r="F2358" s="116" t="str">
        <f t="shared" si="1"/>
        <v/>
      </c>
      <c r="P2358" s="52"/>
    </row>
    <row r="2359">
      <c r="F2359" s="116" t="str">
        <f t="shared" si="1"/>
        <v/>
      </c>
      <c r="P2359" s="52"/>
    </row>
    <row r="2360">
      <c r="F2360" s="116" t="str">
        <f t="shared" si="1"/>
        <v/>
      </c>
      <c r="P2360" s="52"/>
    </row>
    <row r="2361">
      <c r="F2361" s="116" t="str">
        <f t="shared" si="1"/>
        <v/>
      </c>
      <c r="P2361" s="52"/>
    </row>
    <row r="2362">
      <c r="F2362" s="116" t="str">
        <f t="shared" si="1"/>
        <v/>
      </c>
      <c r="P2362" s="52"/>
    </row>
    <row r="2363">
      <c r="F2363" s="116" t="str">
        <f t="shared" si="1"/>
        <v/>
      </c>
      <c r="P2363" s="52"/>
    </row>
    <row r="2364">
      <c r="F2364" s="116" t="str">
        <f t="shared" si="1"/>
        <v/>
      </c>
      <c r="P2364" s="52"/>
    </row>
    <row r="2365">
      <c r="F2365" s="116" t="str">
        <f t="shared" si="1"/>
        <v/>
      </c>
      <c r="P2365" s="52"/>
    </row>
    <row r="2366">
      <c r="F2366" s="116" t="str">
        <f t="shared" si="1"/>
        <v/>
      </c>
      <c r="P2366" s="52"/>
    </row>
    <row r="2367">
      <c r="F2367" s="116" t="str">
        <f t="shared" si="1"/>
        <v/>
      </c>
      <c r="P2367" s="52"/>
    </row>
    <row r="2368">
      <c r="F2368" s="116" t="str">
        <f t="shared" si="1"/>
        <v/>
      </c>
      <c r="P2368" s="52"/>
    </row>
    <row r="2369">
      <c r="F2369" s="116" t="str">
        <f t="shared" si="1"/>
        <v/>
      </c>
      <c r="P2369" s="52"/>
    </row>
    <row r="2370">
      <c r="F2370" s="116" t="str">
        <f t="shared" si="1"/>
        <v/>
      </c>
      <c r="P2370" s="52"/>
    </row>
    <row r="2371">
      <c r="F2371" s="116" t="str">
        <f t="shared" si="1"/>
        <v/>
      </c>
      <c r="P2371" s="52"/>
    </row>
    <row r="2372">
      <c r="F2372" s="116" t="str">
        <f t="shared" si="1"/>
        <v/>
      </c>
      <c r="P2372" s="52"/>
    </row>
    <row r="2373">
      <c r="F2373" s="116" t="str">
        <f t="shared" si="1"/>
        <v/>
      </c>
      <c r="P2373" s="52"/>
    </row>
    <row r="2374">
      <c r="F2374" s="116" t="str">
        <f t="shared" si="1"/>
        <v/>
      </c>
      <c r="P2374" s="52"/>
    </row>
    <row r="2375">
      <c r="F2375" s="116" t="str">
        <f t="shared" si="1"/>
        <v/>
      </c>
      <c r="P2375" s="52"/>
    </row>
    <row r="2376">
      <c r="F2376" s="116" t="str">
        <f t="shared" si="1"/>
        <v/>
      </c>
      <c r="P2376" s="52"/>
    </row>
    <row r="2377">
      <c r="F2377" s="116" t="str">
        <f t="shared" si="1"/>
        <v/>
      </c>
      <c r="P2377" s="52"/>
    </row>
    <row r="2378">
      <c r="F2378" s="116" t="str">
        <f t="shared" si="1"/>
        <v/>
      </c>
      <c r="P2378" s="52"/>
    </row>
    <row r="2379">
      <c r="F2379" s="116" t="str">
        <f t="shared" si="1"/>
        <v/>
      </c>
      <c r="P2379" s="52"/>
    </row>
    <row r="2380">
      <c r="F2380" s="116" t="str">
        <f t="shared" si="1"/>
        <v/>
      </c>
      <c r="P2380" s="52"/>
    </row>
    <row r="2381">
      <c r="F2381" s="116" t="str">
        <f t="shared" si="1"/>
        <v/>
      </c>
      <c r="P2381" s="52"/>
    </row>
    <row r="2382">
      <c r="F2382" s="116" t="str">
        <f t="shared" si="1"/>
        <v/>
      </c>
      <c r="P2382" s="52"/>
    </row>
    <row r="2383">
      <c r="F2383" s="116" t="str">
        <f t="shared" si="1"/>
        <v/>
      </c>
      <c r="P2383" s="52"/>
    </row>
    <row r="2384">
      <c r="F2384" s="116" t="str">
        <f t="shared" si="1"/>
        <v/>
      </c>
      <c r="P2384" s="52"/>
    </row>
    <row r="2385">
      <c r="F2385" s="116" t="str">
        <f t="shared" si="1"/>
        <v/>
      </c>
      <c r="P2385" s="52"/>
    </row>
    <row r="2386">
      <c r="F2386" s="116" t="str">
        <f t="shared" si="1"/>
        <v/>
      </c>
      <c r="P2386" s="52"/>
    </row>
    <row r="2387">
      <c r="F2387" s="116" t="str">
        <f t="shared" si="1"/>
        <v/>
      </c>
      <c r="P2387" s="52"/>
    </row>
    <row r="2388">
      <c r="F2388" s="116" t="str">
        <f t="shared" si="1"/>
        <v/>
      </c>
      <c r="P2388" s="52"/>
    </row>
    <row r="2389">
      <c r="F2389" s="116" t="str">
        <f t="shared" si="1"/>
        <v/>
      </c>
      <c r="P2389" s="52"/>
    </row>
    <row r="2390">
      <c r="F2390" s="116" t="str">
        <f t="shared" si="1"/>
        <v/>
      </c>
      <c r="P2390" s="52"/>
    </row>
    <row r="2391">
      <c r="F2391" s="116" t="str">
        <f t="shared" si="1"/>
        <v/>
      </c>
      <c r="P2391" s="52"/>
    </row>
    <row r="2392">
      <c r="F2392" s="116" t="str">
        <f t="shared" si="1"/>
        <v/>
      </c>
      <c r="P2392" s="52"/>
    </row>
    <row r="2393">
      <c r="F2393" s="116" t="str">
        <f t="shared" si="1"/>
        <v/>
      </c>
      <c r="P2393" s="52"/>
    </row>
    <row r="2394">
      <c r="F2394" s="116" t="str">
        <f t="shared" si="1"/>
        <v/>
      </c>
      <c r="P2394" s="52"/>
    </row>
    <row r="2395">
      <c r="F2395" s="116" t="str">
        <f t="shared" si="1"/>
        <v/>
      </c>
      <c r="P2395" s="52"/>
    </row>
    <row r="2396">
      <c r="F2396" s="116" t="str">
        <f t="shared" si="1"/>
        <v/>
      </c>
      <c r="P2396" s="52"/>
    </row>
    <row r="2397">
      <c r="F2397" s="116" t="str">
        <f t="shared" si="1"/>
        <v/>
      </c>
      <c r="P2397" s="52"/>
    </row>
    <row r="2398">
      <c r="F2398" s="116" t="str">
        <f t="shared" si="1"/>
        <v/>
      </c>
      <c r="P2398" s="52"/>
    </row>
    <row r="2399">
      <c r="F2399" s="116" t="str">
        <f t="shared" si="1"/>
        <v/>
      </c>
      <c r="P2399" s="52"/>
    </row>
    <row r="2400">
      <c r="F2400" s="116" t="str">
        <f t="shared" si="1"/>
        <v/>
      </c>
      <c r="P2400" s="52"/>
    </row>
    <row r="2401">
      <c r="F2401" s="116" t="str">
        <f t="shared" si="1"/>
        <v/>
      </c>
      <c r="P2401" s="52"/>
    </row>
    <row r="2402">
      <c r="F2402" s="116" t="str">
        <f t="shared" si="1"/>
        <v/>
      </c>
      <c r="P2402" s="52"/>
    </row>
    <row r="2403">
      <c r="F2403" s="116" t="str">
        <f t="shared" si="1"/>
        <v/>
      </c>
      <c r="P2403" s="52"/>
    </row>
    <row r="2404">
      <c r="F2404" s="116" t="str">
        <f t="shared" si="1"/>
        <v/>
      </c>
      <c r="P2404" s="52"/>
    </row>
    <row r="2405">
      <c r="F2405" s="116" t="str">
        <f t="shared" si="1"/>
        <v/>
      </c>
      <c r="P2405" s="52"/>
    </row>
    <row r="2406">
      <c r="F2406" s="116" t="str">
        <f t="shared" si="1"/>
        <v/>
      </c>
      <c r="P2406" s="52"/>
    </row>
    <row r="2407">
      <c r="F2407" s="116" t="str">
        <f t="shared" si="1"/>
        <v/>
      </c>
      <c r="P2407" s="52"/>
    </row>
    <row r="2408">
      <c r="F2408" s="116" t="str">
        <f t="shared" si="1"/>
        <v/>
      </c>
      <c r="P2408" s="52"/>
    </row>
    <row r="2409">
      <c r="F2409" s="116" t="str">
        <f t="shared" si="1"/>
        <v/>
      </c>
      <c r="P2409" s="52"/>
    </row>
    <row r="2410">
      <c r="F2410" s="116" t="str">
        <f t="shared" si="1"/>
        <v/>
      </c>
      <c r="P2410" s="52"/>
    </row>
    <row r="2411">
      <c r="F2411" s="116" t="str">
        <f t="shared" si="1"/>
        <v/>
      </c>
      <c r="P2411" s="52"/>
    </row>
    <row r="2412">
      <c r="F2412" s="116" t="str">
        <f t="shared" si="1"/>
        <v/>
      </c>
      <c r="P2412" s="52"/>
    </row>
    <row r="2413">
      <c r="F2413" s="116" t="str">
        <f t="shared" si="1"/>
        <v/>
      </c>
      <c r="P2413" s="52"/>
    </row>
    <row r="2414">
      <c r="F2414" s="116" t="str">
        <f t="shared" si="1"/>
        <v/>
      </c>
      <c r="P2414" s="52"/>
    </row>
    <row r="2415">
      <c r="F2415" s="116" t="str">
        <f t="shared" si="1"/>
        <v/>
      </c>
      <c r="P2415" s="52"/>
    </row>
    <row r="2416">
      <c r="F2416" s="116" t="str">
        <f t="shared" si="1"/>
        <v/>
      </c>
      <c r="P2416" s="52"/>
    </row>
    <row r="2417">
      <c r="F2417" s="116" t="str">
        <f t="shared" si="1"/>
        <v/>
      </c>
      <c r="P2417" s="52"/>
    </row>
    <row r="2418">
      <c r="F2418" s="116" t="str">
        <f t="shared" si="1"/>
        <v/>
      </c>
      <c r="P2418" s="52"/>
    </row>
    <row r="2419">
      <c r="F2419" s="116" t="str">
        <f t="shared" si="1"/>
        <v/>
      </c>
      <c r="P2419" s="52"/>
    </row>
    <row r="2420">
      <c r="F2420" s="116" t="str">
        <f t="shared" si="1"/>
        <v/>
      </c>
      <c r="P2420" s="52"/>
    </row>
    <row r="2421">
      <c r="F2421" s="116" t="str">
        <f t="shared" si="1"/>
        <v/>
      </c>
      <c r="P2421" s="52"/>
    </row>
    <row r="2422">
      <c r="F2422" s="116" t="str">
        <f t="shared" si="1"/>
        <v/>
      </c>
      <c r="P2422" s="52"/>
    </row>
    <row r="2423">
      <c r="F2423" s="116" t="str">
        <f t="shared" si="1"/>
        <v/>
      </c>
      <c r="P2423" s="52"/>
    </row>
    <row r="2424">
      <c r="F2424" s="116" t="str">
        <f t="shared" si="1"/>
        <v/>
      </c>
      <c r="P2424" s="52"/>
    </row>
    <row r="2425">
      <c r="F2425" s="116" t="str">
        <f t="shared" si="1"/>
        <v/>
      </c>
      <c r="P2425" s="52"/>
    </row>
    <row r="2426">
      <c r="F2426" s="116" t="str">
        <f t="shared" si="1"/>
        <v/>
      </c>
      <c r="P2426" s="52"/>
    </row>
    <row r="2427">
      <c r="F2427" s="116" t="str">
        <f t="shared" si="1"/>
        <v/>
      </c>
      <c r="P2427" s="52"/>
    </row>
    <row r="2428">
      <c r="F2428" s="116" t="str">
        <f t="shared" si="1"/>
        <v/>
      </c>
      <c r="P2428" s="52"/>
    </row>
    <row r="2429">
      <c r="F2429" s="116" t="str">
        <f t="shared" si="1"/>
        <v/>
      </c>
      <c r="P2429" s="52"/>
    </row>
    <row r="2430">
      <c r="F2430" s="116" t="str">
        <f t="shared" si="1"/>
        <v/>
      </c>
      <c r="P2430" s="52"/>
    </row>
    <row r="2431">
      <c r="F2431" s="116" t="str">
        <f t="shared" si="1"/>
        <v/>
      </c>
      <c r="P2431" s="52"/>
    </row>
    <row r="2432">
      <c r="F2432" s="116" t="str">
        <f t="shared" si="1"/>
        <v/>
      </c>
      <c r="P2432" s="52"/>
    </row>
    <row r="2433">
      <c r="F2433" s="116" t="str">
        <f t="shared" si="1"/>
        <v/>
      </c>
      <c r="P2433" s="52"/>
    </row>
    <row r="2434">
      <c r="F2434" s="116" t="str">
        <f t="shared" si="1"/>
        <v/>
      </c>
      <c r="P2434" s="52"/>
    </row>
    <row r="2435">
      <c r="F2435" s="116" t="str">
        <f t="shared" si="1"/>
        <v/>
      </c>
      <c r="P2435" s="52"/>
    </row>
    <row r="2436">
      <c r="F2436" s="116" t="str">
        <f t="shared" si="1"/>
        <v/>
      </c>
      <c r="P2436" s="52"/>
    </row>
    <row r="2437">
      <c r="F2437" s="116" t="str">
        <f t="shared" si="1"/>
        <v/>
      </c>
      <c r="P2437" s="52"/>
    </row>
    <row r="2438">
      <c r="F2438" s="116" t="str">
        <f t="shared" si="1"/>
        <v/>
      </c>
      <c r="P2438" s="52"/>
    </row>
    <row r="2439">
      <c r="F2439" s="116" t="str">
        <f t="shared" si="1"/>
        <v/>
      </c>
      <c r="P2439" s="52"/>
    </row>
    <row r="2440">
      <c r="F2440" s="116" t="str">
        <f t="shared" si="1"/>
        <v/>
      </c>
      <c r="P2440" s="52"/>
    </row>
    <row r="2441">
      <c r="F2441" s="116" t="str">
        <f t="shared" si="1"/>
        <v/>
      </c>
      <c r="P2441" s="52"/>
    </row>
    <row r="2442">
      <c r="F2442" s="116" t="str">
        <f t="shared" si="1"/>
        <v/>
      </c>
      <c r="P2442" s="52"/>
    </row>
    <row r="2443">
      <c r="F2443" s="116" t="str">
        <f t="shared" si="1"/>
        <v/>
      </c>
      <c r="P2443" s="52"/>
    </row>
    <row r="2444">
      <c r="F2444" s="116" t="str">
        <f t="shared" si="1"/>
        <v/>
      </c>
      <c r="P2444" s="52"/>
    </row>
    <row r="2445">
      <c r="F2445" s="116" t="str">
        <f t="shared" si="1"/>
        <v/>
      </c>
      <c r="P2445" s="52"/>
    </row>
    <row r="2446">
      <c r="F2446" s="116" t="str">
        <f t="shared" si="1"/>
        <v/>
      </c>
      <c r="P2446" s="52"/>
    </row>
    <row r="2447">
      <c r="F2447" s="116" t="str">
        <f t="shared" si="1"/>
        <v/>
      </c>
      <c r="P2447" s="52"/>
    </row>
    <row r="2448">
      <c r="F2448" s="116" t="str">
        <f t="shared" si="1"/>
        <v/>
      </c>
      <c r="P2448" s="52"/>
    </row>
    <row r="2449">
      <c r="F2449" s="116" t="str">
        <f t="shared" si="1"/>
        <v/>
      </c>
      <c r="P2449" s="52"/>
    </row>
    <row r="2450">
      <c r="F2450" s="116" t="str">
        <f t="shared" si="1"/>
        <v/>
      </c>
      <c r="P2450" s="52"/>
    </row>
    <row r="2451">
      <c r="F2451" s="116" t="str">
        <f t="shared" si="1"/>
        <v/>
      </c>
      <c r="P2451" s="52"/>
    </row>
    <row r="2452">
      <c r="F2452" s="116" t="str">
        <f t="shared" si="1"/>
        <v/>
      </c>
      <c r="P2452" s="52"/>
    </row>
    <row r="2453">
      <c r="F2453" s="116" t="str">
        <f t="shared" si="1"/>
        <v/>
      </c>
      <c r="P2453" s="52"/>
    </row>
    <row r="2454">
      <c r="F2454" s="116" t="str">
        <f t="shared" si="1"/>
        <v/>
      </c>
      <c r="P2454" s="52"/>
    </row>
    <row r="2455">
      <c r="F2455" s="116" t="str">
        <f t="shared" si="1"/>
        <v/>
      </c>
      <c r="P2455" s="52"/>
    </row>
    <row r="2456">
      <c r="F2456" s="116" t="str">
        <f t="shared" si="1"/>
        <v/>
      </c>
      <c r="P2456" s="52"/>
    </row>
    <row r="2457">
      <c r="F2457" s="116" t="str">
        <f t="shared" si="1"/>
        <v/>
      </c>
      <c r="P2457" s="52"/>
    </row>
    <row r="2458">
      <c r="F2458" s="116" t="str">
        <f t="shared" si="1"/>
        <v/>
      </c>
      <c r="P2458" s="52"/>
    </row>
    <row r="2459">
      <c r="F2459" s="116" t="str">
        <f t="shared" si="1"/>
        <v/>
      </c>
      <c r="P2459" s="52"/>
    </row>
    <row r="2460">
      <c r="F2460" s="116" t="str">
        <f t="shared" si="1"/>
        <v/>
      </c>
      <c r="P2460" s="52"/>
    </row>
    <row r="2461">
      <c r="F2461" s="116" t="str">
        <f t="shared" si="1"/>
        <v/>
      </c>
      <c r="P2461" s="52"/>
    </row>
    <row r="2462">
      <c r="F2462" s="116" t="str">
        <f t="shared" si="1"/>
        <v/>
      </c>
      <c r="P2462" s="52"/>
    </row>
    <row r="2463">
      <c r="F2463" s="116" t="str">
        <f t="shared" si="1"/>
        <v/>
      </c>
      <c r="P2463" s="52"/>
    </row>
    <row r="2464">
      <c r="F2464" s="116" t="str">
        <f t="shared" si="1"/>
        <v/>
      </c>
      <c r="P2464" s="52"/>
    </row>
    <row r="2465">
      <c r="F2465" s="116" t="str">
        <f t="shared" si="1"/>
        <v/>
      </c>
      <c r="P2465" s="52"/>
    </row>
    <row r="2466">
      <c r="F2466" s="116" t="str">
        <f t="shared" si="1"/>
        <v/>
      </c>
      <c r="P2466" s="52"/>
    </row>
    <row r="2467">
      <c r="F2467" s="116" t="str">
        <f t="shared" si="1"/>
        <v/>
      </c>
      <c r="P2467" s="52"/>
    </row>
    <row r="2468">
      <c r="F2468" s="116" t="str">
        <f t="shared" si="1"/>
        <v/>
      </c>
      <c r="P2468" s="52"/>
    </row>
    <row r="2469">
      <c r="F2469" s="116" t="str">
        <f t="shared" si="1"/>
        <v/>
      </c>
      <c r="P2469" s="52"/>
    </row>
    <row r="2470">
      <c r="F2470" s="116" t="str">
        <f t="shared" si="1"/>
        <v/>
      </c>
      <c r="P2470" s="52"/>
    </row>
    <row r="2471">
      <c r="F2471" s="116" t="str">
        <f t="shared" si="1"/>
        <v/>
      </c>
      <c r="P2471" s="52"/>
    </row>
    <row r="2472">
      <c r="F2472" s="116" t="str">
        <f t="shared" si="1"/>
        <v/>
      </c>
      <c r="P2472" s="52"/>
    </row>
    <row r="2473">
      <c r="F2473" s="116" t="str">
        <f t="shared" si="1"/>
        <v/>
      </c>
      <c r="P2473" s="52"/>
    </row>
    <row r="2474">
      <c r="F2474" s="116" t="str">
        <f t="shared" si="1"/>
        <v/>
      </c>
      <c r="P2474" s="52"/>
    </row>
    <row r="2475">
      <c r="F2475" s="116" t="str">
        <f t="shared" si="1"/>
        <v/>
      </c>
      <c r="P2475" s="52"/>
    </row>
    <row r="2476">
      <c r="F2476" s="116" t="str">
        <f t="shared" si="1"/>
        <v/>
      </c>
      <c r="P2476" s="52"/>
    </row>
    <row r="2477">
      <c r="F2477" s="116" t="str">
        <f t="shared" si="1"/>
        <v/>
      </c>
      <c r="P2477" s="52"/>
    </row>
    <row r="2478">
      <c r="F2478" s="116" t="str">
        <f t="shared" si="1"/>
        <v/>
      </c>
      <c r="P2478" s="52"/>
    </row>
    <row r="2479">
      <c r="F2479" s="116" t="str">
        <f t="shared" si="1"/>
        <v/>
      </c>
      <c r="P2479" s="52"/>
    </row>
    <row r="2480">
      <c r="F2480" s="116" t="str">
        <f t="shared" si="1"/>
        <v/>
      </c>
      <c r="P2480" s="52"/>
    </row>
    <row r="2481">
      <c r="F2481" s="116" t="str">
        <f t="shared" si="1"/>
        <v/>
      </c>
      <c r="P2481" s="52"/>
    </row>
    <row r="2482">
      <c r="F2482" s="116" t="str">
        <f t="shared" si="1"/>
        <v/>
      </c>
      <c r="P2482" s="52"/>
    </row>
    <row r="2483">
      <c r="F2483" s="116" t="str">
        <f t="shared" si="1"/>
        <v/>
      </c>
      <c r="P2483" s="52"/>
    </row>
    <row r="2484">
      <c r="F2484" s="116" t="str">
        <f t="shared" si="1"/>
        <v/>
      </c>
      <c r="P2484" s="52"/>
    </row>
    <row r="2485">
      <c r="F2485" s="116" t="str">
        <f t="shared" si="1"/>
        <v/>
      </c>
      <c r="P2485" s="52"/>
    </row>
    <row r="2486">
      <c r="F2486" s="116" t="str">
        <f t="shared" si="1"/>
        <v/>
      </c>
      <c r="P2486" s="52"/>
    </row>
    <row r="2487">
      <c r="F2487" s="116" t="str">
        <f t="shared" si="1"/>
        <v/>
      </c>
      <c r="P2487" s="52"/>
    </row>
    <row r="2488">
      <c r="F2488" s="116" t="str">
        <f t="shared" si="1"/>
        <v/>
      </c>
      <c r="P2488" s="52"/>
    </row>
    <row r="2489">
      <c r="F2489" s="116" t="str">
        <f t="shared" si="1"/>
        <v/>
      </c>
      <c r="P2489" s="52"/>
    </row>
    <row r="2490">
      <c r="F2490" s="116" t="str">
        <f t="shared" si="1"/>
        <v/>
      </c>
      <c r="P2490" s="52"/>
    </row>
    <row r="2491">
      <c r="F2491" s="116" t="str">
        <f t="shared" si="1"/>
        <v/>
      </c>
      <c r="P2491" s="52"/>
    </row>
    <row r="2492">
      <c r="F2492" s="116" t="str">
        <f t="shared" si="1"/>
        <v/>
      </c>
      <c r="P2492" s="52"/>
    </row>
    <row r="2493">
      <c r="F2493" s="116" t="str">
        <f t="shared" si="1"/>
        <v/>
      </c>
      <c r="P2493" s="52"/>
    </row>
    <row r="2494">
      <c r="F2494" s="116" t="str">
        <f t="shared" si="1"/>
        <v/>
      </c>
      <c r="P2494" s="52"/>
    </row>
    <row r="2495">
      <c r="F2495" s="116" t="str">
        <f t="shared" si="1"/>
        <v/>
      </c>
      <c r="P2495" s="52"/>
    </row>
    <row r="2496">
      <c r="F2496" s="116" t="str">
        <f t="shared" si="1"/>
        <v/>
      </c>
      <c r="P2496" s="52"/>
    </row>
    <row r="2497">
      <c r="F2497" s="116" t="str">
        <f t="shared" si="1"/>
        <v/>
      </c>
      <c r="P2497" s="52"/>
    </row>
    <row r="2498">
      <c r="F2498" s="116" t="str">
        <f t="shared" si="1"/>
        <v/>
      </c>
      <c r="P2498" s="52"/>
    </row>
    <row r="2499">
      <c r="F2499" s="116" t="str">
        <f t="shared" si="1"/>
        <v/>
      </c>
      <c r="P2499" s="52"/>
    </row>
    <row r="2500">
      <c r="F2500" s="116" t="str">
        <f t="shared" si="1"/>
        <v/>
      </c>
      <c r="P2500" s="52"/>
    </row>
    <row r="2501">
      <c r="F2501" s="116" t="str">
        <f t="shared" si="1"/>
        <v/>
      </c>
      <c r="P2501" s="52"/>
    </row>
    <row r="2502">
      <c r="F2502" s="116" t="str">
        <f t="shared" si="1"/>
        <v/>
      </c>
      <c r="P2502" s="52"/>
    </row>
    <row r="2503">
      <c r="F2503" s="116" t="str">
        <f t="shared" si="1"/>
        <v/>
      </c>
      <c r="P2503" s="52"/>
    </row>
    <row r="2504">
      <c r="F2504" s="116" t="str">
        <f t="shared" si="1"/>
        <v/>
      </c>
      <c r="P2504" s="52"/>
    </row>
    <row r="2505">
      <c r="F2505" s="116" t="str">
        <f t="shared" si="1"/>
        <v/>
      </c>
      <c r="P2505" s="52"/>
    </row>
    <row r="2506">
      <c r="F2506" s="116" t="str">
        <f t="shared" si="1"/>
        <v/>
      </c>
      <c r="P2506" s="52"/>
    </row>
    <row r="2507">
      <c r="F2507" s="116" t="str">
        <f t="shared" si="1"/>
        <v/>
      </c>
      <c r="P2507" s="52"/>
    </row>
    <row r="2508">
      <c r="F2508" s="116" t="str">
        <f t="shared" si="1"/>
        <v/>
      </c>
      <c r="P2508" s="52"/>
    </row>
    <row r="2509">
      <c r="F2509" s="116" t="str">
        <f t="shared" si="1"/>
        <v/>
      </c>
      <c r="P2509" s="52"/>
    </row>
    <row r="2510">
      <c r="F2510" s="116" t="str">
        <f t="shared" si="1"/>
        <v/>
      </c>
      <c r="P2510" s="52"/>
    </row>
    <row r="2511">
      <c r="F2511" s="116" t="str">
        <f t="shared" si="1"/>
        <v/>
      </c>
      <c r="P2511" s="52"/>
    </row>
    <row r="2512">
      <c r="F2512" s="116" t="str">
        <f t="shared" si="1"/>
        <v/>
      </c>
      <c r="P2512" s="52"/>
    </row>
    <row r="2513">
      <c r="F2513" s="116" t="str">
        <f t="shared" si="1"/>
        <v/>
      </c>
      <c r="P2513" s="52"/>
    </row>
    <row r="2514">
      <c r="F2514" s="116" t="str">
        <f t="shared" si="1"/>
        <v/>
      </c>
      <c r="P2514" s="52"/>
    </row>
    <row r="2515">
      <c r="F2515" s="116" t="str">
        <f t="shared" si="1"/>
        <v/>
      </c>
      <c r="P2515" s="52"/>
    </row>
    <row r="2516">
      <c r="F2516" s="116" t="str">
        <f t="shared" si="1"/>
        <v/>
      </c>
      <c r="P2516" s="52"/>
    </row>
    <row r="2517">
      <c r="F2517" s="116" t="str">
        <f t="shared" si="1"/>
        <v/>
      </c>
      <c r="P2517" s="52"/>
    </row>
    <row r="2518">
      <c r="F2518" s="116" t="str">
        <f t="shared" si="1"/>
        <v/>
      </c>
      <c r="P2518" s="52"/>
    </row>
    <row r="2519">
      <c r="F2519" s="116" t="str">
        <f t="shared" si="1"/>
        <v/>
      </c>
      <c r="P2519" s="52"/>
    </row>
    <row r="2520">
      <c r="F2520" s="116" t="str">
        <f t="shared" si="1"/>
        <v/>
      </c>
      <c r="P2520" s="52"/>
    </row>
    <row r="2521">
      <c r="F2521" s="116" t="str">
        <f t="shared" si="1"/>
        <v/>
      </c>
      <c r="P2521" s="52"/>
    </row>
    <row r="2522">
      <c r="F2522" s="116" t="str">
        <f t="shared" si="1"/>
        <v/>
      </c>
      <c r="P2522" s="52"/>
    </row>
    <row r="2523">
      <c r="F2523" s="116" t="str">
        <f t="shared" si="1"/>
        <v/>
      </c>
      <c r="P2523" s="52"/>
    </row>
    <row r="2524">
      <c r="F2524" s="116" t="str">
        <f t="shared" si="1"/>
        <v/>
      </c>
      <c r="P2524" s="52"/>
    </row>
    <row r="2525">
      <c r="F2525" s="116" t="str">
        <f t="shared" si="1"/>
        <v/>
      </c>
      <c r="P2525" s="52"/>
    </row>
    <row r="2526">
      <c r="F2526" s="116" t="str">
        <f t="shared" si="1"/>
        <v/>
      </c>
      <c r="P2526" s="52"/>
    </row>
    <row r="2527">
      <c r="F2527" s="116" t="str">
        <f t="shared" si="1"/>
        <v/>
      </c>
      <c r="P2527" s="52"/>
    </row>
    <row r="2528">
      <c r="F2528" s="116" t="str">
        <f t="shared" si="1"/>
        <v/>
      </c>
      <c r="P2528" s="52"/>
    </row>
    <row r="2529">
      <c r="F2529" s="116" t="str">
        <f t="shared" si="1"/>
        <v/>
      </c>
      <c r="P2529" s="52"/>
    </row>
    <row r="2530">
      <c r="F2530" s="116" t="str">
        <f t="shared" si="1"/>
        <v/>
      </c>
      <c r="P2530" s="52"/>
    </row>
    <row r="2531">
      <c r="F2531" s="116" t="str">
        <f t="shared" si="1"/>
        <v/>
      </c>
      <c r="P2531" s="52"/>
    </row>
    <row r="2532">
      <c r="F2532" s="116" t="str">
        <f t="shared" si="1"/>
        <v/>
      </c>
      <c r="P2532" s="52"/>
    </row>
    <row r="2533">
      <c r="F2533" s="116" t="str">
        <f t="shared" si="1"/>
        <v/>
      </c>
      <c r="P2533" s="52"/>
    </row>
    <row r="2534">
      <c r="F2534" s="116" t="str">
        <f t="shared" si="1"/>
        <v/>
      </c>
      <c r="P2534" s="52"/>
    </row>
    <row r="2535">
      <c r="F2535" s="116" t="str">
        <f t="shared" si="1"/>
        <v/>
      </c>
      <c r="P2535" s="52"/>
    </row>
    <row r="2536">
      <c r="F2536" s="116" t="str">
        <f t="shared" si="1"/>
        <v/>
      </c>
      <c r="P2536" s="52"/>
    </row>
    <row r="2537">
      <c r="F2537" s="116" t="str">
        <f t="shared" si="1"/>
        <v/>
      </c>
      <c r="P2537" s="52"/>
    </row>
    <row r="2538">
      <c r="F2538" s="116" t="str">
        <f t="shared" si="1"/>
        <v/>
      </c>
      <c r="P2538" s="52"/>
    </row>
    <row r="2539">
      <c r="F2539" s="116" t="str">
        <f t="shared" si="1"/>
        <v/>
      </c>
      <c r="P2539" s="52"/>
    </row>
    <row r="2540">
      <c r="F2540" s="116" t="str">
        <f t="shared" si="1"/>
        <v/>
      </c>
      <c r="P2540" s="52"/>
    </row>
    <row r="2541">
      <c r="F2541" s="116" t="str">
        <f t="shared" si="1"/>
        <v/>
      </c>
      <c r="P2541" s="52"/>
    </row>
    <row r="2542">
      <c r="F2542" s="116" t="str">
        <f t="shared" si="1"/>
        <v/>
      </c>
      <c r="P2542" s="52"/>
    </row>
    <row r="2543">
      <c r="F2543" s="116" t="str">
        <f t="shared" si="1"/>
        <v/>
      </c>
      <c r="P2543" s="52"/>
    </row>
    <row r="2544">
      <c r="F2544" s="116" t="str">
        <f t="shared" si="1"/>
        <v/>
      </c>
      <c r="P2544" s="52"/>
    </row>
    <row r="2545">
      <c r="F2545" s="116" t="str">
        <f t="shared" si="1"/>
        <v/>
      </c>
      <c r="P2545" s="52"/>
    </row>
    <row r="2546">
      <c r="F2546" s="116" t="str">
        <f t="shared" si="1"/>
        <v/>
      </c>
      <c r="P2546" s="52"/>
    </row>
    <row r="2547">
      <c r="F2547" s="116" t="str">
        <f t="shared" si="1"/>
        <v/>
      </c>
      <c r="P2547" s="52"/>
    </row>
    <row r="2548">
      <c r="F2548" s="116" t="str">
        <f t="shared" si="1"/>
        <v/>
      </c>
      <c r="P2548" s="52"/>
    </row>
    <row r="2549">
      <c r="F2549" s="116" t="str">
        <f t="shared" si="1"/>
        <v/>
      </c>
      <c r="P2549" s="52"/>
    </row>
    <row r="2550">
      <c r="F2550" s="116" t="str">
        <f t="shared" si="1"/>
        <v/>
      </c>
      <c r="P2550" s="52"/>
    </row>
    <row r="2551">
      <c r="F2551" s="116" t="str">
        <f t="shared" si="1"/>
        <v/>
      </c>
      <c r="P2551" s="52"/>
    </row>
    <row r="2552">
      <c r="F2552" s="116" t="str">
        <f t="shared" si="1"/>
        <v/>
      </c>
      <c r="P2552" s="52"/>
    </row>
    <row r="2553">
      <c r="F2553" s="116" t="str">
        <f t="shared" si="1"/>
        <v/>
      </c>
      <c r="P2553" s="52"/>
    </row>
    <row r="2554">
      <c r="F2554" s="116" t="str">
        <f t="shared" si="1"/>
        <v/>
      </c>
      <c r="P2554" s="52"/>
    </row>
    <row r="2555">
      <c r="F2555" s="116" t="str">
        <f t="shared" si="1"/>
        <v/>
      </c>
      <c r="P2555" s="52"/>
    </row>
    <row r="2556">
      <c r="F2556" s="116" t="str">
        <f t="shared" si="1"/>
        <v/>
      </c>
      <c r="P2556" s="52"/>
    </row>
    <row r="2557">
      <c r="F2557" s="116" t="str">
        <f t="shared" si="1"/>
        <v/>
      </c>
      <c r="P2557" s="52"/>
    </row>
    <row r="2558">
      <c r="F2558" s="116" t="str">
        <f t="shared" si="1"/>
        <v/>
      </c>
      <c r="P2558" s="52"/>
    </row>
    <row r="2559">
      <c r="F2559" s="116" t="str">
        <f t="shared" si="1"/>
        <v/>
      </c>
      <c r="P2559" s="52"/>
    </row>
    <row r="2560">
      <c r="F2560" s="116" t="str">
        <f t="shared" si="1"/>
        <v/>
      </c>
      <c r="P2560" s="52"/>
    </row>
    <row r="2561">
      <c r="F2561" s="116" t="str">
        <f t="shared" si="1"/>
        <v/>
      </c>
      <c r="P2561" s="52"/>
    </row>
    <row r="2562">
      <c r="F2562" s="116" t="str">
        <f t="shared" si="1"/>
        <v/>
      </c>
      <c r="P2562" s="52"/>
    </row>
    <row r="2563">
      <c r="F2563" s="116" t="str">
        <f t="shared" si="1"/>
        <v/>
      </c>
      <c r="P2563" s="52"/>
    </row>
    <row r="2564">
      <c r="F2564" s="116" t="str">
        <f t="shared" si="1"/>
        <v/>
      </c>
      <c r="P2564" s="52"/>
    </row>
    <row r="2565">
      <c r="F2565" s="116" t="str">
        <f t="shared" si="1"/>
        <v/>
      </c>
      <c r="P2565" s="52"/>
    </row>
    <row r="2566">
      <c r="F2566" s="116" t="str">
        <f t="shared" si="1"/>
        <v/>
      </c>
      <c r="P2566" s="52"/>
    </row>
    <row r="2567">
      <c r="F2567" s="116" t="str">
        <f t="shared" si="1"/>
        <v/>
      </c>
      <c r="P2567" s="52"/>
    </row>
    <row r="2568">
      <c r="F2568" s="116" t="str">
        <f t="shared" si="1"/>
        <v/>
      </c>
      <c r="P2568" s="52"/>
    </row>
    <row r="2569">
      <c r="F2569" s="116" t="str">
        <f t="shared" si="1"/>
        <v/>
      </c>
      <c r="P2569" s="52"/>
    </row>
    <row r="2570">
      <c r="F2570" s="116" t="str">
        <f t="shared" si="1"/>
        <v/>
      </c>
      <c r="P2570" s="52"/>
    </row>
    <row r="2571">
      <c r="F2571" s="116" t="str">
        <f t="shared" si="1"/>
        <v/>
      </c>
      <c r="P2571" s="52"/>
    </row>
    <row r="2572">
      <c r="F2572" s="116" t="str">
        <f t="shared" si="1"/>
        <v/>
      </c>
      <c r="P2572" s="52"/>
    </row>
    <row r="2573">
      <c r="F2573" s="116" t="str">
        <f t="shared" si="1"/>
        <v/>
      </c>
      <c r="P2573" s="52"/>
    </row>
    <row r="2574">
      <c r="F2574" s="116" t="str">
        <f t="shared" si="1"/>
        <v/>
      </c>
      <c r="P2574" s="52"/>
    </row>
    <row r="2575">
      <c r="F2575" s="116" t="str">
        <f t="shared" si="1"/>
        <v/>
      </c>
      <c r="P2575" s="52"/>
    </row>
    <row r="2576">
      <c r="F2576" s="116" t="str">
        <f t="shared" si="1"/>
        <v/>
      </c>
      <c r="P2576" s="52"/>
    </row>
    <row r="2577">
      <c r="F2577" s="116" t="str">
        <f t="shared" si="1"/>
        <v/>
      </c>
      <c r="P2577" s="52"/>
    </row>
    <row r="2578">
      <c r="F2578" s="116" t="str">
        <f t="shared" si="1"/>
        <v/>
      </c>
      <c r="P2578" s="52"/>
    </row>
    <row r="2579">
      <c r="F2579" s="116" t="str">
        <f t="shared" si="1"/>
        <v/>
      </c>
      <c r="P2579" s="52"/>
    </row>
    <row r="2580">
      <c r="F2580" s="116" t="str">
        <f t="shared" si="1"/>
        <v/>
      </c>
      <c r="P2580" s="52"/>
    </row>
    <row r="2581">
      <c r="F2581" s="116" t="str">
        <f t="shared" si="1"/>
        <v/>
      </c>
      <c r="P2581" s="52"/>
    </row>
    <row r="2582">
      <c r="F2582" s="116" t="str">
        <f t="shared" si="1"/>
        <v/>
      </c>
      <c r="P2582" s="52"/>
    </row>
    <row r="2583">
      <c r="F2583" s="116" t="str">
        <f t="shared" si="1"/>
        <v/>
      </c>
      <c r="P2583" s="52"/>
    </row>
    <row r="2584">
      <c r="F2584" s="116" t="str">
        <f t="shared" si="1"/>
        <v/>
      </c>
      <c r="P2584" s="52"/>
    </row>
    <row r="2585">
      <c r="F2585" s="116" t="str">
        <f t="shared" si="1"/>
        <v/>
      </c>
      <c r="P2585" s="52"/>
    </row>
    <row r="2586">
      <c r="F2586" s="116" t="str">
        <f t="shared" si="1"/>
        <v/>
      </c>
      <c r="P2586" s="52"/>
    </row>
    <row r="2587">
      <c r="F2587" s="116" t="str">
        <f t="shared" si="1"/>
        <v/>
      </c>
      <c r="P2587" s="52"/>
    </row>
    <row r="2588">
      <c r="F2588" s="116" t="str">
        <f t="shared" si="1"/>
        <v/>
      </c>
      <c r="P2588" s="52"/>
    </row>
    <row r="2589">
      <c r="F2589" s="116" t="str">
        <f t="shared" si="1"/>
        <v/>
      </c>
      <c r="P2589" s="52"/>
    </row>
    <row r="2590">
      <c r="F2590" s="116" t="str">
        <f t="shared" si="1"/>
        <v/>
      </c>
      <c r="P2590" s="52"/>
    </row>
    <row r="2591">
      <c r="F2591" s="116" t="str">
        <f t="shared" si="1"/>
        <v/>
      </c>
      <c r="P2591" s="52"/>
    </row>
    <row r="2592">
      <c r="F2592" s="116" t="str">
        <f t="shared" si="1"/>
        <v/>
      </c>
      <c r="P2592" s="52"/>
    </row>
    <row r="2593">
      <c r="F2593" s="116" t="str">
        <f t="shared" si="1"/>
        <v/>
      </c>
      <c r="P2593" s="52"/>
    </row>
    <row r="2594">
      <c r="F2594" s="116" t="str">
        <f t="shared" si="1"/>
        <v/>
      </c>
      <c r="P2594" s="52"/>
    </row>
    <row r="2595">
      <c r="F2595" s="116" t="str">
        <f t="shared" si="1"/>
        <v/>
      </c>
      <c r="P2595" s="52"/>
    </row>
    <row r="2596">
      <c r="F2596" s="116" t="str">
        <f t="shared" si="1"/>
        <v/>
      </c>
      <c r="P2596" s="52"/>
    </row>
    <row r="2597">
      <c r="F2597" s="116" t="str">
        <f t="shared" si="1"/>
        <v/>
      </c>
      <c r="P2597" s="52"/>
    </row>
    <row r="2598">
      <c r="F2598" s="116" t="str">
        <f t="shared" si="1"/>
        <v/>
      </c>
      <c r="P2598" s="52"/>
    </row>
    <row r="2599">
      <c r="F2599" s="116" t="str">
        <f t="shared" si="1"/>
        <v/>
      </c>
      <c r="P2599" s="52"/>
    </row>
    <row r="2600">
      <c r="F2600" s="116" t="str">
        <f t="shared" si="1"/>
        <v/>
      </c>
      <c r="P2600" s="52"/>
    </row>
    <row r="2601">
      <c r="F2601" s="116" t="str">
        <f t="shared" si="1"/>
        <v/>
      </c>
      <c r="P2601" s="52"/>
    </row>
    <row r="2602">
      <c r="F2602" s="116" t="str">
        <f t="shared" si="1"/>
        <v/>
      </c>
      <c r="P2602" s="52"/>
    </row>
    <row r="2603">
      <c r="F2603" s="116" t="str">
        <f t="shared" si="1"/>
        <v/>
      </c>
      <c r="P2603" s="52"/>
    </row>
    <row r="2604">
      <c r="F2604" s="116" t="str">
        <f t="shared" si="1"/>
        <v/>
      </c>
      <c r="P2604" s="52"/>
    </row>
    <row r="2605">
      <c r="F2605" s="116" t="str">
        <f t="shared" si="1"/>
        <v/>
      </c>
      <c r="P2605" s="52"/>
    </row>
    <row r="2606">
      <c r="F2606" s="116" t="str">
        <f t="shared" si="1"/>
        <v/>
      </c>
      <c r="P2606" s="52"/>
    </row>
    <row r="2607">
      <c r="F2607" s="116" t="str">
        <f t="shared" si="1"/>
        <v/>
      </c>
      <c r="P2607" s="52"/>
    </row>
    <row r="2608">
      <c r="F2608" s="116" t="str">
        <f t="shared" si="1"/>
        <v/>
      </c>
      <c r="P2608" s="52"/>
    </row>
    <row r="2609">
      <c r="F2609" s="116" t="str">
        <f t="shared" si="1"/>
        <v/>
      </c>
      <c r="P2609" s="52"/>
    </row>
    <row r="2610">
      <c r="F2610" s="116" t="str">
        <f t="shared" si="1"/>
        <v/>
      </c>
      <c r="P2610" s="52"/>
    </row>
    <row r="2611">
      <c r="F2611" s="116" t="str">
        <f t="shared" si="1"/>
        <v/>
      </c>
      <c r="P2611" s="52"/>
    </row>
    <row r="2612">
      <c r="F2612" s="116" t="str">
        <f t="shared" si="1"/>
        <v/>
      </c>
      <c r="P2612" s="52"/>
    </row>
    <row r="2613">
      <c r="F2613" s="116" t="str">
        <f t="shared" si="1"/>
        <v/>
      </c>
      <c r="P2613" s="52"/>
    </row>
    <row r="2614">
      <c r="F2614" s="116" t="str">
        <f t="shared" si="1"/>
        <v/>
      </c>
      <c r="P2614" s="52"/>
    </row>
    <row r="2615">
      <c r="F2615" s="116" t="str">
        <f t="shared" si="1"/>
        <v/>
      </c>
      <c r="P2615" s="52"/>
    </row>
    <row r="2616">
      <c r="F2616" s="116" t="str">
        <f t="shared" si="1"/>
        <v/>
      </c>
      <c r="P2616" s="52"/>
    </row>
    <row r="2617">
      <c r="F2617" s="116" t="str">
        <f t="shared" si="1"/>
        <v/>
      </c>
      <c r="P2617" s="52"/>
    </row>
    <row r="2618">
      <c r="F2618" s="116" t="str">
        <f t="shared" si="1"/>
        <v/>
      </c>
      <c r="P2618" s="52"/>
    </row>
    <row r="2619">
      <c r="F2619" s="116" t="str">
        <f t="shared" si="1"/>
        <v/>
      </c>
      <c r="P2619" s="52"/>
    </row>
    <row r="2620">
      <c r="F2620" s="116" t="str">
        <f t="shared" si="1"/>
        <v/>
      </c>
      <c r="P2620" s="52"/>
    </row>
    <row r="2621">
      <c r="F2621" s="116" t="str">
        <f t="shared" si="1"/>
        <v/>
      </c>
      <c r="P2621" s="52"/>
    </row>
    <row r="2622">
      <c r="F2622" s="116" t="str">
        <f t="shared" si="1"/>
        <v/>
      </c>
      <c r="P2622" s="52"/>
    </row>
    <row r="2623">
      <c r="F2623" s="116" t="str">
        <f t="shared" si="1"/>
        <v/>
      </c>
      <c r="P2623" s="52"/>
    </row>
    <row r="2624">
      <c r="F2624" s="116" t="str">
        <f t="shared" si="1"/>
        <v/>
      </c>
      <c r="P2624" s="52"/>
    </row>
    <row r="2625">
      <c r="F2625" s="116" t="str">
        <f t="shared" si="1"/>
        <v/>
      </c>
      <c r="P2625" s="52"/>
    </row>
    <row r="2626">
      <c r="F2626" s="116" t="str">
        <f t="shared" si="1"/>
        <v/>
      </c>
      <c r="P2626" s="52"/>
    </row>
    <row r="2627">
      <c r="F2627" s="116" t="str">
        <f t="shared" si="1"/>
        <v/>
      </c>
      <c r="P2627" s="52"/>
    </row>
    <row r="2628">
      <c r="F2628" s="116" t="str">
        <f t="shared" si="1"/>
        <v/>
      </c>
      <c r="P2628" s="52"/>
    </row>
    <row r="2629">
      <c r="F2629" s="116" t="str">
        <f t="shared" si="1"/>
        <v/>
      </c>
      <c r="P2629" s="52"/>
    </row>
    <row r="2630">
      <c r="F2630" s="116" t="str">
        <f t="shared" si="1"/>
        <v/>
      </c>
      <c r="P2630" s="52"/>
    </row>
    <row r="2631">
      <c r="F2631" s="116" t="str">
        <f t="shared" si="1"/>
        <v/>
      </c>
      <c r="P2631" s="52"/>
    </row>
    <row r="2632">
      <c r="F2632" s="116" t="str">
        <f t="shared" si="1"/>
        <v/>
      </c>
      <c r="P2632" s="52"/>
    </row>
    <row r="2633">
      <c r="F2633" s="116" t="str">
        <f t="shared" si="1"/>
        <v/>
      </c>
      <c r="P2633" s="52"/>
    </row>
    <row r="2634">
      <c r="F2634" s="116" t="str">
        <f t="shared" si="1"/>
        <v/>
      </c>
      <c r="P2634" s="52"/>
    </row>
    <row r="2635">
      <c r="F2635" s="116" t="str">
        <f t="shared" si="1"/>
        <v/>
      </c>
      <c r="P2635" s="52"/>
    </row>
    <row r="2636">
      <c r="F2636" s="116" t="str">
        <f t="shared" si="1"/>
        <v/>
      </c>
      <c r="P2636" s="52"/>
    </row>
    <row r="2637">
      <c r="F2637" s="116" t="str">
        <f t="shared" si="1"/>
        <v/>
      </c>
      <c r="P2637" s="52"/>
    </row>
    <row r="2638">
      <c r="F2638" s="116" t="str">
        <f t="shared" si="1"/>
        <v/>
      </c>
      <c r="P2638" s="52"/>
    </row>
    <row r="2639">
      <c r="F2639" s="116" t="str">
        <f t="shared" si="1"/>
        <v/>
      </c>
      <c r="P2639" s="52"/>
    </row>
    <row r="2640">
      <c r="F2640" s="116" t="str">
        <f t="shared" si="1"/>
        <v/>
      </c>
      <c r="P2640" s="52"/>
    </row>
    <row r="2641">
      <c r="F2641" s="116" t="str">
        <f t="shared" si="1"/>
        <v/>
      </c>
      <c r="P2641" s="52"/>
    </row>
    <row r="2642">
      <c r="F2642" s="116" t="str">
        <f t="shared" si="1"/>
        <v/>
      </c>
      <c r="P2642" s="52"/>
    </row>
    <row r="2643">
      <c r="F2643" s="116" t="str">
        <f t="shared" si="1"/>
        <v/>
      </c>
      <c r="P2643" s="52"/>
    </row>
    <row r="2644">
      <c r="F2644" s="116" t="str">
        <f t="shared" si="1"/>
        <v/>
      </c>
      <c r="P2644" s="52"/>
    </row>
    <row r="2645">
      <c r="F2645" s="116" t="str">
        <f t="shared" si="1"/>
        <v/>
      </c>
      <c r="P2645" s="52"/>
    </row>
    <row r="2646">
      <c r="F2646" s="116" t="str">
        <f t="shared" si="1"/>
        <v/>
      </c>
      <c r="P2646" s="52"/>
    </row>
    <row r="2647">
      <c r="F2647" s="116" t="str">
        <f t="shared" si="1"/>
        <v/>
      </c>
      <c r="P2647" s="52"/>
    </row>
    <row r="2648">
      <c r="F2648" s="116" t="str">
        <f t="shared" si="1"/>
        <v/>
      </c>
      <c r="P2648" s="52"/>
    </row>
    <row r="2649">
      <c r="F2649" s="116" t="str">
        <f t="shared" si="1"/>
        <v/>
      </c>
      <c r="P2649" s="52"/>
    </row>
    <row r="2650">
      <c r="F2650" s="116" t="str">
        <f t="shared" si="1"/>
        <v/>
      </c>
      <c r="P2650" s="52"/>
    </row>
    <row r="2651">
      <c r="F2651" s="116" t="str">
        <f t="shared" si="1"/>
        <v/>
      </c>
      <c r="P2651" s="52"/>
    </row>
    <row r="2652">
      <c r="F2652" s="116" t="str">
        <f t="shared" si="1"/>
        <v/>
      </c>
      <c r="P2652" s="52"/>
    </row>
    <row r="2653">
      <c r="F2653" s="116" t="str">
        <f t="shared" si="1"/>
        <v/>
      </c>
      <c r="P2653" s="52"/>
    </row>
    <row r="2654">
      <c r="F2654" s="116" t="str">
        <f t="shared" si="1"/>
        <v/>
      </c>
      <c r="P2654" s="52"/>
    </row>
    <row r="2655">
      <c r="F2655" s="116" t="str">
        <f t="shared" si="1"/>
        <v/>
      </c>
      <c r="P2655" s="52"/>
    </row>
    <row r="2656">
      <c r="F2656" s="116" t="str">
        <f t="shared" si="1"/>
        <v/>
      </c>
      <c r="P2656" s="52"/>
    </row>
    <row r="2657">
      <c r="F2657" s="116" t="str">
        <f t="shared" si="1"/>
        <v/>
      </c>
      <c r="P2657" s="52"/>
    </row>
    <row r="2658">
      <c r="F2658" s="116" t="str">
        <f t="shared" si="1"/>
        <v/>
      </c>
      <c r="P2658" s="52"/>
    </row>
    <row r="2659">
      <c r="F2659" s="116" t="str">
        <f t="shared" si="1"/>
        <v/>
      </c>
      <c r="P2659" s="52"/>
    </row>
    <row r="2660">
      <c r="F2660" s="116" t="str">
        <f t="shared" si="1"/>
        <v/>
      </c>
      <c r="P2660" s="52"/>
    </row>
    <row r="2661">
      <c r="F2661" s="116" t="str">
        <f t="shared" si="1"/>
        <v/>
      </c>
      <c r="P2661" s="52"/>
    </row>
    <row r="2662">
      <c r="F2662" s="116" t="str">
        <f t="shared" si="1"/>
        <v/>
      </c>
      <c r="P2662" s="52"/>
    </row>
    <row r="2663">
      <c r="F2663" s="116" t="str">
        <f t="shared" si="1"/>
        <v/>
      </c>
      <c r="P2663" s="52"/>
    </row>
    <row r="2664">
      <c r="F2664" s="116" t="str">
        <f t="shared" si="1"/>
        <v/>
      </c>
      <c r="P2664" s="52"/>
    </row>
    <row r="2665">
      <c r="F2665" s="116" t="str">
        <f t="shared" si="1"/>
        <v/>
      </c>
      <c r="P2665" s="52"/>
    </row>
    <row r="2666">
      <c r="F2666" s="116" t="str">
        <f t="shared" si="1"/>
        <v/>
      </c>
      <c r="P2666" s="52"/>
    </row>
    <row r="2667">
      <c r="F2667" s="116" t="str">
        <f t="shared" si="1"/>
        <v/>
      </c>
      <c r="P2667" s="52"/>
    </row>
    <row r="2668">
      <c r="F2668" s="116" t="str">
        <f t="shared" si="1"/>
        <v/>
      </c>
      <c r="P2668" s="52"/>
    </row>
    <row r="2669">
      <c r="F2669" s="116" t="str">
        <f t="shared" si="1"/>
        <v/>
      </c>
      <c r="P2669" s="52"/>
    </row>
    <row r="2670">
      <c r="F2670" s="116" t="str">
        <f t="shared" si="1"/>
        <v/>
      </c>
      <c r="P2670" s="52"/>
    </row>
    <row r="2671">
      <c r="F2671" s="116" t="str">
        <f t="shared" si="1"/>
        <v/>
      </c>
      <c r="P2671" s="52"/>
    </row>
    <row r="2672">
      <c r="F2672" s="116" t="str">
        <f t="shared" si="1"/>
        <v/>
      </c>
      <c r="P2672" s="52"/>
    </row>
    <row r="2673">
      <c r="F2673" s="116" t="str">
        <f t="shared" si="1"/>
        <v/>
      </c>
      <c r="P2673" s="52"/>
    </row>
    <row r="2674">
      <c r="F2674" s="116" t="str">
        <f t="shared" si="1"/>
        <v/>
      </c>
      <c r="P2674" s="52"/>
    </row>
    <row r="2675">
      <c r="F2675" s="116" t="str">
        <f t="shared" si="1"/>
        <v/>
      </c>
      <c r="P2675" s="52"/>
    </row>
    <row r="2676">
      <c r="F2676" s="116" t="str">
        <f t="shared" si="1"/>
        <v/>
      </c>
      <c r="P2676" s="52"/>
    </row>
    <row r="2677">
      <c r="F2677" s="116" t="str">
        <f t="shared" si="1"/>
        <v/>
      </c>
      <c r="P2677" s="52"/>
    </row>
    <row r="2678">
      <c r="F2678" s="116" t="str">
        <f t="shared" si="1"/>
        <v/>
      </c>
      <c r="P2678" s="52"/>
    </row>
    <row r="2679">
      <c r="F2679" s="116" t="str">
        <f t="shared" si="1"/>
        <v/>
      </c>
      <c r="P2679" s="52"/>
    </row>
    <row r="2680">
      <c r="F2680" s="116" t="str">
        <f t="shared" si="1"/>
        <v/>
      </c>
      <c r="P2680" s="52"/>
    </row>
    <row r="2681">
      <c r="F2681" s="116" t="str">
        <f t="shared" si="1"/>
        <v/>
      </c>
      <c r="P2681" s="52"/>
    </row>
    <row r="2682">
      <c r="F2682" s="116" t="str">
        <f t="shared" si="1"/>
        <v/>
      </c>
      <c r="P2682" s="52"/>
    </row>
    <row r="2683">
      <c r="F2683" s="116" t="str">
        <f t="shared" si="1"/>
        <v/>
      </c>
      <c r="P2683" s="52"/>
    </row>
    <row r="2684">
      <c r="F2684" s="116" t="str">
        <f t="shared" si="1"/>
        <v/>
      </c>
      <c r="P2684" s="52"/>
    </row>
    <row r="2685">
      <c r="F2685" s="116" t="str">
        <f t="shared" si="1"/>
        <v/>
      </c>
      <c r="P2685" s="52"/>
    </row>
    <row r="2686">
      <c r="F2686" s="116" t="str">
        <f t="shared" si="1"/>
        <v/>
      </c>
      <c r="P2686" s="52"/>
    </row>
    <row r="2687">
      <c r="F2687" s="116" t="str">
        <f t="shared" si="1"/>
        <v/>
      </c>
      <c r="P2687" s="52"/>
    </row>
    <row r="2688">
      <c r="F2688" s="116" t="str">
        <f t="shared" si="1"/>
        <v/>
      </c>
      <c r="P2688" s="52"/>
    </row>
    <row r="2689">
      <c r="F2689" s="116" t="str">
        <f t="shared" si="1"/>
        <v/>
      </c>
      <c r="P2689" s="52"/>
    </row>
    <row r="2690">
      <c r="F2690" s="116" t="str">
        <f t="shared" si="1"/>
        <v/>
      </c>
      <c r="P2690" s="52"/>
    </row>
    <row r="2691">
      <c r="F2691" s="116" t="str">
        <f t="shared" si="1"/>
        <v/>
      </c>
      <c r="P2691" s="52"/>
    </row>
    <row r="2692">
      <c r="F2692" s="116" t="str">
        <f t="shared" si="1"/>
        <v/>
      </c>
      <c r="P2692" s="52"/>
    </row>
    <row r="2693">
      <c r="F2693" s="116" t="str">
        <f t="shared" si="1"/>
        <v/>
      </c>
      <c r="P2693" s="52"/>
    </row>
    <row r="2694">
      <c r="F2694" s="116" t="str">
        <f t="shared" si="1"/>
        <v/>
      </c>
      <c r="P2694" s="52"/>
    </row>
    <row r="2695">
      <c r="F2695" s="116" t="str">
        <f t="shared" si="1"/>
        <v/>
      </c>
      <c r="P2695" s="52"/>
    </row>
    <row r="2696">
      <c r="F2696" s="116" t="str">
        <f t="shared" si="1"/>
        <v/>
      </c>
      <c r="P2696" s="52"/>
    </row>
    <row r="2697">
      <c r="F2697" s="116" t="str">
        <f t="shared" si="1"/>
        <v/>
      </c>
      <c r="P2697" s="52"/>
    </row>
    <row r="2698">
      <c r="F2698" s="116" t="str">
        <f t="shared" si="1"/>
        <v/>
      </c>
      <c r="P2698" s="52"/>
    </row>
    <row r="2699">
      <c r="F2699" s="116" t="str">
        <f t="shared" si="1"/>
        <v/>
      </c>
      <c r="P2699" s="52"/>
    </row>
    <row r="2700">
      <c r="F2700" s="116" t="str">
        <f t="shared" si="1"/>
        <v/>
      </c>
      <c r="P2700" s="52"/>
    </row>
    <row r="2701">
      <c r="F2701" s="116" t="str">
        <f t="shared" si="1"/>
        <v/>
      </c>
      <c r="P2701" s="52"/>
    </row>
    <row r="2702">
      <c r="F2702" s="116" t="str">
        <f t="shared" si="1"/>
        <v/>
      </c>
      <c r="P2702" s="52"/>
    </row>
    <row r="2703">
      <c r="F2703" s="116" t="str">
        <f t="shared" si="1"/>
        <v/>
      </c>
      <c r="P2703" s="52"/>
    </row>
    <row r="2704">
      <c r="F2704" s="116" t="str">
        <f t="shared" si="1"/>
        <v/>
      </c>
      <c r="P2704" s="52"/>
    </row>
    <row r="2705">
      <c r="F2705" s="116" t="str">
        <f t="shared" si="1"/>
        <v/>
      </c>
      <c r="P2705" s="52"/>
    </row>
    <row r="2706">
      <c r="F2706" s="116" t="str">
        <f t="shared" si="1"/>
        <v/>
      </c>
      <c r="P2706" s="52"/>
    </row>
    <row r="2707">
      <c r="F2707" s="116" t="str">
        <f t="shared" si="1"/>
        <v/>
      </c>
      <c r="P2707" s="52"/>
    </row>
    <row r="2708">
      <c r="F2708" s="116" t="str">
        <f t="shared" si="1"/>
        <v/>
      </c>
      <c r="P2708" s="52"/>
    </row>
    <row r="2709">
      <c r="F2709" s="116" t="str">
        <f t="shared" si="1"/>
        <v/>
      </c>
      <c r="P2709" s="52"/>
    </row>
    <row r="2710">
      <c r="F2710" s="116" t="str">
        <f t="shared" si="1"/>
        <v/>
      </c>
      <c r="P2710" s="52"/>
    </row>
    <row r="2711">
      <c r="F2711" s="116" t="str">
        <f t="shared" si="1"/>
        <v/>
      </c>
      <c r="P2711" s="52"/>
    </row>
    <row r="2712">
      <c r="F2712" s="116" t="str">
        <f t="shared" si="1"/>
        <v/>
      </c>
      <c r="P2712" s="52"/>
    </row>
    <row r="2713">
      <c r="F2713" s="116" t="str">
        <f t="shared" si="1"/>
        <v/>
      </c>
      <c r="P2713" s="52"/>
    </row>
    <row r="2714">
      <c r="F2714" s="116" t="str">
        <f t="shared" si="1"/>
        <v/>
      </c>
      <c r="P2714" s="52"/>
    </row>
    <row r="2715">
      <c r="F2715" s="116" t="str">
        <f t="shared" si="1"/>
        <v/>
      </c>
      <c r="P2715" s="52"/>
    </row>
    <row r="2716">
      <c r="F2716" s="116" t="str">
        <f t="shared" si="1"/>
        <v/>
      </c>
      <c r="P2716" s="52"/>
    </row>
    <row r="2717">
      <c r="F2717" s="116" t="str">
        <f t="shared" si="1"/>
        <v/>
      </c>
      <c r="P2717" s="52"/>
    </row>
    <row r="2718">
      <c r="F2718" s="116" t="str">
        <f t="shared" si="1"/>
        <v/>
      </c>
      <c r="P2718" s="52"/>
    </row>
    <row r="2719">
      <c r="F2719" s="116" t="str">
        <f t="shared" si="1"/>
        <v/>
      </c>
      <c r="P2719" s="52"/>
    </row>
    <row r="2720">
      <c r="F2720" s="116" t="str">
        <f t="shared" si="1"/>
        <v/>
      </c>
      <c r="P2720" s="52"/>
    </row>
    <row r="2721">
      <c r="F2721" s="116" t="str">
        <f t="shared" si="1"/>
        <v/>
      </c>
      <c r="P2721" s="52"/>
    </row>
    <row r="2722">
      <c r="F2722" s="116" t="str">
        <f t="shared" si="1"/>
        <v/>
      </c>
      <c r="P2722" s="52"/>
    </row>
    <row r="2723">
      <c r="F2723" s="116" t="str">
        <f t="shared" si="1"/>
        <v/>
      </c>
      <c r="P2723" s="52"/>
    </row>
    <row r="2724">
      <c r="F2724" s="116" t="str">
        <f t="shared" si="1"/>
        <v/>
      </c>
      <c r="P2724" s="52"/>
    </row>
    <row r="2725">
      <c r="F2725" s="116" t="str">
        <f t="shared" si="1"/>
        <v/>
      </c>
      <c r="P2725" s="52"/>
    </row>
    <row r="2726">
      <c r="F2726" s="116" t="str">
        <f t="shared" si="1"/>
        <v/>
      </c>
      <c r="P2726" s="52"/>
    </row>
    <row r="2727">
      <c r="F2727" s="116" t="str">
        <f t="shared" si="1"/>
        <v/>
      </c>
      <c r="P2727" s="52"/>
    </row>
    <row r="2728">
      <c r="F2728" s="116" t="str">
        <f t="shared" si="1"/>
        <v/>
      </c>
      <c r="P2728" s="52"/>
    </row>
    <row r="2729">
      <c r="F2729" s="116" t="str">
        <f t="shared" si="1"/>
        <v/>
      </c>
      <c r="P2729" s="52"/>
    </row>
    <row r="2730">
      <c r="F2730" s="116" t="str">
        <f t="shared" si="1"/>
        <v/>
      </c>
      <c r="P2730" s="52"/>
    </row>
    <row r="2731">
      <c r="F2731" s="116" t="str">
        <f t="shared" si="1"/>
        <v/>
      </c>
      <c r="P2731" s="52"/>
    </row>
    <row r="2732">
      <c r="F2732" s="116" t="str">
        <f t="shared" si="1"/>
        <v/>
      </c>
      <c r="P2732" s="52"/>
    </row>
    <row r="2733">
      <c r="F2733" s="116" t="str">
        <f t="shared" si="1"/>
        <v/>
      </c>
      <c r="P2733" s="52"/>
    </row>
    <row r="2734">
      <c r="F2734" s="116" t="str">
        <f t="shared" si="1"/>
        <v/>
      </c>
      <c r="P2734" s="52"/>
    </row>
    <row r="2735">
      <c r="F2735" s="116" t="str">
        <f t="shared" si="1"/>
        <v/>
      </c>
      <c r="P2735" s="52"/>
    </row>
    <row r="2736">
      <c r="F2736" s="116" t="str">
        <f t="shared" si="1"/>
        <v/>
      </c>
      <c r="P2736" s="52"/>
    </row>
    <row r="2737">
      <c r="F2737" s="116" t="str">
        <f t="shared" si="1"/>
        <v/>
      </c>
      <c r="P2737" s="52"/>
    </row>
    <row r="2738">
      <c r="F2738" s="116" t="str">
        <f t="shared" si="1"/>
        <v/>
      </c>
      <c r="P2738" s="52"/>
    </row>
    <row r="2739">
      <c r="F2739" s="116" t="str">
        <f t="shared" si="1"/>
        <v/>
      </c>
      <c r="P2739" s="52"/>
    </row>
    <row r="2740">
      <c r="F2740" s="116" t="str">
        <f t="shared" si="1"/>
        <v/>
      </c>
      <c r="P2740" s="52"/>
    </row>
    <row r="2741">
      <c r="F2741" s="116" t="str">
        <f t="shared" si="1"/>
        <v/>
      </c>
      <c r="P2741" s="52"/>
    </row>
    <row r="2742">
      <c r="F2742" s="116" t="str">
        <f t="shared" si="1"/>
        <v/>
      </c>
      <c r="P2742" s="52"/>
    </row>
    <row r="2743">
      <c r="F2743" s="116" t="str">
        <f t="shared" si="1"/>
        <v/>
      </c>
      <c r="P2743" s="52"/>
    </row>
    <row r="2744">
      <c r="F2744" s="116" t="str">
        <f t="shared" si="1"/>
        <v/>
      </c>
      <c r="P2744" s="52"/>
    </row>
    <row r="2745">
      <c r="F2745" s="116" t="str">
        <f t="shared" si="1"/>
        <v/>
      </c>
      <c r="P2745" s="52"/>
    </row>
    <row r="2746">
      <c r="F2746" s="116" t="str">
        <f t="shared" si="1"/>
        <v/>
      </c>
      <c r="P2746" s="52"/>
    </row>
    <row r="2747">
      <c r="F2747" s="116" t="str">
        <f t="shared" si="1"/>
        <v/>
      </c>
      <c r="P2747" s="52"/>
    </row>
    <row r="2748">
      <c r="F2748" s="116" t="str">
        <f t="shared" si="1"/>
        <v/>
      </c>
      <c r="P2748" s="52"/>
    </row>
    <row r="2749">
      <c r="F2749" s="116" t="str">
        <f t="shared" si="1"/>
        <v/>
      </c>
      <c r="P2749" s="52"/>
    </row>
    <row r="2750">
      <c r="F2750" s="116" t="str">
        <f t="shared" si="1"/>
        <v/>
      </c>
      <c r="P2750" s="52"/>
    </row>
    <row r="2751">
      <c r="F2751" s="116" t="str">
        <f t="shared" si="1"/>
        <v/>
      </c>
      <c r="P2751" s="52"/>
    </row>
    <row r="2752">
      <c r="F2752" s="116" t="str">
        <f t="shared" si="1"/>
        <v/>
      </c>
      <c r="P2752" s="52"/>
    </row>
    <row r="2753">
      <c r="F2753" s="116" t="str">
        <f t="shared" si="1"/>
        <v/>
      </c>
      <c r="P2753" s="52"/>
    </row>
    <row r="2754">
      <c r="F2754" s="116" t="str">
        <f t="shared" si="1"/>
        <v/>
      </c>
      <c r="P2754" s="52"/>
    </row>
    <row r="2755">
      <c r="F2755" s="116" t="str">
        <f t="shared" si="1"/>
        <v/>
      </c>
      <c r="P2755" s="52"/>
    </row>
    <row r="2756">
      <c r="F2756" s="116" t="str">
        <f t="shared" si="1"/>
        <v/>
      </c>
      <c r="P2756" s="52"/>
    </row>
    <row r="2757">
      <c r="F2757" s="116" t="str">
        <f t="shared" si="1"/>
        <v/>
      </c>
      <c r="P2757" s="52"/>
    </row>
    <row r="2758">
      <c r="F2758" s="116" t="str">
        <f t="shared" si="1"/>
        <v/>
      </c>
      <c r="P2758" s="52"/>
    </row>
    <row r="2759">
      <c r="F2759" s="116" t="str">
        <f t="shared" si="1"/>
        <v/>
      </c>
      <c r="P2759" s="52"/>
    </row>
    <row r="2760">
      <c r="F2760" s="116" t="str">
        <f t="shared" si="1"/>
        <v/>
      </c>
      <c r="P2760" s="52"/>
    </row>
    <row r="2761">
      <c r="F2761" s="116" t="str">
        <f t="shared" si="1"/>
        <v/>
      </c>
      <c r="P2761" s="52"/>
    </row>
    <row r="2762">
      <c r="F2762" s="116" t="str">
        <f t="shared" si="1"/>
        <v/>
      </c>
      <c r="P2762" s="52"/>
    </row>
    <row r="2763">
      <c r="F2763" s="116" t="str">
        <f t="shared" si="1"/>
        <v/>
      </c>
      <c r="P2763" s="52"/>
    </row>
    <row r="2764">
      <c r="F2764" s="116" t="str">
        <f t="shared" si="1"/>
        <v/>
      </c>
      <c r="P2764" s="52"/>
    </row>
    <row r="2765">
      <c r="F2765" s="116" t="str">
        <f t="shared" si="1"/>
        <v/>
      </c>
      <c r="P2765" s="52"/>
    </row>
    <row r="2766">
      <c r="F2766" s="116" t="str">
        <f t="shared" si="1"/>
        <v/>
      </c>
      <c r="P2766" s="52"/>
    </row>
    <row r="2767">
      <c r="F2767" s="116" t="str">
        <f t="shared" si="1"/>
        <v/>
      </c>
      <c r="P2767" s="52"/>
    </row>
    <row r="2768">
      <c r="F2768" s="116" t="str">
        <f t="shared" si="1"/>
        <v/>
      </c>
      <c r="P2768" s="52"/>
    </row>
    <row r="2769">
      <c r="F2769" s="116" t="str">
        <f t="shared" si="1"/>
        <v/>
      </c>
      <c r="P2769" s="52"/>
    </row>
    <row r="2770">
      <c r="F2770" s="116" t="str">
        <f t="shared" si="1"/>
        <v/>
      </c>
      <c r="P2770" s="52"/>
    </row>
    <row r="2771">
      <c r="F2771" s="116" t="str">
        <f t="shared" si="1"/>
        <v/>
      </c>
      <c r="P2771" s="52"/>
    </row>
    <row r="2772">
      <c r="F2772" s="116" t="str">
        <f t="shared" si="1"/>
        <v/>
      </c>
      <c r="P2772" s="52"/>
    </row>
    <row r="2773">
      <c r="F2773" s="116" t="str">
        <f t="shared" si="1"/>
        <v/>
      </c>
      <c r="P2773" s="52"/>
    </row>
    <row r="2774">
      <c r="F2774" s="116" t="str">
        <f t="shared" si="1"/>
        <v/>
      </c>
      <c r="P2774" s="52"/>
    </row>
    <row r="2775">
      <c r="F2775" s="116" t="str">
        <f t="shared" si="1"/>
        <v/>
      </c>
      <c r="P2775" s="52"/>
    </row>
    <row r="2776">
      <c r="F2776" s="116" t="str">
        <f t="shared" si="1"/>
        <v/>
      </c>
      <c r="P2776" s="52"/>
    </row>
    <row r="2777">
      <c r="F2777" s="116" t="str">
        <f t="shared" si="1"/>
        <v/>
      </c>
      <c r="P2777" s="52"/>
    </row>
    <row r="2778">
      <c r="F2778" s="116" t="str">
        <f t="shared" si="1"/>
        <v/>
      </c>
      <c r="P2778" s="52"/>
    </row>
    <row r="2779">
      <c r="F2779" s="116" t="str">
        <f t="shared" si="1"/>
        <v/>
      </c>
      <c r="P2779" s="52"/>
    </row>
    <row r="2780">
      <c r="F2780" s="116" t="str">
        <f t="shared" si="1"/>
        <v/>
      </c>
      <c r="P2780" s="52"/>
    </row>
    <row r="2781">
      <c r="F2781" s="116" t="str">
        <f t="shared" si="1"/>
        <v/>
      </c>
      <c r="P2781" s="52"/>
    </row>
    <row r="2782">
      <c r="F2782" s="116" t="str">
        <f t="shared" si="1"/>
        <v/>
      </c>
      <c r="P2782" s="52"/>
    </row>
    <row r="2783">
      <c r="F2783" s="116" t="str">
        <f t="shared" si="1"/>
        <v/>
      </c>
      <c r="P2783" s="52"/>
    </row>
    <row r="2784">
      <c r="F2784" s="116" t="str">
        <f t="shared" si="1"/>
        <v/>
      </c>
      <c r="P2784" s="52"/>
    </row>
    <row r="2785">
      <c r="F2785" s="116" t="str">
        <f t="shared" si="1"/>
        <v/>
      </c>
      <c r="P2785" s="52"/>
    </row>
    <row r="2786">
      <c r="F2786" s="116" t="str">
        <f t="shared" si="1"/>
        <v/>
      </c>
      <c r="P2786" s="52"/>
    </row>
    <row r="2787">
      <c r="F2787" s="116" t="str">
        <f t="shared" si="1"/>
        <v/>
      </c>
      <c r="P2787" s="52"/>
    </row>
    <row r="2788">
      <c r="F2788" s="116" t="str">
        <f t="shared" si="1"/>
        <v/>
      </c>
      <c r="P2788" s="52"/>
    </row>
    <row r="2789">
      <c r="F2789" s="116" t="str">
        <f t="shared" si="1"/>
        <v/>
      </c>
      <c r="P2789" s="52"/>
    </row>
    <row r="2790">
      <c r="F2790" s="116" t="str">
        <f t="shared" si="1"/>
        <v/>
      </c>
      <c r="P2790" s="52"/>
    </row>
    <row r="2791">
      <c r="F2791" s="116" t="str">
        <f t="shared" si="1"/>
        <v/>
      </c>
      <c r="P2791" s="52"/>
    </row>
    <row r="2792">
      <c r="F2792" s="116" t="str">
        <f t="shared" si="1"/>
        <v/>
      </c>
      <c r="P2792" s="52"/>
    </row>
    <row r="2793">
      <c r="F2793" s="116" t="str">
        <f t="shared" si="1"/>
        <v/>
      </c>
      <c r="P2793" s="52"/>
    </row>
    <row r="2794">
      <c r="F2794" s="116" t="str">
        <f t="shared" si="1"/>
        <v/>
      </c>
      <c r="P2794" s="52"/>
    </row>
    <row r="2795">
      <c r="F2795" s="116" t="str">
        <f t="shared" si="1"/>
        <v/>
      </c>
      <c r="P2795" s="52"/>
    </row>
    <row r="2796">
      <c r="F2796" s="116" t="str">
        <f t="shared" si="1"/>
        <v/>
      </c>
      <c r="P2796" s="52"/>
    </row>
    <row r="2797">
      <c r="F2797" s="116" t="str">
        <f t="shared" si="1"/>
        <v/>
      </c>
      <c r="P2797" s="52"/>
    </row>
    <row r="2798">
      <c r="F2798" s="116" t="str">
        <f t="shared" si="1"/>
        <v/>
      </c>
      <c r="P2798" s="52"/>
    </row>
    <row r="2799">
      <c r="F2799" s="116" t="str">
        <f t="shared" si="1"/>
        <v/>
      </c>
      <c r="P2799" s="52"/>
    </row>
    <row r="2800">
      <c r="F2800" s="116" t="str">
        <f t="shared" si="1"/>
        <v/>
      </c>
      <c r="P2800" s="52"/>
    </row>
    <row r="2801">
      <c r="F2801" s="116" t="str">
        <f t="shared" si="1"/>
        <v/>
      </c>
      <c r="P2801" s="52"/>
    </row>
    <row r="2802">
      <c r="F2802" s="116" t="str">
        <f t="shared" si="1"/>
        <v/>
      </c>
      <c r="P2802" s="52"/>
    </row>
    <row r="2803">
      <c r="F2803" s="116" t="str">
        <f t="shared" si="1"/>
        <v/>
      </c>
      <c r="P2803" s="52"/>
    </row>
    <row r="2804">
      <c r="F2804" s="116" t="str">
        <f t="shared" si="1"/>
        <v/>
      </c>
      <c r="P2804" s="52"/>
    </row>
    <row r="2805">
      <c r="F2805" s="116" t="str">
        <f t="shared" si="1"/>
        <v/>
      </c>
      <c r="P2805" s="52"/>
    </row>
    <row r="2806">
      <c r="F2806" s="116" t="str">
        <f t="shared" si="1"/>
        <v/>
      </c>
      <c r="P2806" s="52"/>
    </row>
    <row r="2807">
      <c r="F2807" s="116" t="str">
        <f t="shared" si="1"/>
        <v/>
      </c>
      <c r="P2807" s="52"/>
    </row>
    <row r="2808">
      <c r="F2808" s="116" t="str">
        <f t="shared" si="1"/>
        <v/>
      </c>
      <c r="P2808" s="52"/>
    </row>
    <row r="2809">
      <c r="F2809" s="116" t="str">
        <f t="shared" si="1"/>
        <v/>
      </c>
      <c r="P2809" s="52"/>
    </row>
    <row r="2810">
      <c r="F2810" s="116" t="str">
        <f t="shared" si="1"/>
        <v/>
      </c>
      <c r="P2810" s="52"/>
    </row>
    <row r="2811">
      <c r="F2811" s="116" t="str">
        <f t="shared" si="1"/>
        <v/>
      </c>
      <c r="P2811" s="52"/>
    </row>
    <row r="2812">
      <c r="F2812" s="116" t="str">
        <f t="shared" si="1"/>
        <v/>
      </c>
      <c r="P2812" s="52"/>
    </row>
    <row r="2813">
      <c r="F2813" s="116" t="str">
        <f t="shared" si="1"/>
        <v/>
      </c>
      <c r="P2813" s="52"/>
    </row>
    <row r="2814">
      <c r="F2814" s="116" t="str">
        <f t="shared" si="1"/>
        <v/>
      </c>
      <c r="P2814" s="52"/>
    </row>
    <row r="2815">
      <c r="F2815" s="116" t="str">
        <f t="shared" si="1"/>
        <v/>
      </c>
      <c r="P2815" s="52"/>
    </row>
    <row r="2816">
      <c r="F2816" s="116" t="str">
        <f t="shared" si="1"/>
        <v/>
      </c>
      <c r="P2816" s="52"/>
    </row>
    <row r="2817">
      <c r="F2817" s="116" t="str">
        <f t="shared" si="1"/>
        <v/>
      </c>
      <c r="P2817" s="52"/>
    </row>
    <row r="2818">
      <c r="F2818" s="116" t="str">
        <f t="shared" si="1"/>
        <v/>
      </c>
      <c r="P2818" s="52"/>
    </row>
    <row r="2819">
      <c r="F2819" s="116" t="str">
        <f t="shared" si="1"/>
        <v/>
      </c>
      <c r="P2819" s="52"/>
    </row>
    <row r="2820">
      <c r="F2820" s="116" t="str">
        <f t="shared" si="1"/>
        <v/>
      </c>
      <c r="P2820" s="52"/>
    </row>
    <row r="2821">
      <c r="F2821" s="116" t="str">
        <f t="shared" si="1"/>
        <v/>
      </c>
      <c r="P2821" s="52"/>
    </row>
    <row r="2822">
      <c r="F2822" s="116" t="str">
        <f t="shared" si="1"/>
        <v/>
      </c>
      <c r="P2822" s="52"/>
    </row>
    <row r="2823">
      <c r="F2823" s="116" t="str">
        <f t="shared" si="1"/>
        <v/>
      </c>
      <c r="P2823" s="52"/>
    </row>
    <row r="2824">
      <c r="F2824" s="116" t="str">
        <f t="shared" si="1"/>
        <v/>
      </c>
      <c r="P2824" s="52"/>
    </row>
    <row r="2825">
      <c r="F2825" s="116" t="str">
        <f t="shared" si="1"/>
        <v/>
      </c>
      <c r="P2825" s="52"/>
    </row>
    <row r="2826">
      <c r="F2826" s="116" t="str">
        <f t="shared" si="1"/>
        <v/>
      </c>
      <c r="P2826" s="52"/>
    </row>
    <row r="2827">
      <c r="F2827" s="116" t="str">
        <f t="shared" si="1"/>
        <v/>
      </c>
      <c r="P2827" s="52"/>
    </row>
    <row r="2828">
      <c r="F2828" s="116" t="str">
        <f t="shared" si="1"/>
        <v/>
      </c>
      <c r="P2828" s="52"/>
    </row>
    <row r="2829">
      <c r="F2829" s="116" t="str">
        <f t="shared" si="1"/>
        <v/>
      </c>
      <c r="P2829" s="52"/>
    </row>
    <row r="2830">
      <c r="F2830" s="116" t="str">
        <f t="shared" si="1"/>
        <v/>
      </c>
      <c r="P2830" s="52"/>
    </row>
    <row r="2831">
      <c r="F2831" s="116" t="str">
        <f t="shared" si="1"/>
        <v/>
      </c>
      <c r="P2831" s="52"/>
    </row>
    <row r="2832">
      <c r="F2832" s="116" t="str">
        <f t="shared" si="1"/>
        <v/>
      </c>
      <c r="P2832" s="52"/>
    </row>
    <row r="2833">
      <c r="F2833" s="116" t="str">
        <f t="shared" si="1"/>
        <v/>
      </c>
      <c r="P2833" s="52"/>
    </row>
    <row r="2834">
      <c r="F2834" s="116" t="str">
        <f t="shared" si="1"/>
        <v/>
      </c>
      <c r="P2834" s="52"/>
    </row>
    <row r="2835">
      <c r="F2835" s="116" t="str">
        <f t="shared" si="1"/>
        <v/>
      </c>
      <c r="P2835" s="52"/>
    </row>
    <row r="2836">
      <c r="F2836" s="116" t="str">
        <f t="shared" si="1"/>
        <v/>
      </c>
      <c r="P2836" s="52"/>
    </row>
    <row r="2837">
      <c r="F2837" s="116" t="str">
        <f t="shared" si="1"/>
        <v/>
      </c>
      <c r="P2837" s="52"/>
    </row>
    <row r="2838">
      <c r="F2838" s="116" t="str">
        <f t="shared" si="1"/>
        <v/>
      </c>
      <c r="P2838" s="52"/>
    </row>
    <row r="2839">
      <c r="F2839" s="116" t="str">
        <f t="shared" si="1"/>
        <v/>
      </c>
      <c r="P2839" s="52"/>
    </row>
    <row r="2840">
      <c r="F2840" s="116" t="str">
        <f t="shared" si="1"/>
        <v/>
      </c>
      <c r="P2840" s="52"/>
    </row>
    <row r="2841">
      <c r="F2841" s="116" t="str">
        <f t="shared" si="1"/>
        <v/>
      </c>
      <c r="P2841" s="52"/>
    </row>
    <row r="2842">
      <c r="F2842" s="116" t="str">
        <f t="shared" si="1"/>
        <v/>
      </c>
      <c r="P2842" s="52"/>
    </row>
    <row r="2843">
      <c r="F2843" s="116" t="str">
        <f t="shared" si="1"/>
        <v/>
      </c>
      <c r="P2843" s="52"/>
    </row>
    <row r="2844">
      <c r="F2844" s="116" t="str">
        <f t="shared" si="1"/>
        <v/>
      </c>
      <c r="P2844" s="52"/>
    </row>
    <row r="2845">
      <c r="F2845" s="116" t="str">
        <f t="shared" si="1"/>
        <v/>
      </c>
      <c r="P2845" s="52"/>
    </row>
    <row r="2846">
      <c r="F2846" s="116" t="str">
        <f t="shared" si="1"/>
        <v/>
      </c>
      <c r="P2846" s="52"/>
    </row>
    <row r="2847">
      <c r="F2847" s="116" t="str">
        <f t="shared" si="1"/>
        <v/>
      </c>
      <c r="P2847" s="52"/>
    </row>
    <row r="2848">
      <c r="F2848" s="116" t="str">
        <f t="shared" si="1"/>
        <v/>
      </c>
      <c r="P2848" s="52"/>
    </row>
    <row r="2849">
      <c r="F2849" s="116" t="str">
        <f t="shared" si="1"/>
        <v/>
      </c>
      <c r="P2849" s="52"/>
    </row>
    <row r="2850">
      <c r="F2850" s="116" t="str">
        <f t="shared" si="1"/>
        <v/>
      </c>
      <c r="P2850" s="52"/>
    </row>
    <row r="2851">
      <c r="F2851" s="116" t="str">
        <f t="shared" si="1"/>
        <v/>
      </c>
      <c r="P2851" s="52"/>
    </row>
    <row r="2852">
      <c r="F2852" s="116" t="str">
        <f t="shared" si="1"/>
        <v/>
      </c>
      <c r="P2852" s="52"/>
    </row>
    <row r="2853">
      <c r="F2853" s="116" t="str">
        <f t="shared" si="1"/>
        <v/>
      </c>
      <c r="P2853" s="52"/>
    </row>
    <row r="2854">
      <c r="F2854" s="116" t="str">
        <f t="shared" si="1"/>
        <v/>
      </c>
      <c r="P2854" s="52"/>
    </row>
    <row r="2855">
      <c r="F2855" s="116" t="str">
        <f t="shared" si="1"/>
        <v/>
      </c>
      <c r="P2855" s="52"/>
    </row>
    <row r="2856">
      <c r="F2856" s="116" t="str">
        <f t="shared" si="1"/>
        <v/>
      </c>
      <c r="P2856" s="52"/>
    </row>
    <row r="2857">
      <c r="F2857" s="116" t="str">
        <f t="shared" si="1"/>
        <v/>
      </c>
      <c r="P2857" s="52"/>
    </row>
    <row r="2858">
      <c r="F2858" s="116" t="str">
        <f t="shared" si="1"/>
        <v/>
      </c>
      <c r="P2858" s="52"/>
    </row>
    <row r="2859">
      <c r="F2859" s="116" t="str">
        <f t="shared" si="1"/>
        <v/>
      </c>
      <c r="P2859" s="52"/>
    </row>
    <row r="2860">
      <c r="F2860" s="116" t="str">
        <f t="shared" si="1"/>
        <v/>
      </c>
      <c r="P2860" s="52"/>
    </row>
    <row r="2861">
      <c r="F2861" s="116" t="str">
        <f t="shared" si="1"/>
        <v/>
      </c>
      <c r="P2861" s="52"/>
    </row>
    <row r="2862">
      <c r="F2862" s="116" t="str">
        <f t="shared" si="1"/>
        <v/>
      </c>
      <c r="P2862" s="52"/>
    </row>
    <row r="2863">
      <c r="F2863" s="116" t="str">
        <f t="shared" si="1"/>
        <v/>
      </c>
      <c r="P2863" s="52"/>
    </row>
    <row r="2864">
      <c r="F2864" s="116" t="str">
        <f t="shared" si="1"/>
        <v/>
      </c>
      <c r="P2864" s="52"/>
    </row>
    <row r="2865">
      <c r="F2865" s="116" t="str">
        <f t="shared" si="1"/>
        <v/>
      </c>
      <c r="P2865" s="52"/>
    </row>
    <row r="2866">
      <c r="F2866" s="116" t="str">
        <f t="shared" si="1"/>
        <v/>
      </c>
      <c r="P2866" s="52"/>
    </row>
    <row r="2867">
      <c r="F2867" s="116" t="str">
        <f t="shared" si="1"/>
        <v/>
      </c>
      <c r="P2867" s="52"/>
    </row>
    <row r="2868">
      <c r="F2868" s="116" t="str">
        <f t="shared" si="1"/>
        <v/>
      </c>
      <c r="P2868" s="52"/>
    </row>
    <row r="2869">
      <c r="F2869" s="116" t="str">
        <f t="shared" si="1"/>
        <v/>
      </c>
      <c r="P2869" s="52"/>
    </row>
    <row r="2870">
      <c r="F2870" s="116" t="str">
        <f t="shared" si="1"/>
        <v/>
      </c>
      <c r="P2870" s="52"/>
    </row>
    <row r="2871">
      <c r="F2871" s="116" t="str">
        <f t="shared" si="1"/>
        <v/>
      </c>
      <c r="P2871" s="52"/>
    </row>
    <row r="2872">
      <c r="F2872" s="116" t="str">
        <f t="shared" si="1"/>
        <v/>
      </c>
      <c r="P2872" s="52"/>
    </row>
    <row r="2873">
      <c r="F2873" s="116" t="str">
        <f t="shared" si="1"/>
        <v/>
      </c>
      <c r="P2873" s="52"/>
    </row>
    <row r="2874">
      <c r="F2874" s="116" t="str">
        <f t="shared" si="1"/>
        <v/>
      </c>
      <c r="P2874" s="52"/>
    </row>
    <row r="2875">
      <c r="F2875" s="116" t="str">
        <f t="shared" si="1"/>
        <v/>
      </c>
      <c r="P2875" s="52"/>
    </row>
    <row r="2876">
      <c r="F2876" s="116" t="str">
        <f t="shared" si="1"/>
        <v/>
      </c>
      <c r="P2876" s="52"/>
    </row>
    <row r="2877">
      <c r="F2877" s="116" t="str">
        <f t="shared" si="1"/>
        <v/>
      </c>
      <c r="P2877" s="52"/>
    </row>
    <row r="2878">
      <c r="F2878" s="116" t="str">
        <f t="shared" si="1"/>
        <v/>
      </c>
      <c r="P2878" s="52"/>
    </row>
    <row r="2879">
      <c r="F2879" s="116" t="str">
        <f t="shared" si="1"/>
        <v/>
      </c>
      <c r="P2879" s="52"/>
    </row>
    <row r="2880">
      <c r="F2880" s="116" t="str">
        <f t="shared" si="1"/>
        <v/>
      </c>
      <c r="P2880" s="52"/>
    </row>
    <row r="2881">
      <c r="F2881" s="116" t="str">
        <f t="shared" si="1"/>
        <v/>
      </c>
      <c r="P2881" s="52"/>
    </row>
    <row r="2882">
      <c r="F2882" s="116" t="str">
        <f t="shared" si="1"/>
        <v/>
      </c>
      <c r="P2882" s="52"/>
    </row>
    <row r="2883">
      <c r="F2883" s="116" t="str">
        <f t="shared" si="1"/>
        <v/>
      </c>
      <c r="P2883" s="52"/>
    </row>
    <row r="2884">
      <c r="F2884" s="116" t="str">
        <f t="shared" si="1"/>
        <v/>
      </c>
      <c r="P2884" s="52"/>
    </row>
    <row r="2885">
      <c r="F2885" s="116" t="str">
        <f t="shared" si="1"/>
        <v/>
      </c>
      <c r="P2885" s="52"/>
    </row>
    <row r="2886">
      <c r="F2886" s="116" t="str">
        <f t="shared" si="1"/>
        <v/>
      </c>
      <c r="P2886" s="52"/>
    </row>
    <row r="2887">
      <c r="F2887" s="116" t="str">
        <f t="shared" si="1"/>
        <v/>
      </c>
      <c r="P2887" s="52"/>
    </row>
    <row r="2888">
      <c r="F2888" s="116" t="str">
        <f t="shared" si="1"/>
        <v/>
      </c>
      <c r="P2888" s="52"/>
    </row>
    <row r="2889">
      <c r="F2889" s="116" t="str">
        <f t="shared" si="1"/>
        <v/>
      </c>
      <c r="P2889" s="52"/>
    </row>
    <row r="2890">
      <c r="F2890" s="116" t="str">
        <f t="shared" si="1"/>
        <v/>
      </c>
      <c r="P2890" s="52"/>
    </row>
    <row r="2891">
      <c r="F2891" s="116" t="str">
        <f t="shared" si="1"/>
        <v/>
      </c>
      <c r="P2891" s="52"/>
    </row>
    <row r="2892">
      <c r="F2892" s="116" t="str">
        <f t="shared" si="1"/>
        <v/>
      </c>
      <c r="P2892" s="52"/>
    </row>
    <row r="2893">
      <c r="F2893" s="116" t="str">
        <f t="shared" si="1"/>
        <v/>
      </c>
      <c r="P2893" s="52"/>
    </row>
    <row r="2894">
      <c r="F2894" s="116" t="str">
        <f t="shared" si="1"/>
        <v/>
      </c>
      <c r="P2894" s="52"/>
    </row>
    <row r="2895">
      <c r="F2895" s="116" t="str">
        <f t="shared" si="1"/>
        <v/>
      </c>
      <c r="P2895" s="52"/>
    </row>
    <row r="2896">
      <c r="F2896" s="116" t="str">
        <f t="shared" si="1"/>
        <v/>
      </c>
      <c r="P2896" s="52"/>
    </row>
    <row r="2897">
      <c r="F2897" s="116" t="str">
        <f t="shared" si="1"/>
        <v/>
      </c>
      <c r="P2897" s="52"/>
    </row>
    <row r="2898">
      <c r="F2898" s="116" t="str">
        <f t="shared" si="1"/>
        <v/>
      </c>
      <c r="P2898" s="52"/>
    </row>
    <row r="2899">
      <c r="F2899" s="116" t="str">
        <f t="shared" si="1"/>
        <v/>
      </c>
      <c r="P2899" s="52"/>
    </row>
    <row r="2900">
      <c r="F2900" s="116" t="str">
        <f t="shared" si="1"/>
        <v/>
      </c>
      <c r="P2900" s="52"/>
    </row>
    <row r="2901">
      <c r="F2901" s="116" t="str">
        <f t="shared" si="1"/>
        <v/>
      </c>
      <c r="P2901" s="52"/>
    </row>
    <row r="2902">
      <c r="F2902" s="116" t="str">
        <f t="shared" si="1"/>
        <v/>
      </c>
      <c r="P2902" s="52"/>
    </row>
    <row r="2903">
      <c r="F2903" s="116" t="str">
        <f t="shared" si="1"/>
        <v/>
      </c>
      <c r="P2903" s="52"/>
    </row>
    <row r="2904">
      <c r="F2904" s="116" t="str">
        <f t="shared" si="1"/>
        <v/>
      </c>
      <c r="P2904" s="52"/>
    </row>
    <row r="2905">
      <c r="F2905" s="116" t="str">
        <f t="shared" si="1"/>
        <v/>
      </c>
      <c r="P2905" s="52"/>
    </row>
    <row r="2906">
      <c r="F2906" s="116" t="str">
        <f t="shared" si="1"/>
        <v/>
      </c>
      <c r="P2906" s="52"/>
    </row>
    <row r="2907">
      <c r="F2907" s="116" t="str">
        <f t="shared" si="1"/>
        <v/>
      </c>
      <c r="P2907" s="52"/>
    </row>
    <row r="2908">
      <c r="F2908" s="116" t="str">
        <f t="shared" si="1"/>
        <v/>
      </c>
      <c r="P2908" s="52"/>
    </row>
    <row r="2909">
      <c r="F2909" s="116" t="str">
        <f t="shared" si="1"/>
        <v/>
      </c>
      <c r="P2909" s="52"/>
    </row>
    <row r="2910">
      <c r="F2910" s="116" t="str">
        <f t="shared" si="1"/>
        <v/>
      </c>
      <c r="P2910" s="52"/>
    </row>
    <row r="2911">
      <c r="F2911" s="116" t="str">
        <f t="shared" si="1"/>
        <v/>
      </c>
      <c r="P2911" s="52"/>
    </row>
    <row r="2912">
      <c r="F2912" s="116" t="str">
        <f t="shared" si="1"/>
        <v/>
      </c>
      <c r="P2912" s="52"/>
    </row>
    <row r="2913">
      <c r="F2913" s="116" t="str">
        <f t="shared" si="1"/>
        <v/>
      </c>
      <c r="P2913" s="52"/>
    </row>
    <row r="2914">
      <c r="F2914" s="116" t="str">
        <f t="shared" si="1"/>
        <v/>
      </c>
      <c r="P2914" s="52"/>
    </row>
    <row r="2915">
      <c r="F2915" s="116" t="str">
        <f t="shared" si="1"/>
        <v/>
      </c>
      <c r="P2915" s="52"/>
    </row>
    <row r="2916">
      <c r="F2916" s="116" t="str">
        <f t="shared" si="1"/>
        <v/>
      </c>
      <c r="P2916" s="52"/>
    </row>
    <row r="2917">
      <c r="F2917" s="116" t="str">
        <f t="shared" si="1"/>
        <v/>
      </c>
      <c r="P2917" s="52"/>
    </row>
    <row r="2918">
      <c r="F2918" s="116" t="str">
        <f t="shared" si="1"/>
        <v/>
      </c>
      <c r="P2918" s="52"/>
    </row>
    <row r="2919">
      <c r="F2919" s="116" t="str">
        <f t="shared" si="1"/>
        <v/>
      </c>
      <c r="P2919" s="52"/>
    </row>
    <row r="2920">
      <c r="F2920" s="116" t="str">
        <f t="shared" si="1"/>
        <v/>
      </c>
      <c r="P2920" s="52"/>
    </row>
    <row r="2921">
      <c r="F2921" s="116" t="str">
        <f t="shared" si="1"/>
        <v/>
      </c>
      <c r="P2921" s="52"/>
    </row>
    <row r="2922">
      <c r="F2922" s="116" t="str">
        <f t="shared" si="1"/>
        <v/>
      </c>
      <c r="P2922" s="52"/>
    </row>
    <row r="2923">
      <c r="F2923" s="116" t="str">
        <f t="shared" si="1"/>
        <v/>
      </c>
      <c r="P2923" s="52"/>
    </row>
    <row r="2924">
      <c r="F2924" s="116" t="str">
        <f t="shared" si="1"/>
        <v/>
      </c>
      <c r="P2924" s="52"/>
    </row>
    <row r="2925">
      <c r="F2925" s="116" t="str">
        <f t="shared" si="1"/>
        <v/>
      </c>
      <c r="P2925" s="52"/>
    </row>
    <row r="2926">
      <c r="F2926" s="116" t="str">
        <f t="shared" si="1"/>
        <v/>
      </c>
      <c r="P2926" s="52"/>
    </row>
    <row r="2927">
      <c r="F2927" s="116" t="str">
        <f t="shared" si="1"/>
        <v/>
      </c>
      <c r="P2927" s="52"/>
    </row>
    <row r="2928">
      <c r="F2928" s="116" t="str">
        <f t="shared" si="1"/>
        <v/>
      </c>
      <c r="P2928" s="52"/>
    </row>
    <row r="2929">
      <c r="F2929" s="116" t="str">
        <f t="shared" si="1"/>
        <v/>
      </c>
      <c r="P2929" s="52"/>
    </row>
    <row r="2930">
      <c r="F2930" s="116" t="str">
        <f t="shared" si="1"/>
        <v/>
      </c>
      <c r="P2930" s="52"/>
    </row>
    <row r="2931">
      <c r="F2931" s="116" t="str">
        <f t="shared" si="1"/>
        <v/>
      </c>
      <c r="P2931" s="52"/>
    </row>
    <row r="2932">
      <c r="F2932" s="116" t="str">
        <f t="shared" si="1"/>
        <v/>
      </c>
      <c r="P2932" s="52"/>
    </row>
    <row r="2933">
      <c r="F2933" s="116" t="str">
        <f t="shared" si="1"/>
        <v/>
      </c>
      <c r="P2933" s="52"/>
    </row>
    <row r="2934">
      <c r="F2934" s="116" t="str">
        <f t="shared" si="1"/>
        <v/>
      </c>
      <c r="P2934" s="52"/>
    </row>
    <row r="2935">
      <c r="F2935" s="116" t="str">
        <f t="shared" si="1"/>
        <v/>
      </c>
      <c r="P2935" s="52"/>
    </row>
    <row r="2936">
      <c r="F2936" s="116" t="str">
        <f t="shared" si="1"/>
        <v/>
      </c>
      <c r="P2936" s="52"/>
    </row>
    <row r="2937">
      <c r="F2937" s="116" t="str">
        <f t="shared" si="1"/>
        <v/>
      </c>
      <c r="P2937" s="52"/>
    </row>
    <row r="2938">
      <c r="F2938" s="116" t="str">
        <f t="shared" si="1"/>
        <v/>
      </c>
      <c r="P2938" s="52"/>
    </row>
    <row r="2939">
      <c r="F2939" s="116" t="str">
        <f t="shared" si="1"/>
        <v/>
      </c>
      <c r="P2939" s="52"/>
    </row>
    <row r="2940">
      <c r="F2940" s="116" t="str">
        <f t="shared" si="1"/>
        <v/>
      </c>
      <c r="P2940" s="52"/>
    </row>
    <row r="2941">
      <c r="F2941" s="116" t="str">
        <f t="shared" si="1"/>
        <v/>
      </c>
      <c r="P2941" s="52"/>
    </row>
    <row r="2942">
      <c r="F2942" s="116" t="str">
        <f t="shared" si="1"/>
        <v/>
      </c>
      <c r="P2942" s="52"/>
    </row>
    <row r="2943">
      <c r="F2943" s="116" t="str">
        <f t="shared" si="1"/>
        <v/>
      </c>
      <c r="P2943" s="52"/>
    </row>
    <row r="2944">
      <c r="F2944" s="116" t="str">
        <f t="shared" si="1"/>
        <v/>
      </c>
      <c r="P2944" s="52"/>
    </row>
    <row r="2945">
      <c r="F2945" s="116" t="str">
        <f t="shared" si="1"/>
        <v/>
      </c>
      <c r="P2945" s="52"/>
    </row>
    <row r="2946">
      <c r="F2946" s="116" t="str">
        <f t="shared" si="1"/>
        <v/>
      </c>
      <c r="P2946" s="52"/>
    </row>
    <row r="2947">
      <c r="F2947" s="116" t="str">
        <f t="shared" si="1"/>
        <v/>
      </c>
      <c r="P2947" s="52"/>
    </row>
    <row r="2948">
      <c r="F2948" s="116" t="str">
        <f t="shared" si="1"/>
        <v/>
      </c>
      <c r="P2948" s="52"/>
    </row>
    <row r="2949">
      <c r="F2949" s="116" t="str">
        <f t="shared" si="1"/>
        <v/>
      </c>
      <c r="P2949" s="52"/>
    </row>
    <row r="2950">
      <c r="F2950" s="116" t="str">
        <f t="shared" si="1"/>
        <v/>
      </c>
      <c r="P2950" s="52"/>
    </row>
    <row r="2951">
      <c r="F2951" s="116" t="str">
        <f t="shared" si="1"/>
        <v/>
      </c>
      <c r="P2951" s="52"/>
    </row>
    <row r="2952">
      <c r="F2952" s="116" t="str">
        <f t="shared" si="1"/>
        <v/>
      </c>
      <c r="P2952" s="52"/>
    </row>
    <row r="2953">
      <c r="F2953" s="116" t="str">
        <f t="shared" si="1"/>
        <v/>
      </c>
      <c r="P2953" s="52"/>
    </row>
    <row r="2954">
      <c r="F2954" s="116" t="str">
        <f t="shared" si="1"/>
        <v/>
      </c>
      <c r="P2954" s="52"/>
    </row>
    <row r="2955">
      <c r="F2955" s="116" t="str">
        <f t="shared" si="1"/>
        <v/>
      </c>
      <c r="P2955" s="52"/>
    </row>
    <row r="2956">
      <c r="F2956" s="116" t="str">
        <f t="shared" si="1"/>
        <v/>
      </c>
      <c r="P2956" s="52"/>
    </row>
    <row r="2957">
      <c r="F2957" s="116" t="str">
        <f t="shared" si="1"/>
        <v/>
      </c>
      <c r="P2957" s="52"/>
    </row>
    <row r="2958">
      <c r="F2958" s="116" t="str">
        <f t="shared" si="1"/>
        <v/>
      </c>
      <c r="P2958" s="52"/>
    </row>
    <row r="2959">
      <c r="F2959" s="116" t="str">
        <f t="shared" si="1"/>
        <v/>
      </c>
      <c r="P2959" s="52"/>
    </row>
    <row r="2960">
      <c r="F2960" s="116" t="str">
        <f t="shared" si="1"/>
        <v/>
      </c>
      <c r="P2960" s="52"/>
    </row>
    <row r="2961">
      <c r="F2961" s="116" t="str">
        <f t="shared" si="1"/>
        <v/>
      </c>
      <c r="P2961" s="52"/>
    </row>
    <row r="2962">
      <c r="F2962" s="116" t="str">
        <f t="shared" si="1"/>
        <v/>
      </c>
      <c r="P2962" s="52"/>
    </row>
    <row r="2963">
      <c r="F2963" s="116" t="str">
        <f t="shared" si="1"/>
        <v/>
      </c>
      <c r="P2963" s="52"/>
    </row>
    <row r="2964">
      <c r="F2964" s="116" t="str">
        <f t="shared" si="1"/>
        <v/>
      </c>
      <c r="P2964" s="52"/>
    </row>
    <row r="2965">
      <c r="F2965" s="116" t="str">
        <f t="shared" si="1"/>
        <v/>
      </c>
      <c r="P2965" s="52"/>
    </row>
    <row r="2966">
      <c r="F2966" s="116" t="str">
        <f t="shared" si="1"/>
        <v/>
      </c>
      <c r="P2966" s="52"/>
    </row>
    <row r="2967">
      <c r="F2967" s="116" t="str">
        <f t="shared" si="1"/>
        <v/>
      </c>
      <c r="P2967" s="52"/>
    </row>
    <row r="2968">
      <c r="F2968" s="116" t="str">
        <f t="shared" si="1"/>
        <v/>
      </c>
      <c r="P2968" s="52"/>
    </row>
    <row r="2969">
      <c r="F2969" s="116" t="str">
        <f t="shared" si="1"/>
        <v/>
      </c>
      <c r="P2969" s="52"/>
    </row>
    <row r="2970">
      <c r="F2970" s="116" t="str">
        <f t="shared" si="1"/>
        <v/>
      </c>
      <c r="P2970" s="52"/>
    </row>
    <row r="2971">
      <c r="F2971" s="116" t="str">
        <f t="shared" si="1"/>
        <v/>
      </c>
      <c r="P2971" s="52"/>
    </row>
    <row r="2972">
      <c r="F2972" s="116" t="str">
        <f t="shared" si="1"/>
        <v/>
      </c>
      <c r="P2972" s="52"/>
    </row>
    <row r="2973">
      <c r="F2973" s="116" t="str">
        <f t="shared" si="1"/>
        <v/>
      </c>
      <c r="P2973" s="52"/>
    </row>
    <row r="2974">
      <c r="F2974" s="116" t="str">
        <f t="shared" si="1"/>
        <v/>
      </c>
      <c r="P2974" s="52"/>
    </row>
    <row r="2975">
      <c r="F2975" s="116" t="str">
        <f t="shared" si="1"/>
        <v/>
      </c>
      <c r="P2975" s="52"/>
    </row>
    <row r="2976">
      <c r="F2976" s="116" t="str">
        <f t="shared" si="1"/>
        <v/>
      </c>
      <c r="P2976" s="52"/>
    </row>
    <row r="2977">
      <c r="F2977" s="116" t="str">
        <f t="shared" si="1"/>
        <v/>
      </c>
      <c r="P2977" s="52"/>
    </row>
    <row r="2978">
      <c r="F2978" s="116" t="str">
        <f t="shared" si="1"/>
        <v/>
      </c>
      <c r="P2978" s="52"/>
    </row>
    <row r="2979">
      <c r="F2979" s="116" t="str">
        <f t="shared" si="1"/>
        <v/>
      </c>
      <c r="P2979" s="52"/>
    </row>
    <row r="2980">
      <c r="F2980" s="116" t="str">
        <f t="shared" si="1"/>
        <v/>
      </c>
      <c r="P2980" s="52"/>
    </row>
    <row r="2981">
      <c r="F2981" s="116" t="str">
        <f t="shared" si="1"/>
        <v/>
      </c>
      <c r="P2981" s="52"/>
    </row>
    <row r="2982">
      <c r="F2982" s="116" t="str">
        <f t="shared" si="1"/>
        <v/>
      </c>
      <c r="P2982" s="52"/>
    </row>
    <row r="2983">
      <c r="F2983" s="116" t="str">
        <f t="shared" si="1"/>
        <v/>
      </c>
      <c r="P2983" s="52"/>
    </row>
    <row r="2984">
      <c r="F2984" s="116" t="str">
        <f t="shared" si="1"/>
        <v/>
      </c>
      <c r="P2984" s="52"/>
    </row>
    <row r="2985">
      <c r="F2985" s="116" t="str">
        <f t="shared" si="1"/>
        <v/>
      </c>
      <c r="P2985" s="52"/>
    </row>
    <row r="2986">
      <c r="F2986" s="116" t="str">
        <f t="shared" si="1"/>
        <v/>
      </c>
      <c r="P2986" s="52"/>
    </row>
    <row r="2987">
      <c r="F2987" s="116" t="str">
        <f t="shared" si="1"/>
        <v/>
      </c>
      <c r="P2987" s="52"/>
    </row>
    <row r="2988">
      <c r="F2988" s="116" t="str">
        <f t="shared" si="1"/>
        <v/>
      </c>
      <c r="P2988" s="52"/>
    </row>
    <row r="2989">
      <c r="F2989" s="116" t="str">
        <f t="shared" si="1"/>
        <v/>
      </c>
      <c r="P2989" s="52"/>
    </row>
    <row r="2990">
      <c r="F2990" s="116" t="str">
        <f t="shared" si="1"/>
        <v/>
      </c>
      <c r="P2990" s="52"/>
    </row>
    <row r="2991">
      <c r="F2991" s="116" t="str">
        <f t="shared" si="1"/>
        <v/>
      </c>
      <c r="P2991" s="52"/>
    </row>
    <row r="2992">
      <c r="F2992" s="116" t="str">
        <f t="shared" si="1"/>
        <v/>
      </c>
      <c r="P2992" s="52"/>
    </row>
    <row r="2993">
      <c r="F2993" s="116" t="str">
        <f t="shared" si="1"/>
        <v/>
      </c>
      <c r="P2993" s="52"/>
    </row>
    <row r="2994">
      <c r="F2994" s="116" t="str">
        <f t="shared" si="1"/>
        <v/>
      </c>
      <c r="P2994" s="52"/>
    </row>
    <row r="2995">
      <c r="F2995" s="116" t="str">
        <f t="shared" si="1"/>
        <v/>
      </c>
      <c r="P2995" s="52"/>
    </row>
    <row r="2996">
      <c r="F2996" s="116" t="str">
        <f t="shared" si="1"/>
        <v/>
      </c>
      <c r="P2996" s="52"/>
    </row>
    <row r="2997">
      <c r="F2997" s="116" t="str">
        <f t="shared" si="1"/>
        <v/>
      </c>
      <c r="P2997" s="52"/>
    </row>
    <row r="2998">
      <c r="F2998" s="116" t="str">
        <f t="shared" si="1"/>
        <v/>
      </c>
      <c r="P2998" s="52"/>
    </row>
    <row r="2999">
      <c r="F2999" s="116" t="str">
        <f t="shared" si="1"/>
        <v/>
      </c>
      <c r="P2999" s="52"/>
    </row>
    <row r="3000">
      <c r="F3000" s="116" t="str">
        <f t="shared" si="1"/>
        <v/>
      </c>
      <c r="P3000" s="52"/>
    </row>
    <row r="3001">
      <c r="F3001" s="116" t="str">
        <f t="shared" si="1"/>
        <v/>
      </c>
      <c r="P3001" s="52"/>
    </row>
    <row r="3002">
      <c r="F3002" s="116" t="str">
        <f t="shared" si="1"/>
        <v/>
      </c>
      <c r="P3002" s="52"/>
    </row>
    <row r="3003">
      <c r="F3003" s="116" t="str">
        <f t="shared" si="1"/>
        <v/>
      </c>
      <c r="P3003" s="52"/>
    </row>
    <row r="3004">
      <c r="F3004" s="116" t="str">
        <f t="shared" si="1"/>
        <v/>
      </c>
      <c r="P3004" s="52"/>
    </row>
    <row r="3005">
      <c r="F3005" s="116" t="str">
        <f t="shared" si="1"/>
        <v/>
      </c>
      <c r="P3005" s="52"/>
    </row>
    <row r="3006">
      <c r="F3006" s="116" t="str">
        <f t="shared" si="1"/>
        <v/>
      </c>
      <c r="P3006" s="52"/>
    </row>
    <row r="3007">
      <c r="F3007" s="116" t="str">
        <f t="shared" si="1"/>
        <v/>
      </c>
      <c r="P3007" s="52"/>
    </row>
    <row r="3008">
      <c r="F3008" s="116" t="str">
        <f t="shared" si="1"/>
        <v/>
      </c>
      <c r="P3008" s="52"/>
    </row>
    <row r="3009">
      <c r="F3009" s="116" t="str">
        <f t="shared" si="1"/>
        <v/>
      </c>
      <c r="P3009" s="52"/>
    </row>
    <row r="3010">
      <c r="F3010" s="116" t="str">
        <f t="shared" si="1"/>
        <v/>
      </c>
      <c r="P3010" s="52"/>
    </row>
    <row r="3011">
      <c r="F3011" s="116" t="str">
        <f t="shared" si="1"/>
        <v/>
      </c>
      <c r="P3011" s="52"/>
    </row>
    <row r="3012">
      <c r="F3012" s="116" t="str">
        <f t="shared" si="1"/>
        <v/>
      </c>
      <c r="P3012" s="52"/>
    </row>
    <row r="3013">
      <c r="F3013" s="116" t="str">
        <f t="shared" si="1"/>
        <v/>
      </c>
      <c r="P3013" s="52"/>
    </row>
    <row r="3014">
      <c r="F3014" s="116" t="str">
        <f t="shared" si="1"/>
        <v/>
      </c>
      <c r="P3014" s="52"/>
    </row>
    <row r="3015">
      <c r="F3015" s="116" t="str">
        <f t="shared" si="1"/>
        <v/>
      </c>
      <c r="P3015" s="52"/>
    </row>
    <row r="3016">
      <c r="F3016" s="116" t="str">
        <f t="shared" si="1"/>
        <v/>
      </c>
      <c r="P3016" s="52"/>
    </row>
    <row r="3017">
      <c r="F3017" s="116" t="str">
        <f t="shared" si="1"/>
        <v/>
      </c>
      <c r="P3017" s="52"/>
    </row>
    <row r="3018">
      <c r="F3018" s="116" t="str">
        <f t="shared" si="1"/>
        <v/>
      </c>
      <c r="P3018" s="52"/>
    </row>
    <row r="3019">
      <c r="F3019" s="116" t="str">
        <f t="shared" si="1"/>
        <v/>
      </c>
      <c r="P3019" s="52"/>
    </row>
    <row r="3020">
      <c r="F3020" s="116" t="str">
        <f t="shared" si="1"/>
        <v/>
      </c>
      <c r="P3020" s="52"/>
    </row>
    <row r="3021">
      <c r="F3021" s="116" t="str">
        <f t="shared" si="1"/>
        <v/>
      </c>
      <c r="P3021" s="52"/>
    </row>
    <row r="3022">
      <c r="F3022" s="116" t="str">
        <f t="shared" si="1"/>
        <v/>
      </c>
      <c r="P3022" s="52"/>
    </row>
    <row r="3023">
      <c r="F3023" s="116" t="str">
        <f t="shared" si="1"/>
        <v/>
      </c>
      <c r="P3023" s="52"/>
    </row>
    <row r="3024">
      <c r="F3024" s="116" t="str">
        <f t="shared" si="1"/>
        <v/>
      </c>
      <c r="P3024" s="52"/>
    </row>
    <row r="3025">
      <c r="F3025" s="116" t="str">
        <f t="shared" si="1"/>
        <v/>
      </c>
      <c r="P3025" s="52"/>
    </row>
    <row r="3026">
      <c r="F3026" s="116" t="str">
        <f t="shared" si="1"/>
        <v/>
      </c>
      <c r="P3026" s="52"/>
    </row>
    <row r="3027">
      <c r="F3027" s="116" t="str">
        <f t="shared" si="1"/>
        <v/>
      </c>
      <c r="P3027" s="52"/>
    </row>
    <row r="3028">
      <c r="F3028" s="116" t="str">
        <f t="shared" si="1"/>
        <v/>
      </c>
      <c r="P3028" s="52"/>
    </row>
    <row r="3029">
      <c r="F3029" s="116" t="str">
        <f t="shared" si="1"/>
        <v/>
      </c>
      <c r="P3029" s="52"/>
    </row>
    <row r="3030">
      <c r="F3030" s="116" t="str">
        <f t="shared" si="1"/>
        <v/>
      </c>
      <c r="P3030" s="52"/>
    </row>
    <row r="3031">
      <c r="F3031" s="116" t="str">
        <f t="shared" si="1"/>
        <v/>
      </c>
      <c r="P3031" s="52"/>
    </row>
    <row r="3032">
      <c r="F3032" s="116" t="str">
        <f t="shared" si="1"/>
        <v/>
      </c>
      <c r="P3032" s="52"/>
    </row>
    <row r="3033">
      <c r="F3033" s="116" t="str">
        <f t="shared" si="1"/>
        <v/>
      </c>
      <c r="P3033" s="52"/>
    </row>
    <row r="3034">
      <c r="F3034" s="116" t="str">
        <f t="shared" si="1"/>
        <v/>
      </c>
      <c r="P3034" s="52"/>
    </row>
    <row r="3035">
      <c r="F3035" s="116" t="str">
        <f t="shared" si="1"/>
        <v/>
      </c>
      <c r="P3035" s="52"/>
    </row>
    <row r="3036">
      <c r="F3036" s="116" t="str">
        <f t="shared" si="1"/>
        <v/>
      </c>
      <c r="P3036" s="52"/>
    </row>
    <row r="3037">
      <c r="F3037" s="116" t="str">
        <f t="shared" si="1"/>
        <v/>
      </c>
      <c r="P3037" s="52"/>
    </row>
    <row r="3038">
      <c r="F3038" s="116" t="str">
        <f t="shared" si="1"/>
        <v/>
      </c>
      <c r="P3038" s="52"/>
    </row>
    <row r="3039">
      <c r="F3039" s="116" t="str">
        <f t="shared" si="1"/>
        <v/>
      </c>
      <c r="P3039" s="52"/>
    </row>
    <row r="3040">
      <c r="F3040" s="116" t="str">
        <f t="shared" si="1"/>
        <v/>
      </c>
      <c r="P3040" s="52"/>
    </row>
    <row r="3041">
      <c r="F3041" s="116" t="str">
        <f t="shared" si="1"/>
        <v/>
      </c>
      <c r="P3041" s="52"/>
    </row>
    <row r="3042">
      <c r="F3042" s="116" t="str">
        <f t="shared" si="1"/>
        <v/>
      </c>
      <c r="P3042" s="52"/>
    </row>
    <row r="3043">
      <c r="F3043" s="116" t="str">
        <f t="shared" si="1"/>
        <v/>
      </c>
      <c r="P3043" s="52"/>
    </row>
    <row r="3044">
      <c r="F3044" s="116" t="str">
        <f t="shared" si="1"/>
        <v/>
      </c>
      <c r="P3044" s="52"/>
    </row>
    <row r="3045">
      <c r="F3045" s="116" t="str">
        <f t="shared" si="1"/>
        <v/>
      </c>
      <c r="P3045" s="52"/>
    </row>
    <row r="3046">
      <c r="F3046" s="116" t="str">
        <f t="shared" si="1"/>
        <v/>
      </c>
      <c r="P3046" s="52"/>
    </row>
    <row r="3047">
      <c r="F3047" s="116" t="str">
        <f t="shared" si="1"/>
        <v/>
      </c>
      <c r="P3047" s="52"/>
    </row>
    <row r="3048">
      <c r="F3048" s="116" t="str">
        <f t="shared" si="1"/>
        <v/>
      </c>
      <c r="P3048" s="52"/>
    </row>
    <row r="3049">
      <c r="F3049" s="116" t="str">
        <f t="shared" si="1"/>
        <v/>
      </c>
      <c r="P3049" s="52"/>
    </row>
    <row r="3050">
      <c r="F3050" s="116" t="str">
        <f t="shared" si="1"/>
        <v/>
      </c>
      <c r="P3050" s="52"/>
    </row>
    <row r="3051">
      <c r="F3051" s="116" t="str">
        <f t="shared" si="1"/>
        <v/>
      </c>
      <c r="P3051" s="52"/>
    </row>
    <row r="3052">
      <c r="F3052" s="116" t="str">
        <f t="shared" si="1"/>
        <v/>
      </c>
      <c r="P3052" s="52"/>
    </row>
    <row r="3053">
      <c r="F3053" s="116" t="str">
        <f t="shared" si="1"/>
        <v/>
      </c>
      <c r="P3053" s="52"/>
    </row>
    <row r="3054">
      <c r="F3054" s="116" t="str">
        <f t="shared" si="1"/>
        <v/>
      </c>
      <c r="P3054" s="52"/>
    </row>
    <row r="3055">
      <c r="F3055" s="116" t="str">
        <f t="shared" si="1"/>
        <v/>
      </c>
      <c r="P3055" s="52"/>
    </row>
    <row r="3056">
      <c r="F3056" s="116" t="str">
        <f t="shared" si="1"/>
        <v/>
      </c>
      <c r="P3056" s="52"/>
    </row>
    <row r="3057">
      <c r="F3057" s="116" t="str">
        <f t="shared" si="1"/>
        <v/>
      </c>
      <c r="P3057" s="52"/>
    </row>
    <row r="3058">
      <c r="F3058" s="116" t="str">
        <f t="shared" si="1"/>
        <v/>
      </c>
      <c r="P3058" s="52"/>
    </row>
    <row r="3059">
      <c r="F3059" s="116" t="str">
        <f t="shared" si="1"/>
        <v/>
      </c>
      <c r="P3059" s="52"/>
    </row>
    <row r="3060">
      <c r="F3060" s="116" t="str">
        <f t="shared" si="1"/>
        <v/>
      </c>
      <c r="P3060" s="52"/>
    </row>
    <row r="3061">
      <c r="F3061" s="116" t="str">
        <f t="shared" si="1"/>
        <v/>
      </c>
      <c r="P3061" s="52"/>
    </row>
    <row r="3062">
      <c r="F3062" s="116" t="str">
        <f t="shared" si="1"/>
        <v/>
      </c>
      <c r="P3062" s="52"/>
    </row>
    <row r="3063">
      <c r="F3063" s="116" t="str">
        <f t="shared" si="1"/>
        <v/>
      </c>
      <c r="P3063" s="52"/>
    </row>
    <row r="3064">
      <c r="F3064" s="116" t="str">
        <f t="shared" si="1"/>
        <v/>
      </c>
      <c r="P3064" s="52"/>
    </row>
    <row r="3065">
      <c r="F3065" s="116" t="str">
        <f t="shared" si="1"/>
        <v/>
      </c>
      <c r="P3065" s="52"/>
    </row>
    <row r="3066">
      <c r="F3066" s="116" t="str">
        <f t="shared" si="1"/>
        <v/>
      </c>
      <c r="P3066" s="52"/>
    </row>
    <row r="3067">
      <c r="F3067" s="116" t="str">
        <f t="shared" si="1"/>
        <v/>
      </c>
      <c r="P3067" s="52"/>
    </row>
    <row r="3068">
      <c r="F3068" s="116" t="str">
        <f t="shared" si="1"/>
        <v/>
      </c>
      <c r="P3068" s="52"/>
    </row>
    <row r="3069">
      <c r="F3069" s="116" t="str">
        <f t="shared" si="1"/>
        <v/>
      </c>
      <c r="P3069" s="52"/>
    </row>
    <row r="3070">
      <c r="F3070" s="116" t="str">
        <f t="shared" si="1"/>
        <v/>
      </c>
      <c r="P3070" s="52"/>
    </row>
    <row r="3071">
      <c r="F3071" s="116" t="str">
        <f t="shared" si="1"/>
        <v/>
      </c>
      <c r="P3071" s="52"/>
    </row>
    <row r="3072">
      <c r="F3072" s="116" t="str">
        <f t="shared" si="1"/>
        <v/>
      </c>
      <c r="P3072" s="52"/>
    </row>
    <row r="3073">
      <c r="F3073" s="116" t="str">
        <f t="shared" si="1"/>
        <v/>
      </c>
      <c r="P3073" s="52"/>
    </row>
    <row r="3074">
      <c r="F3074" s="116" t="str">
        <f t="shared" si="1"/>
        <v/>
      </c>
      <c r="P3074" s="52"/>
    </row>
    <row r="3075">
      <c r="F3075" s="116" t="str">
        <f t="shared" si="1"/>
        <v/>
      </c>
      <c r="P3075" s="52"/>
    </row>
    <row r="3076">
      <c r="F3076" s="116" t="str">
        <f t="shared" si="1"/>
        <v/>
      </c>
      <c r="P3076" s="52"/>
    </row>
    <row r="3077">
      <c r="F3077" s="116" t="str">
        <f t="shared" si="1"/>
        <v/>
      </c>
      <c r="P3077" s="52"/>
    </row>
    <row r="3078">
      <c r="F3078" s="116" t="str">
        <f t="shared" si="1"/>
        <v/>
      </c>
      <c r="P3078" s="52"/>
    </row>
    <row r="3079">
      <c r="F3079" s="116" t="str">
        <f t="shared" si="1"/>
        <v/>
      </c>
      <c r="P3079" s="52"/>
    </row>
    <row r="3080">
      <c r="F3080" s="116" t="str">
        <f t="shared" si="1"/>
        <v/>
      </c>
      <c r="P3080" s="52"/>
    </row>
    <row r="3081">
      <c r="F3081" s="116" t="str">
        <f t="shared" si="1"/>
        <v/>
      </c>
      <c r="P3081" s="52"/>
    </row>
    <row r="3082">
      <c r="F3082" s="116" t="str">
        <f t="shared" si="1"/>
        <v/>
      </c>
      <c r="P3082" s="52"/>
    </row>
    <row r="3083">
      <c r="F3083" s="116" t="str">
        <f t="shared" si="1"/>
        <v/>
      </c>
      <c r="P3083" s="52"/>
    </row>
    <row r="3084">
      <c r="F3084" s="116" t="str">
        <f t="shared" si="1"/>
        <v/>
      </c>
      <c r="P3084" s="52"/>
    </row>
    <row r="3085">
      <c r="F3085" s="116" t="str">
        <f t="shared" si="1"/>
        <v/>
      </c>
      <c r="P3085" s="52"/>
    </row>
    <row r="3086">
      <c r="F3086" s="116" t="str">
        <f t="shared" si="1"/>
        <v/>
      </c>
      <c r="P3086" s="52"/>
    </row>
    <row r="3087">
      <c r="F3087" s="116" t="str">
        <f t="shared" si="1"/>
        <v/>
      </c>
      <c r="P3087" s="52"/>
    </row>
    <row r="3088">
      <c r="F3088" s="116" t="str">
        <f t="shared" si="1"/>
        <v/>
      </c>
      <c r="P3088" s="52"/>
    </row>
    <row r="3089">
      <c r="F3089" s="116" t="str">
        <f t="shared" si="1"/>
        <v/>
      </c>
      <c r="P3089" s="52"/>
    </row>
    <row r="3090">
      <c r="F3090" s="116" t="str">
        <f t="shared" si="1"/>
        <v/>
      </c>
      <c r="P3090" s="52"/>
    </row>
    <row r="3091">
      <c r="F3091" s="116" t="str">
        <f t="shared" si="1"/>
        <v/>
      </c>
      <c r="P3091" s="52"/>
    </row>
    <row r="3092">
      <c r="F3092" s="116" t="str">
        <f t="shared" si="1"/>
        <v/>
      </c>
      <c r="P3092" s="52"/>
    </row>
    <row r="3093">
      <c r="F3093" s="116" t="str">
        <f t="shared" si="1"/>
        <v/>
      </c>
      <c r="P3093" s="52"/>
    </row>
    <row r="3094">
      <c r="F3094" s="116" t="str">
        <f t="shared" si="1"/>
        <v/>
      </c>
      <c r="P3094" s="52"/>
    </row>
    <row r="3095">
      <c r="F3095" s="116" t="str">
        <f t="shared" si="1"/>
        <v/>
      </c>
      <c r="P3095" s="52"/>
    </row>
    <row r="3096">
      <c r="F3096" s="116" t="str">
        <f t="shared" si="1"/>
        <v/>
      </c>
      <c r="P3096" s="52"/>
    </row>
    <row r="3097">
      <c r="F3097" s="116" t="str">
        <f t="shared" si="1"/>
        <v/>
      </c>
      <c r="P3097" s="52"/>
    </row>
    <row r="3098">
      <c r="F3098" s="116" t="str">
        <f t="shared" si="1"/>
        <v/>
      </c>
      <c r="P3098" s="52"/>
    </row>
    <row r="3099">
      <c r="F3099" s="116" t="str">
        <f t="shared" si="1"/>
        <v/>
      </c>
      <c r="P3099" s="52"/>
    </row>
    <row r="3100">
      <c r="F3100" s="116" t="str">
        <f t="shared" si="1"/>
        <v/>
      </c>
      <c r="P3100" s="52"/>
    </row>
    <row r="3101">
      <c r="F3101" s="116" t="str">
        <f t="shared" si="1"/>
        <v/>
      </c>
      <c r="P3101" s="52"/>
    </row>
    <row r="3102">
      <c r="F3102" s="116" t="str">
        <f t="shared" si="1"/>
        <v/>
      </c>
      <c r="P3102" s="52"/>
    </row>
    <row r="3103">
      <c r="F3103" s="116" t="str">
        <f t="shared" si="1"/>
        <v/>
      </c>
      <c r="P3103" s="52"/>
    </row>
    <row r="3104">
      <c r="F3104" s="116" t="str">
        <f t="shared" si="1"/>
        <v/>
      </c>
      <c r="P3104" s="52"/>
    </row>
    <row r="3105">
      <c r="F3105" s="116" t="str">
        <f t="shared" si="1"/>
        <v/>
      </c>
      <c r="P3105" s="52"/>
    </row>
    <row r="3106">
      <c r="F3106" s="116" t="str">
        <f t="shared" si="1"/>
        <v/>
      </c>
      <c r="P3106" s="52"/>
    </row>
    <row r="3107">
      <c r="F3107" s="116" t="str">
        <f t="shared" si="1"/>
        <v/>
      </c>
      <c r="P3107" s="52"/>
    </row>
    <row r="3108">
      <c r="F3108" s="116" t="str">
        <f t="shared" si="1"/>
        <v/>
      </c>
      <c r="P3108" s="52"/>
    </row>
    <row r="3109">
      <c r="F3109" s="116" t="str">
        <f t="shared" si="1"/>
        <v/>
      </c>
      <c r="P3109" s="52"/>
    </row>
    <row r="3110">
      <c r="F3110" s="116" t="str">
        <f t="shared" si="1"/>
        <v/>
      </c>
      <c r="P3110" s="52"/>
    </row>
    <row r="3111">
      <c r="F3111" s="116" t="str">
        <f t="shared" si="1"/>
        <v/>
      </c>
      <c r="P3111" s="52"/>
    </row>
    <row r="3112">
      <c r="F3112" s="116" t="str">
        <f t="shared" si="1"/>
        <v/>
      </c>
      <c r="P3112" s="52"/>
    </row>
    <row r="3113">
      <c r="F3113" s="116" t="str">
        <f t="shared" si="1"/>
        <v/>
      </c>
      <c r="P3113" s="52"/>
    </row>
    <row r="3114">
      <c r="F3114" s="116" t="str">
        <f t="shared" si="1"/>
        <v/>
      </c>
      <c r="P3114" s="52"/>
    </row>
    <row r="3115">
      <c r="F3115" s="116" t="str">
        <f t="shared" si="1"/>
        <v/>
      </c>
      <c r="P3115" s="52"/>
    </row>
    <row r="3116">
      <c r="F3116" s="116" t="str">
        <f t="shared" si="1"/>
        <v/>
      </c>
      <c r="P3116" s="52"/>
    </row>
    <row r="3117">
      <c r="F3117" s="116" t="str">
        <f t="shared" si="1"/>
        <v/>
      </c>
      <c r="P3117" s="52"/>
    </row>
    <row r="3118">
      <c r="F3118" s="116" t="str">
        <f t="shared" si="1"/>
        <v/>
      </c>
      <c r="P3118" s="52"/>
    </row>
    <row r="3119">
      <c r="F3119" s="116" t="str">
        <f t="shared" si="1"/>
        <v/>
      </c>
      <c r="P3119" s="52"/>
    </row>
    <row r="3120">
      <c r="F3120" s="116" t="str">
        <f t="shared" si="1"/>
        <v/>
      </c>
      <c r="P3120" s="52"/>
    </row>
    <row r="3121">
      <c r="F3121" s="116" t="str">
        <f t="shared" si="1"/>
        <v/>
      </c>
      <c r="P3121" s="52"/>
    </row>
    <row r="3122">
      <c r="F3122" s="116" t="str">
        <f t="shared" si="1"/>
        <v/>
      </c>
      <c r="P3122" s="52"/>
    </row>
    <row r="3123">
      <c r="F3123" s="116" t="str">
        <f t="shared" si="1"/>
        <v/>
      </c>
      <c r="P3123" s="52"/>
    </row>
    <row r="3124">
      <c r="F3124" s="116" t="str">
        <f t="shared" si="1"/>
        <v/>
      </c>
      <c r="P3124" s="52"/>
    </row>
    <row r="3125">
      <c r="F3125" s="116" t="str">
        <f t="shared" si="1"/>
        <v/>
      </c>
      <c r="P3125" s="52"/>
    </row>
    <row r="3126">
      <c r="F3126" s="116" t="str">
        <f t="shared" si="1"/>
        <v/>
      </c>
      <c r="P3126" s="52"/>
    </row>
    <row r="3127">
      <c r="F3127" s="116" t="str">
        <f t="shared" si="1"/>
        <v/>
      </c>
      <c r="P3127" s="52"/>
    </row>
    <row r="3128">
      <c r="F3128" s="116" t="str">
        <f t="shared" si="1"/>
        <v/>
      </c>
      <c r="P3128" s="52"/>
    </row>
    <row r="3129">
      <c r="F3129" s="116" t="str">
        <f t="shared" si="1"/>
        <v/>
      </c>
      <c r="P3129" s="52"/>
    </row>
    <row r="3130">
      <c r="F3130" s="116" t="str">
        <f t="shared" si="1"/>
        <v/>
      </c>
      <c r="P3130" s="52"/>
    </row>
    <row r="3131">
      <c r="F3131" s="116" t="str">
        <f t="shared" si="1"/>
        <v/>
      </c>
      <c r="P3131" s="52"/>
    </row>
    <row r="3132">
      <c r="F3132" s="116" t="str">
        <f t="shared" si="1"/>
        <v/>
      </c>
      <c r="P3132" s="52"/>
    </row>
    <row r="3133">
      <c r="F3133" s="116" t="str">
        <f t="shared" si="1"/>
        <v/>
      </c>
      <c r="P3133" s="52"/>
    </row>
    <row r="3134">
      <c r="F3134" s="116" t="str">
        <f t="shared" si="1"/>
        <v/>
      </c>
      <c r="P3134" s="52"/>
    </row>
    <row r="3135">
      <c r="F3135" s="116" t="str">
        <f t="shared" si="1"/>
        <v/>
      </c>
      <c r="P3135" s="52"/>
    </row>
    <row r="3136">
      <c r="F3136" s="116" t="str">
        <f t="shared" si="1"/>
        <v/>
      </c>
      <c r="P3136" s="52"/>
    </row>
    <row r="3137">
      <c r="F3137" s="116" t="str">
        <f t="shared" si="1"/>
        <v/>
      </c>
      <c r="P3137" s="52"/>
    </row>
    <row r="3138">
      <c r="F3138" s="116" t="str">
        <f t="shared" si="1"/>
        <v/>
      </c>
      <c r="P3138" s="52"/>
    </row>
    <row r="3139">
      <c r="F3139" s="116" t="str">
        <f t="shared" si="1"/>
        <v/>
      </c>
      <c r="P3139" s="52"/>
    </row>
    <row r="3140">
      <c r="F3140" s="116" t="str">
        <f t="shared" si="1"/>
        <v/>
      </c>
      <c r="P3140" s="52"/>
    </row>
    <row r="3141">
      <c r="F3141" s="116" t="str">
        <f t="shared" si="1"/>
        <v/>
      </c>
      <c r="P3141" s="52"/>
    </row>
    <row r="3142">
      <c r="F3142" s="116" t="str">
        <f t="shared" si="1"/>
        <v/>
      </c>
      <c r="P3142" s="52"/>
    </row>
    <row r="3143">
      <c r="F3143" s="116" t="str">
        <f t="shared" si="1"/>
        <v/>
      </c>
      <c r="P3143" s="52"/>
    </row>
    <row r="3144">
      <c r="F3144" s="116" t="str">
        <f t="shared" si="1"/>
        <v/>
      </c>
      <c r="P3144" s="52"/>
    </row>
    <row r="3145">
      <c r="F3145" s="116" t="str">
        <f t="shared" si="1"/>
        <v/>
      </c>
      <c r="P3145" s="52"/>
    </row>
    <row r="3146">
      <c r="F3146" s="116" t="str">
        <f t="shared" si="1"/>
        <v/>
      </c>
      <c r="P3146" s="52"/>
    </row>
    <row r="3147">
      <c r="F3147" s="116" t="str">
        <f t="shared" si="1"/>
        <v/>
      </c>
      <c r="P3147" s="52"/>
    </row>
    <row r="3148">
      <c r="F3148" s="116" t="str">
        <f t="shared" si="1"/>
        <v/>
      </c>
      <c r="P3148" s="52"/>
    </row>
    <row r="3149">
      <c r="F3149" s="116" t="str">
        <f t="shared" si="1"/>
        <v/>
      </c>
      <c r="P3149" s="52"/>
    </row>
    <row r="3150">
      <c r="F3150" s="116" t="str">
        <f t="shared" si="1"/>
        <v/>
      </c>
      <c r="P3150" s="52"/>
    </row>
    <row r="3151">
      <c r="F3151" s="116" t="str">
        <f t="shared" si="1"/>
        <v/>
      </c>
      <c r="P3151" s="52"/>
    </row>
    <row r="3152">
      <c r="F3152" s="116" t="str">
        <f t="shared" si="1"/>
        <v/>
      </c>
      <c r="P3152" s="52"/>
    </row>
    <row r="3153">
      <c r="F3153" s="116" t="str">
        <f t="shared" si="1"/>
        <v/>
      </c>
      <c r="P3153" s="52"/>
    </row>
    <row r="3154">
      <c r="F3154" s="116" t="str">
        <f t="shared" si="1"/>
        <v/>
      </c>
      <c r="P3154" s="52"/>
    </row>
    <row r="3155">
      <c r="F3155" s="116" t="str">
        <f t="shared" si="1"/>
        <v/>
      </c>
      <c r="P3155" s="52"/>
    </row>
    <row r="3156">
      <c r="F3156" s="116" t="str">
        <f t="shared" si="1"/>
        <v/>
      </c>
      <c r="P3156" s="52"/>
    </row>
    <row r="3157">
      <c r="F3157" s="116" t="str">
        <f t="shared" si="1"/>
        <v/>
      </c>
      <c r="P3157" s="52"/>
    </row>
    <row r="3158">
      <c r="F3158" s="116" t="str">
        <f t="shared" si="1"/>
        <v/>
      </c>
      <c r="P3158" s="52"/>
    </row>
    <row r="3159">
      <c r="F3159" s="116" t="str">
        <f t="shared" si="1"/>
        <v/>
      </c>
      <c r="P3159" s="52"/>
    </row>
    <row r="3160">
      <c r="F3160" s="116" t="str">
        <f t="shared" si="1"/>
        <v/>
      </c>
      <c r="P3160" s="52"/>
    </row>
    <row r="3161">
      <c r="F3161" s="116" t="str">
        <f t="shared" si="1"/>
        <v/>
      </c>
      <c r="P3161" s="52"/>
    </row>
    <row r="3162">
      <c r="F3162" s="116" t="str">
        <f t="shared" si="1"/>
        <v/>
      </c>
      <c r="P3162" s="52"/>
    </row>
    <row r="3163">
      <c r="F3163" s="116" t="str">
        <f t="shared" si="1"/>
        <v/>
      </c>
      <c r="P3163" s="52"/>
    </row>
    <row r="3164">
      <c r="F3164" s="116" t="str">
        <f t="shared" si="1"/>
        <v/>
      </c>
      <c r="P3164" s="52"/>
    </row>
    <row r="3165">
      <c r="F3165" s="116" t="str">
        <f t="shared" si="1"/>
        <v/>
      </c>
      <c r="P3165" s="52"/>
    </row>
    <row r="3166">
      <c r="F3166" s="116" t="str">
        <f t="shared" si="1"/>
        <v/>
      </c>
      <c r="P3166" s="52"/>
    </row>
    <row r="3167">
      <c r="F3167" s="116" t="str">
        <f t="shared" si="1"/>
        <v/>
      </c>
      <c r="P3167" s="52"/>
    </row>
    <row r="3168">
      <c r="F3168" s="116" t="str">
        <f t="shared" si="1"/>
        <v/>
      </c>
      <c r="P3168" s="52"/>
    </row>
    <row r="3169">
      <c r="F3169" s="116" t="str">
        <f t="shared" si="1"/>
        <v/>
      </c>
      <c r="P3169" s="52"/>
    </row>
    <row r="3170">
      <c r="F3170" s="116" t="str">
        <f t="shared" si="1"/>
        <v/>
      </c>
      <c r="P3170" s="52"/>
    </row>
    <row r="3171">
      <c r="F3171" s="116" t="str">
        <f t="shared" si="1"/>
        <v/>
      </c>
      <c r="P3171" s="52"/>
    </row>
    <row r="3172">
      <c r="F3172" s="116" t="str">
        <f t="shared" si="1"/>
        <v/>
      </c>
      <c r="P3172" s="52"/>
    </row>
    <row r="3173">
      <c r="F3173" s="116" t="str">
        <f t="shared" si="1"/>
        <v/>
      </c>
      <c r="P3173" s="52"/>
    </row>
    <row r="3174">
      <c r="F3174" s="116" t="str">
        <f t="shared" si="1"/>
        <v/>
      </c>
      <c r="P3174" s="52"/>
    </row>
    <row r="3175">
      <c r="F3175" s="116" t="str">
        <f t="shared" si="1"/>
        <v/>
      </c>
      <c r="P3175" s="52"/>
    </row>
    <row r="3176">
      <c r="F3176" s="116" t="str">
        <f t="shared" si="1"/>
        <v/>
      </c>
      <c r="P3176" s="52"/>
    </row>
    <row r="3177">
      <c r="F3177" s="116" t="str">
        <f t="shared" si="1"/>
        <v/>
      </c>
      <c r="P3177" s="52"/>
    </row>
    <row r="3178">
      <c r="F3178" s="116" t="str">
        <f t="shared" si="1"/>
        <v/>
      </c>
      <c r="P3178" s="52"/>
    </row>
    <row r="3179">
      <c r="F3179" s="116" t="str">
        <f t="shared" si="1"/>
        <v/>
      </c>
      <c r="P3179" s="52"/>
    </row>
    <row r="3180">
      <c r="F3180" s="116" t="str">
        <f t="shared" si="1"/>
        <v/>
      </c>
      <c r="P3180" s="52"/>
    </row>
    <row r="3181">
      <c r="F3181" s="116" t="str">
        <f t="shared" si="1"/>
        <v/>
      </c>
      <c r="P3181" s="52"/>
    </row>
    <row r="3182">
      <c r="F3182" s="116" t="str">
        <f t="shared" si="1"/>
        <v/>
      </c>
      <c r="P3182" s="52"/>
    </row>
    <row r="3183">
      <c r="F3183" s="116" t="str">
        <f t="shared" si="1"/>
        <v/>
      </c>
      <c r="P3183" s="52"/>
    </row>
    <row r="3184">
      <c r="F3184" s="116" t="str">
        <f t="shared" si="1"/>
        <v/>
      </c>
      <c r="P3184" s="52"/>
    </row>
    <row r="3185">
      <c r="F3185" s="116" t="str">
        <f t="shared" si="1"/>
        <v/>
      </c>
      <c r="P3185" s="52"/>
    </row>
    <row r="3186">
      <c r="F3186" s="116" t="str">
        <f t="shared" si="1"/>
        <v/>
      </c>
      <c r="P3186" s="52"/>
    </row>
    <row r="3187">
      <c r="F3187" s="116" t="str">
        <f t="shared" si="1"/>
        <v/>
      </c>
      <c r="P3187" s="52"/>
    </row>
    <row r="3188">
      <c r="F3188" s="116" t="str">
        <f t="shared" si="1"/>
        <v/>
      </c>
      <c r="P3188" s="52"/>
    </row>
    <row r="3189">
      <c r="F3189" s="116" t="str">
        <f t="shared" si="1"/>
        <v/>
      </c>
      <c r="P3189" s="52"/>
    </row>
    <row r="3190">
      <c r="F3190" s="116" t="str">
        <f t="shared" si="1"/>
        <v/>
      </c>
      <c r="P3190" s="52"/>
    </row>
    <row r="3191">
      <c r="F3191" s="116" t="str">
        <f t="shared" si="1"/>
        <v/>
      </c>
      <c r="P3191" s="52"/>
    </row>
    <row r="3192">
      <c r="F3192" s="116" t="str">
        <f t="shared" si="1"/>
        <v/>
      </c>
      <c r="P3192" s="52"/>
    </row>
    <row r="3193">
      <c r="F3193" s="116" t="str">
        <f t="shared" si="1"/>
        <v/>
      </c>
      <c r="P3193" s="52"/>
    </row>
    <row r="3194">
      <c r="F3194" s="116" t="str">
        <f t="shared" si="1"/>
        <v/>
      </c>
      <c r="P3194" s="52"/>
    </row>
    <row r="3195">
      <c r="F3195" s="116" t="str">
        <f t="shared" si="1"/>
        <v/>
      </c>
      <c r="P3195" s="52"/>
    </row>
    <row r="3196">
      <c r="F3196" s="116" t="str">
        <f t="shared" si="1"/>
        <v/>
      </c>
      <c r="P3196" s="52"/>
    </row>
    <row r="3197">
      <c r="F3197" s="116" t="str">
        <f t="shared" si="1"/>
        <v/>
      </c>
      <c r="P3197" s="52"/>
    </row>
    <row r="3198">
      <c r="F3198" s="116" t="str">
        <f t="shared" si="1"/>
        <v/>
      </c>
      <c r="P3198" s="52"/>
    </row>
    <row r="3199">
      <c r="F3199" s="116" t="str">
        <f t="shared" si="1"/>
        <v/>
      </c>
      <c r="P3199" s="52"/>
    </row>
    <row r="3200">
      <c r="F3200" s="116" t="str">
        <f t="shared" si="1"/>
        <v/>
      </c>
      <c r="P3200" s="52"/>
    </row>
    <row r="3201">
      <c r="F3201" s="116" t="str">
        <f t="shared" si="1"/>
        <v/>
      </c>
      <c r="P3201" s="52"/>
    </row>
    <row r="3202">
      <c r="F3202" s="116" t="str">
        <f t="shared" si="1"/>
        <v/>
      </c>
      <c r="P3202" s="52"/>
    </row>
    <row r="3203">
      <c r="F3203" s="116" t="str">
        <f t="shared" si="1"/>
        <v/>
      </c>
      <c r="P3203" s="52"/>
    </row>
    <row r="3204">
      <c r="F3204" s="116" t="str">
        <f t="shared" si="1"/>
        <v/>
      </c>
      <c r="P3204" s="52"/>
    </row>
    <row r="3205">
      <c r="F3205" s="116" t="str">
        <f t="shared" si="1"/>
        <v/>
      </c>
      <c r="P3205" s="52"/>
    </row>
    <row r="3206">
      <c r="F3206" s="116" t="str">
        <f t="shared" si="1"/>
        <v/>
      </c>
      <c r="P3206" s="52"/>
    </row>
    <row r="3207">
      <c r="F3207" s="116" t="str">
        <f t="shared" si="1"/>
        <v/>
      </c>
      <c r="P3207" s="52"/>
    </row>
    <row r="3208">
      <c r="F3208" s="116" t="str">
        <f t="shared" si="1"/>
        <v/>
      </c>
      <c r="P3208" s="52"/>
    </row>
    <row r="3209">
      <c r="F3209" s="116" t="str">
        <f t="shared" si="1"/>
        <v/>
      </c>
      <c r="P3209" s="52"/>
    </row>
    <row r="3210">
      <c r="F3210" s="116" t="str">
        <f t="shared" si="1"/>
        <v/>
      </c>
      <c r="P3210" s="52"/>
    </row>
    <row r="3211">
      <c r="F3211" s="116" t="str">
        <f t="shared" si="1"/>
        <v/>
      </c>
      <c r="P3211" s="52"/>
    </row>
    <row r="3212">
      <c r="F3212" s="116" t="str">
        <f t="shared" si="1"/>
        <v/>
      </c>
      <c r="P3212" s="52"/>
    </row>
    <row r="3213">
      <c r="F3213" s="116" t="str">
        <f t="shared" si="1"/>
        <v/>
      </c>
      <c r="P3213" s="52"/>
    </row>
    <row r="3214">
      <c r="F3214" s="116" t="str">
        <f t="shared" si="1"/>
        <v/>
      </c>
      <c r="P3214" s="52"/>
    </row>
    <row r="3215">
      <c r="F3215" s="116" t="str">
        <f t="shared" si="1"/>
        <v/>
      </c>
      <c r="P3215" s="52"/>
    </row>
    <row r="3216">
      <c r="F3216" s="116" t="str">
        <f t="shared" si="1"/>
        <v/>
      </c>
      <c r="P3216" s="52"/>
    </row>
    <row r="3217">
      <c r="F3217" s="116" t="str">
        <f t="shared" si="1"/>
        <v/>
      </c>
      <c r="P3217" s="52"/>
    </row>
    <row r="3218">
      <c r="F3218" s="116" t="str">
        <f t="shared" si="1"/>
        <v/>
      </c>
      <c r="P3218" s="52"/>
    </row>
    <row r="3219">
      <c r="F3219" s="116" t="str">
        <f t="shared" si="1"/>
        <v/>
      </c>
      <c r="P3219" s="52"/>
    </row>
    <row r="3220">
      <c r="F3220" s="116" t="str">
        <f t="shared" si="1"/>
        <v/>
      </c>
      <c r="P3220" s="52"/>
    </row>
    <row r="3221">
      <c r="F3221" s="116" t="str">
        <f t="shared" si="1"/>
        <v/>
      </c>
      <c r="P3221" s="52"/>
    </row>
    <row r="3222">
      <c r="F3222" s="116" t="str">
        <f t="shared" si="1"/>
        <v/>
      </c>
      <c r="P3222" s="52"/>
    </row>
    <row r="3223">
      <c r="F3223" s="116" t="str">
        <f t="shared" si="1"/>
        <v/>
      </c>
      <c r="P3223" s="52"/>
    </row>
    <row r="3224">
      <c r="F3224" s="116" t="str">
        <f t="shared" si="1"/>
        <v/>
      </c>
      <c r="P3224" s="52"/>
    </row>
    <row r="3225">
      <c r="F3225" s="116" t="str">
        <f t="shared" si="1"/>
        <v/>
      </c>
      <c r="P3225" s="52"/>
    </row>
    <row r="3226">
      <c r="F3226" s="116" t="str">
        <f t="shared" si="1"/>
        <v/>
      </c>
      <c r="P3226" s="52"/>
    </row>
    <row r="3227">
      <c r="F3227" s="116" t="str">
        <f t="shared" si="1"/>
        <v/>
      </c>
      <c r="P3227" s="52"/>
    </row>
    <row r="3228">
      <c r="F3228" s="116" t="str">
        <f t="shared" si="1"/>
        <v/>
      </c>
      <c r="P3228" s="52"/>
    </row>
    <row r="3229">
      <c r="F3229" s="116" t="str">
        <f t="shared" si="1"/>
        <v/>
      </c>
      <c r="P3229" s="52"/>
    </row>
    <row r="3230">
      <c r="F3230" s="116" t="str">
        <f t="shared" si="1"/>
        <v/>
      </c>
      <c r="P3230" s="52"/>
    </row>
    <row r="3231">
      <c r="F3231" s="116" t="str">
        <f t="shared" si="1"/>
        <v/>
      </c>
      <c r="P3231" s="52"/>
    </row>
    <row r="3232">
      <c r="F3232" s="116" t="str">
        <f t="shared" si="1"/>
        <v/>
      </c>
      <c r="P3232" s="52"/>
    </row>
    <row r="3233">
      <c r="F3233" s="116" t="str">
        <f t="shared" si="1"/>
        <v/>
      </c>
      <c r="P3233" s="52"/>
    </row>
    <row r="3234">
      <c r="F3234" s="116" t="str">
        <f t="shared" si="1"/>
        <v/>
      </c>
      <c r="P3234" s="52"/>
    </row>
    <row r="3235">
      <c r="F3235" s="116" t="str">
        <f t="shared" si="1"/>
        <v/>
      </c>
      <c r="P3235" s="52"/>
    </row>
    <row r="3236">
      <c r="F3236" s="116" t="str">
        <f t="shared" si="1"/>
        <v/>
      </c>
      <c r="P3236" s="52"/>
    </row>
    <row r="3237">
      <c r="F3237" s="116" t="str">
        <f t="shared" si="1"/>
        <v/>
      </c>
      <c r="P3237" s="52"/>
    </row>
    <row r="3238">
      <c r="F3238" s="116" t="str">
        <f t="shared" si="1"/>
        <v/>
      </c>
      <c r="P3238" s="52"/>
    </row>
    <row r="3239">
      <c r="F3239" s="116" t="str">
        <f t="shared" si="1"/>
        <v/>
      </c>
      <c r="P3239" s="52"/>
    </row>
    <row r="3240">
      <c r="F3240" s="116" t="str">
        <f t="shared" si="1"/>
        <v/>
      </c>
      <c r="P3240" s="52"/>
    </row>
    <row r="3241">
      <c r="F3241" s="116" t="str">
        <f t="shared" si="1"/>
        <v/>
      </c>
      <c r="P3241" s="52"/>
    </row>
    <row r="3242">
      <c r="F3242" s="116" t="str">
        <f t="shared" si="1"/>
        <v/>
      </c>
      <c r="P3242" s="52"/>
    </row>
    <row r="3243">
      <c r="F3243" s="116" t="str">
        <f t="shared" si="1"/>
        <v/>
      </c>
      <c r="P3243" s="52"/>
    </row>
    <row r="3244">
      <c r="F3244" s="116" t="str">
        <f t="shared" si="1"/>
        <v/>
      </c>
      <c r="P3244" s="52"/>
    </row>
    <row r="3245">
      <c r="F3245" s="116" t="str">
        <f t="shared" si="1"/>
        <v/>
      </c>
      <c r="P3245" s="52"/>
    </row>
    <row r="3246">
      <c r="F3246" s="116" t="str">
        <f t="shared" si="1"/>
        <v/>
      </c>
      <c r="P3246" s="52"/>
    </row>
    <row r="3247">
      <c r="F3247" s="116" t="str">
        <f t="shared" si="1"/>
        <v/>
      </c>
      <c r="P3247" s="52"/>
    </row>
    <row r="3248">
      <c r="F3248" s="116" t="str">
        <f t="shared" si="1"/>
        <v/>
      </c>
      <c r="P3248" s="52"/>
    </row>
    <row r="3249">
      <c r="F3249" s="116" t="str">
        <f t="shared" si="1"/>
        <v/>
      </c>
      <c r="P3249" s="52"/>
    </row>
    <row r="3250">
      <c r="F3250" s="116" t="str">
        <f t="shared" si="1"/>
        <v/>
      </c>
      <c r="P3250" s="52"/>
    </row>
    <row r="3251">
      <c r="F3251" s="116" t="str">
        <f t="shared" si="1"/>
        <v/>
      </c>
      <c r="P3251" s="52"/>
    </row>
    <row r="3252">
      <c r="F3252" s="116" t="str">
        <f t="shared" si="1"/>
        <v/>
      </c>
      <c r="P3252" s="52"/>
    </row>
    <row r="3253">
      <c r="F3253" s="116" t="str">
        <f t="shared" si="1"/>
        <v/>
      </c>
      <c r="P3253" s="52"/>
    </row>
    <row r="3254">
      <c r="F3254" s="116" t="str">
        <f t="shared" si="1"/>
        <v/>
      </c>
      <c r="P3254" s="52"/>
    </row>
    <row r="3255">
      <c r="F3255" s="116" t="str">
        <f t="shared" si="1"/>
        <v/>
      </c>
      <c r="P3255" s="52"/>
    </row>
    <row r="3256">
      <c r="F3256" s="116" t="str">
        <f t="shared" si="1"/>
        <v/>
      </c>
      <c r="P3256" s="52"/>
    </row>
    <row r="3257">
      <c r="F3257" s="116" t="str">
        <f t="shared" si="1"/>
        <v/>
      </c>
      <c r="P3257" s="52"/>
    </row>
    <row r="3258">
      <c r="F3258" s="116" t="str">
        <f t="shared" si="1"/>
        <v/>
      </c>
      <c r="P3258" s="52"/>
    </row>
    <row r="3259">
      <c r="F3259" s="116" t="str">
        <f t="shared" si="1"/>
        <v/>
      </c>
      <c r="P3259" s="52"/>
    </row>
    <row r="3260">
      <c r="F3260" s="116" t="str">
        <f t="shared" si="1"/>
        <v/>
      </c>
      <c r="P3260" s="52"/>
    </row>
    <row r="3261">
      <c r="F3261" s="116" t="str">
        <f t="shared" si="1"/>
        <v/>
      </c>
      <c r="P3261" s="52"/>
    </row>
    <row r="3262">
      <c r="F3262" s="116" t="str">
        <f t="shared" si="1"/>
        <v/>
      </c>
      <c r="P3262" s="52"/>
    </row>
    <row r="3263">
      <c r="F3263" s="116" t="str">
        <f t="shared" si="1"/>
        <v/>
      </c>
      <c r="P3263" s="52"/>
    </row>
    <row r="3264">
      <c r="F3264" s="116" t="str">
        <f t="shared" si="1"/>
        <v/>
      </c>
      <c r="P3264" s="52"/>
    </row>
    <row r="3265">
      <c r="F3265" s="116" t="str">
        <f t="shared" si="1"/>
        <v/>
      </c>
      <c r="P3265" s="52"/>
    </row>
    <row r="3266">
      <c r="F3266" s="116" t="str">
        <f t="shared" si="1"/>
        <v/>
      </c>
      <c r="P3266" s="52"/>
    </row>
    <row r="3267">
      <c r="F3267" s="116" t="str">
        <f t="shared" si="1"/>
        <v/>
      </c>
      <c r="P3267" s="52"/>
    </row>
    <row r="3268">
      <c r="F3268" s="116" t="str">
        <f t="shared" si="1"/>
        <v/>
      </c>
      <c r="P3268" s="52"/>
    </row>
    <row r="3269">
      <c r="F3269" s="116" t="str">
        <f t="shared" si="1"/>
        <v/>
      </c>
      <c r="P3269" s="52"/>
    </row>
    <row r="3270">
      <c r="F3270" s="116" t="str">
        <f t="shared" si="1"/>
        <v/>
      </c>
      <c r="P3270" s="52"/>
    </row>
    <row r="3271">
      <c r="F3271" s="116" t="str">
        <f t="shared" si="1"/>
        <v/>
      </c>
      <c r="P3271" s="52"/>
    </row>
    <row r="3272">
      <c r="F3272" s="116" t="str">
        <f t="shared" si="1"/>
        <v/>
      </c>
      <c r="P3272" s="52"/>
    </row>
    <row r="3273">
      <c r="F3273" s="116" t="str">
        <f t="shared" si="1"/>
        <v/>
      </c>
      <c r="P3273" s="52"/>
    </row>
    <row r="3274">
      <c r="F3274" s="116" t="str">
        <f t="shared" si="1"/>
        <v/>
      </c>
      <c r="P3274" s="52"/>
    </row>
    <row r="3275">
      <c r="F3275" s="116" t="str">
        <f t="shared" si="1"/>
        <v/>
      </c>
      <c r="P3275" s="52"/>
    </row>
    <row r="3276">
      <c r="F3276" s="116" t="str">
        <f t="shared" si="1"/>
        <v/>
      </c>
      <c r="P3276" s="52"/>
    </row>
    <row r="3277">
      <c r="F3277" s="116" t="str">
        <f t="shared" si="1"/>
        <v/>
      </c>
      <c r="P3277" s="52"/>
    </row>
    <row r="3278">
      <c r="F3278" s="116" t="str">
        <f t="shared" si="1"/>
        <v/>
      </c>
      <c r="P3278" s="52"/>
    </row>
    <row r="3279">
      <c r="F3279" s="116" t="str">
        <f t="shared" si="1"/>
        <v/>
      </c>
      <c r="P3279" s="52"/>
    </row>
    <row r="3280">
      <c r="F3280" s="116" t="str">
        <f t="shared" si="1"/>
        <v/>
      </c>
      <c r="P3280" s="52"/>
    </row>
    <row r="3281">
      <c r="F3281" s="116" t="str">
        <f t="shared" si="1"/>
        <v/>
      </c>
      <c r="P3281" s="52"/>
    </row>
    <row r="3282">
      <c r="F3282" s="116" t="str">
        <f t="shared" si="1"/>
        <v/>
      </c>
      <c r="P3282" s="52"/>
    </row>
    <row r="3283">
      <c r="F3283" s="116" t="str">
        <f t="shared" si="1"/>
        <v/>
      </c>
      <c r="P3283" s="52"/>
    </row>
    <row r="3284">
      <c r="F3284" s="116" t="str">
        <f t="shared" si="1"/>
        <v/>
      </c>
      <c r="P3284" s="52"/>
    </row>
    <row r="3285">
      <c r="F3285" s="116" t="str">
        <f t="shared" si="1"/>
        <v/>
      </c>
      <c r="P3285" s="52"/>
    </row>
    <row r="3286">
      <c r="F3286" s="116" t="str">
        <f t="shared" si="1"/>
        <v/>
      </c>
      <c r="P3286" s="52"/>
    </row>
    <row r="3287">
      <c r="F3287" s="116" t="str">
        <f t="shared" si="1"/>
        <v/>
      </c>
      <c r="P3287" s="52"/>
    </row>
    <row r="3288">
      <c r="F3288" s="116" t="str">
        <f t="shared" si="1"/>
        <v/>
      </c>
      <c r="P3288" s="52"/>
    </row>
    <row r="3289">
      <c r="F3289" s="116" t="str">
        <f t="shared" si="1"/>
        <v/>
      </c>
      <c r="P3289" s="52"/>
    </row>
    <row r="3290">
      <c r="F3290" s="116" t="str">
        <f t="shared" si="1"/>
        <v/>
      </c>
      <c r="P3290" s="52"/>
    </row>
    <row r="3291">
      <c r="F3291" s="116" t="str">
        <f t="shared" si="1"/>
        <v/>
      </c>
      <c r="P3291" s="52"/>
    </row>
    <row r="3292">
      <c r="F3292" s="116" t="str">
        <f t="shared" si="1"/>
        <v/>
      </c>
      <c r="P3292" s="52"/>
    </row>
    <row r="3293">
      <c r="F3293" s="116" t="str">
        <f t="shared" si="1"/>
        <v/>
      </c>
      <c r="P3293" s="52"/>
    </row>
    <row r="3294">
      <c r="F3294" s="116" t="str">
        <f t="shared" si="1"/>
        <v/>
      </c>
      <c r="P3294" s="52"/>
    </row>
    <row r="3295">
      <c r="F3295" s="116" t="str">
        <f t="shared" si="1"/>
        <v/>
      </c>
      <c r="P3295" s="52"/>
    </row>
    <row r="3296">
      <c r="F3296" s="116" t="str">
        <f t="shared" si="1"/>
        <v/>
      </c>
      <c r="P3296" s="52"/>
    </row>
    <row r="3297">
      <c r="F3297" s="116" t="str">
        <f t="shared" si="1"/>
        <v/>
      </c>
      <c r="P3297" s="52"/>
    </row>
    <row r="3298">
      <c r="F3298" s="116" t="str">
        <f t="shared" si="1"/>
        <v/>
      </c>
      <c r="P3298" s="52"/>
    </row>
    <row r="3299">
      <c r="F3299" s="116" t="str">
        <f t="shared" si="1"/>
        <v/>
      </c>
      <c r="P3299" s="52"/>
    </row>
    <row r="3300">
      <c r="F3300" s="116" t="str">
        <f t="shared" si="1"/>
        <v/>
      </c>
      <c r="P3300" s="52"/>
    </row>
    <row r="3301">
      <c r="F3301" s="116" t="str">
        <f t="shared" si="1"/>
        <v/>
      </c>
      <c r="P3301" s="52"/>
    </row>
    <row r="3302">
      <c r="F3302" s="116" t="str">
        <f t="shared" si="1"/>
        <v/>
      </c>
      <c r="P3302" s="52"/>
    </row>
    <row r="3303">
      <c r="F3303" s="116" t="str">
        <f t="shared" si="1"/>
        <v/>
      </c>
      <c r="P3303" s="52"/>
    </row>
    <row r="3304">
      <c r="F3304" s="116" t="str">
        <f t="shared" si="1"/>
        <v/>
      </c>
      <c r="P3304" s="52"/>
    </row>
    <row r="3305">
      <c r="F3305" s="116" t="str">
        <f t="shared" si="1"/>
        <v/>
      </c>
      <c r="P3305" s="52"/>
    </row>
    <row r="3306">
      <c r="F3306" s="116" t="str">
        <f t="shared" si="1"/>
        <v/>
      </c>
      <c r="P3306" s="52"/>
    </row>
    <row r="3307">
      <c r="F3307" s="116" t="str">
        <f t="shared" si="1"/>
        <v/>
      </c>
      <c r="P3307" s="52"/>
    </row>
    <row r="3308">
      <c r="F3308" s="116" t="str">
        <f t="shared" si="1"/>
        <v/>
      </c>
      <c r="P3308" s="52"/>
    </row>
    <row r="3309">
      <c r="F3309" s="116" t="str">
        <f t="shared" si="1"/>
        <v/>
      </c>
      <c r="P3309" s="52"/>
    </row>
    <row r="3310">
      <c r="F3310" s="116" t="str">
        <f t="shared" si="1"/>
        <v/>
      </c>
      <c r="P3310" s="52"/>
    </row>
    <row r="3311">
      <c r="F3311" s="116" t="str">
        <f t="shared" si="1"/>
        <v/>
      </c>
      <c r="P3311" s="52"/>
    </row>
    <row r="3312">
      <c r="F3312" s="116" t="str">
        <f t="shared" si="1"/>
        <v/>
      </c>
      <c r="P3312" s="52"/>
    </row>
    <row r="3313">
      <c r="F3313" s="116" t="str">
        <f t="shared" si="1"/>
        <v/>
      </c>
      <c r="P3313" s="52"/>
    </row>
    <row r="3314">
      <c r="F3314" s="116" t="str">
        <f t="shared" si="1"/>
        <v/>
      </c>
      <c r="P3314" s="52"/>
    </row>
    <row r="3315">
      <c r="F3315" s="116" t="str">
        <f t="shared" si="1"/>
        <v/>
      </c>
      <c r="P3315" s="52"/>
    </row>
    <row r="3316">
      <c r="F3316" s="116" t="str">
        <f t="shared" si="1"/>
        <v/>
      </c>
      <c r="P3316" s="52"/>
    </row>
    <row r="3317">
      <c r="F3317" s="116" t="str">
        <f t="shared" si="1"/>
        <v/>
      </c>
      <c r="P3317" s="52"/>
    </row>
    <row r="3318">
      <c r="F3318" s="116" t="str">
        <f t="shared" si="1"/>
        <v/>
      </c>
      <c r="P3318" s="52"/>
    </row>
    <row r="3319">
      <c r="F3319" s="116" t="str">
        <f t="shared" si="1"/>
        <v/>
      </c>
      <c r="P3319" s="52"/>
    </row>
    <row r="3320">
      <c r="F3320" s="116" t="str">
        <f t="shared" si="1"/>
        <v/>
      </c>
      <c r="P3320" s="52"/>
    </row>
    <row r="3321">
      <c r="F3321" s="116" t="str">
        <f t="shared" si="1"/>
        <v/>
      </c>
      <c r="P3321" s="52"/>
    </row>
    <row r="3322">
      <c r="F3322" s="116" t="str">
        <f t="shared" si="1"/>
        <v/>
      </c>
      <c r="P3322" s="52"/>
    </row>
    <row r="3323">
      <c r="F3323" s="116" t="str">
        <f t="shared" si="1"/>
        <v/>
      </c>
      <c r="P3323" s="52"/>
    </row>
    <row r="3324">
      <c r="F3324" s="116" t="str">
        <f t="shared" si="1"/>
        <v/>
      </c>
      <c r="P3324" s="52"/>
    </row>
    <row r="3325">
      <c r="F3325" s="116" t="str">
        <f t="shared" si="1"/>
        <v/>
      </c>
      <c r="P3325" s="52"/>
    </row>
    <row r="3326">
      <c r="F3326" s="116" t="str">
        <f t="shared" si="1"/>
        <v/>
      </c>
      <c r="P3326" s="52"/>
    </row>
    <row r="3327">
      <c r="F3327" s="116" t="str">
        <f t="shared" si="1"/>
        <v/>
      </c>
      <c r="P3327" s="52"/>
    </row>
    <row r="3328">
      <c r="F3328" s="116" t="str">
        <f t="shared" si="1"/>
        <v/>
      </c>
      <c r="P3328" s="52"/>
    </row>
    <row r="3329">
      <c r="F3329" s="116" t="str">
        <f t="shared" si="1"/>
        <v/>
      </c>
      <c r="P3329" s="52"/>
    </row>
    <row r="3330">
      <c r="F3330" s="116" t="str">
        <f t="shared" si="1"/>
        <v/>
      </c>
      <c r="P3330" s="52"/>
    </row>
    <row r="3331">
      <c r="F3331" s="116" t="str">
        <f t="shared" si="1"/>
        <v/>
      </c>
      <c r="P3331" s="52"/>
    </row>
    <row r="3332">
      <c r="F3332" s="116" t="str">
        <f t="shared" si="1"/>
        <v/>
      </c>
      <c r="P3332" s="52"/>
    </row>
    <row r="3333">
      <c r="F3333" s="116" t="str">
        <f t="shared" si="1"/>
        <v/>
      </c>
      <c r="P3333" s="52"/>
    </row>
    <row r="3334">
      <c r="F3334" s="116" t="str">
        <f t="shared" si="1"/>
        <v/>
      </c>
      <c r="P3334" s="52"/>
    </row>
    <row r="3335">
      <c r="F3335" s="116" t="str">
        <f t="shared" si="1"/>
        <v/>
      </c>
      <c r="P3335" s="52"/>
    </row>
    <row r="3336">
      <c r="F3336" s="116" t="str">
        <f t="shared" si="1"/>
        <v/>
      </c>
      <c r="P3336" s="52"/>
    </row>
    <row r="3337">
      <c r="F3337" s="116" t="str">
        <f t="shared" si="1"/>
        <v/>
      </c>
      <c r="P3337" s="52"/>
    </row>
    <row r="3338">
      <c r="F3338" s="116" t="str">
        <f t="shared" si="1"/>
        <v/>
      </c>
      <c r="P3338" s="52"/>
    </row>
    <row r="3339">
      <c r="F3339" s="116" t="str">
        <f t="shared" si="1"/>
        <v/>
      </c>
      <c r="P3339" s="52"/>
    </row>
    <row r="3340">
      <c r="F3340" s="116" t="str">
        <f t="shared" si="1"/>
        <v/>
      </c>
      <c r="P3340" s="52"/>
    </row>
    <row r="3341">
      <c r="F3341" s="116" t="str">
        <f t="shared" si="1"/>
        <v/>
      </c>
      <c r="P3341" s="52"/>
    </row>
    <row r="3342">
      <c r="F3342" s="116" t="str">
        <f t="shared" si="1"/>
        <v/>
      </c>
      <c r="P3342" s="52"/>
    </row>
    <row r="3343">
      <c r="F3343" s="116" t="str">
        <f t="shared" si="1"/>
        <v/>
      </c>
      <c r="P3343" s="52"/>
    </row>
    <row r="3344">
      <c r="F3344" s="116" t="str">
        <f t="shared" si="1"/>
        <v/>
      </c>
      <c r="P3344" s="52"/>
    </row>
    <row r="3345">
      <c r="F3345" s="116" t="str">
        <f t="shared" si="1"/>
        <v/>
      </c>
      <c r="P3345" s="52"/>
    </row>
    <row r="3346">
      <c r="F3346" s="116" t="str">
        <f t="shared" si="1"/>
        <v/>
      </c>
      <c r="P3346" s="52"/>
    </row>
    <row r="3347">
      <c r="F3347" s="116" t="str">
        <f t="shared" si="1"/>
        <v/>
      </c>
      <c r="P3347" s="52"/>
    </row>
    <row r="3348">
      <c r="F3348" s="116" t="str">
        <f t="shared" si="1"/>
        <v/>
      </c>
      <c r="P3348" s="52"/>
    </row>
    <row r="3349">
      <c r="F3349" s="116" t="str">
        <f t="shared" si="1"/>
        <v/>
      </c>
      <c r="P3349" s="52"/>
    </row>
    <row r="3350">
      <c r="F3350" s="116" t="str">
        <f t="shared" si="1"/>
        <v/>
      </c>
      <c r="P3350" s="52"/>
    </row>
    <row r="3351">
      <c r="F3351" s="116" t="str">
        <f t="shared" si="1"/>
        <v/>
      </c>
      <c r="P3351" s="52"/>
    </row>
    <row r="3352">
      <c r="F3352" s="116" t="str">
        <f t="shared" si="1"/>
        <v/>
      </c>
      <c r="P3352" s="52"/>
    </row>
    <row r="3353">
      <c r="F3353" s="116" t="str">
        <f t="shared" si="1"/>
        <v/>
      </c>
      <c r="P3353" s="52"/>
    </row>
    <row r="3354">
      <c r="F3354" s="116" t="str">
        <f t="shared" si="1"/>
        <v/>
      </c>
      <c r="P3354" s="52"/>
    </row>
    <row r="3355">
      <c r="F3355" s="116" t="str">
        <f t="shared" si="1"/>
        <v/>
      </c>
      <c r="P3355" s="52"/>
    </row>
    <row r="3356">
      <c r="F3356" s="116" t="str">
        <f t="shared" si="1"/>
        <v/>
      </c>
      <c r="P3356" s="52"/>
    </row>
    <row r="3357">
      <c r="F3357" s="116" t="str">
        <f t="shared" si="1"/>
        <v/>
      </c>
      <c r="P3357" s="52"/>
    </row>
    <row r="3358">
      <c r="F3358" s="116" t="str">
        <f t="shared" si="1"/>
        <v/>
      </c>
      <c r="P3358" s="52"/>
    </row>
    <row r="3359">
      <c r="F3359" s="116" t="str">
        <f t="shared" si="1"/>
        <v/>
      </c>
      <c r="P3359" s="52"/>
    </row>
    <row r="3360">
      <c r="F3360" s="116" t="str">
        <f t="shared" si="1"/>
        <v/>
      </c>
      <c r="P3360" s="52"/>
    </row>
    <row r="3361">
      <c r="F3361" s="116" t="str">
        <f t="shared" si="1"/>
        <v/>
      </c>
      <c r="P3361" s="52"/>
    </row>
    <row r="3362">
      <c r="F3362" s="116" t="str">
        <f t="shared" si="1"/>
        <v/>
      </c>
      <c r="P3362" s="52"/>
    </row>
    <row r="3363">
      <c r="F3363" s="116" t="str">
        <f t="shared" si="1"/>
        <v/>
      </c>
      <c r="P3363" s="52"/>
    </row>
    <row r="3364">
      <c r="F3364" s="116" t="str">
        <f t="shared" si="1"/>
        <v/>
      </c>
      <c r="P3364" s="52"/>
    </row>
    <row r="3365">
      <c r="F3365" s="116" t="str">
        <f t="shared" si="1"/>
        <v/>
      </c>
      <c r="P3365" s="52"/>
    </row>
    <row r="3366">
      <c r="F3366" s="116" t="str">
        <f t="shared" si="1"/>
        <v/>
      </c>
      <c r="P3366" s="52"/>
    </row>
    <row r="3367">
      <c r="F3367" s="116" t="str">
        <f t="shared" si="1"/>
        <v/>
      </c>
      <c r="P3367" s="52"/>
    </row>
    <row r="3368">
      <c r="F3368" s="116" t="str">
        <f t="shared" si="1"/>
        <v/>
      </c>
      <c r="P3368" s="52"/>
    </row>
    <row r="3369">
      <c r="F3369" s="116" t="str">
        <f t="shared" si="1"/>
        <v/>
      </c>
      <c r="P3369" s="52"/>
    </row>
    <row r="3370">
      <c r="F3370" s="116" t="str">
        <f t="shared" si="1"/>
        <v/>
      </c>
      <c r="P3370" s="52"/>
    </row>
    <row r="3371">
      <c r="F3371" s="116" t="str">
        <f t="shared" si="1"/>
        <v/>
      </c>
      <c r="P3371" s="52"/>
    </row>
    <row r="3372">
      <c r="F3372" s="116" t="str">
        <f t="shared" si="1"/>
        <v/>
      </c>
      <c r="P3372" s="52"/>
    </row>
    <row r="3373">
      <c r="F3373" s="116" t="str">
        <f t="shared" si="1"/>
        <v/>
      </c>
      <c r="P3373" s="52"/>
    </row>
    <row r="3374">
      <c r="F3374" s="116" t="str">
        <f t="shared" si="1"/>
        <v/>
      </c>
      <c r="P3374" s="52"/>
    </row>
    <row r="3375">
      <c r="F3375" s="116" t="str">
        <f t="shared" si="1"/>
        <v/>
      </c>
      <c r="P3375" s="52"/>
    </row>
    <row r="3376">
      <c r="F3376" s="116" t="str">
        <f t="shared" si="1"/>
        <v/>
      </c>
      <c r="P3376" s="52"/>
    </row>
    <row r="3377">
      <c r="F3377" s="116" t="str">
        <f t="shared" si="1"/>
        <v/>
      </c>
      <c r="P3377" s="52"/>
    </row>
    <row r="3378">
      <c r="F3378" s="116" t="str">
        <f t="shared" si="1"/>
        <v/>
      </c>
      <c r="P3378" s="52"/>
    </row>
    <row r="3379">
      <c r="F3379" s="116" t="str">
        <f t="shared" si="1"/>
        <v/>
      </c>
      <c r="P3379" s="52"/>
    </row>
    <row r="3380">
      <c r="F3380" s="116" t="str">
        <f t="shared" si="1"/>
        <v/>
      </c>
      <c r="P3380" s="52"/>
    </row>
    <row r="3381">
      <c r="F3381" s="116" t="str">
        <f t="shared" si="1"/>
        <v/>
      </c>
      <c r="P3381" s="52"/>
    </row>
    <row r="3382">
      <c r="F3382" s="116" t="str">
        <f t="shared" si="1"/>
        <v/>
      </c>
      <c r="P3382" s="52"/>
    </row>
    <row r="3383">
      <c r="F3383" s="116" t="str">
        <f t="shared" si="1"/>
        <v/>
      </c>
      <c r="P3383" s="52"/>
    </row>
    <row r="3384">
      <c r="F3384" s="116" t="str">
        <f t="shared" si="1"/>
        <v/>
      </c>
      <c r="P3384" s="52"/>
    </row>
    <row r="3385">
      <c r="F3385" s="116" t="str">
        <f t="shared" si="1"/>
        <v/>
      </c>
      <c r="P3385" s="52"/>
    </row>
    <row r="3386">
      <c r="F3386" s="116" t="str">
        <f t="shared" si="1"/>
        <v/>
      </c>
      <c r="P3386" s="52"/>
    </row>
    <row r="3387">
      <c r="F3387" s="116" t="str">
        <f t="shared" si="1"/>
        <v/>
      </c>
      <c r="P3387" s="52"/>
    </row>
    <row r="3388">
      <c r="F3388" s="116" t="str">
        <f t="shared" si="1"/>
        <v/>
      </c>
      <c r="P3388" s="52"/>
    </row>
    <row r="3389">
      <c r="F3389" s="116" t="str">
        <f t="shared" si="1"/>
        <v/>
      </c>
      <c r="P3389" s="52"/>
    </row>
    <row r="3390">
      <c r="F3390" s="116" t="str">
        <f t="shared" si="1"/>
        <v/>
      </c>
      <c r="P3390" s="52"/>
    </row>
    <row r="3391">
      <c r="F3391" s="116" t="str">
        <f t="shared" si="1"/>
        <v/>
      </c>
      <c r="P3391" s="52"/>
    </row>
    <row r="3392">
      <c r="F3392" s="116" t="str">
        <f t="shared" si="1"/>
        <v/>
      </c>
      <c r="P3392" s="52"/>
    </row>
    <row r="3393">
      <c r="F3393" s="116" t="str">
        <f t="shared" si="1"/>
        <v/>
      </c>
      <c r="P3393" s="52"/>
    </row>
    <row r="3394">
      <c r="F3394" s="116" t="str">
        <f t="shared" si="1"/>
        <v/>
      </c>
      <c r="P3394" s="52"/>
    </row>
    <row r="3395">
      <c r="F3395" s="116" t="str">
        <f t="shared" si="1"/>
        <v/>
      </c>
      <c r="P3395" s="52"/>
    </row>
    <row r="3396">
      <c r="F3396" s="116" t="str">
        <f t="shared" si="1"/>
        <v/>
      </c>
      <c r="P3396" s="52"/>
    </row>
    <row r="3397">
      <c r="F3397" s="116" t="str">
        <f t="shared" si="1"/>
        <v/>
      </c>
      <c r="P3397" s="52"/>
    </row>
    <row r="3398">
      <c r="F3398" s="116" t="str">
        <f t="shared" si="1"/>
        <v/>
      </c>
      <c r="P3398" s="52"/>
    </row>
    <row r="3399">
      <c r="F3399" s="116" t="str">
        <f t="shared" si="1"/>
        <v/>
      </c>
      <c r="P3399" s="52"/>
    </row>
    <row r="3400">
      <c r="F3400" s="116" t="str">
        <f t="shared" si="1"/>
        <v/>
      </c>
      <c r="P3400" s="52"/>
    </row>
    <row r="3401">
      <c r="F3401" s="116" t="str">
        <f t="shared" si="1"/>
        <v/>
      </c>
      <c r="P3401" s="52"/>
    </row>
    <row r="3402">
      <c r="F3402" s="116" t="str">
        <f t="shared" si="1"/>
        <v/>
      </c>
      <c r="P3402" s="52"/>
    </row>
    <row r="3403">
      <c r="F3403" s="116" t="str">
        <f t="shared" si="1"/>
        <v/>
      </c>
      <c r="P3403" s="52"/>
    </row>
    <row r="3404">
      <c r="F3404" s="116" t="str">
        <f t="shared" si="1"/>
        <v/>
      </c>
      <c r="P3404" s="52"/>
    </row>
    <row r="3405">
      <c r="F3405" s="116" t="str">
        <f t="shared" si="1"/>
        <v/>
      </c>
      <c r="P3405" s="52"/>
    </row>
    <row r="3406">
      <c r="F3406" s="116" t="str">
        <f t="shared" si="1"/>
        <v/>
      </c>
      <c r="P3406" s="52"/>
    </row>
    <row r="3407">
      <c r="F3407" s="116" t="str">
        <f t="shared" si="1"/>
        <v/>
      </c>
      <c r="P3407" s="52"/>
    </row>
    <row r="3408">
      <c r="F3408" s="116" t="str">
        <f t="shared" si="1"/>
        <v/>
      </c>
      <c r="P3408" s="52"/>
    </row>
    <row r="3409">
      <c r="F3409" s="116" t="str">
        <f t="shared" si="1"/>
        <v/>
      </c>
      <c r="P3409" s="52"/>
    </row>
    <row r="3410">
      <c r="F3410" s="116" t="str">
        <f t="shared" si="1"/>
        <v/>
      </c>
      <c r="P3410" s="52"/>
    </row>
    <row r="3411">
      <c r="F3411" s="116" t="str">
        <f t="shared" si="1"/>
        <v/>
      </c>
      <c r="P3411" s="52"/>
    </row>
    <row r="3412">
      <c r="F3412" s="116" t="str">
        <f t="shared" si="1"/>
        <v/>
      </c>
      <c r="P3412" s="52"/>
    </row>
    <row r="3413">
      <c r="F3413" s="116" t="str">
        <f t="shared" si="1"/>
        <v/>
      </c>
      <c r="P3413" s="52"/>
    </row>
    <row r="3414">
      <c r="F3414" s="116" t="str">
        <f t="shared" si="1"/>
        <v/>
      </c>
      <c r="P3414" s="52"/>
    </row>
    <row r="3415">
      <c r="F3415" s="116" t="str">
        <f t="shared" si="1"/>
        <v/>
      </c>
      <c r="P3415" s="52"/>
    </row>
    <row r="3416">
      <c r="F3416" s="116" t="str">
        <f t="shared" si="1"/>
        <v/>
      </c>
      <c r="P3416" s="52"/>
    </row>
    <row r="3417">
      <c r="F3417" s="116" t="str">
        <f t="shared" si="1"/>
        <v/>
      </c>
      <c r="P3417" s="52"/>
    </row>
    <row r="3418">
      <c r="F3418" s="116" t="str">
        <f t="shared" si="1"/>
        <v/>
      </c>
      <c r="P3418" s="52"/>
    </row>
    <row r="3419">
      <c r="F3419" s="116" t="str">
        <f t="shared" si="1"/>
        <v/>
      </c>
      <c r="P3419" s="52"/>
    </row>
    <row r="3420">
      <c r="F3420" s="116" t="str">
        <f t="shared" si="1"/>
        <v/>
      </c>
      <c r="P3420" s="52"/>
    </row>
    <row r="3421">
      <c r="F3421" s="116" t="str">
        <f t="shared" si="1"/>
        <v/>
      </c>
      <c r="P3421" s="52"/>
    </row>
    <row r="3422">
      <c r="F3422" s="116" t="str">
        <f t="shared" si="1"/>
        <v/>
      </c>
      <c r="P3422" s="52"/>
    </row>
    <row r="3423">
      <c r="F3423" s="116" t="str">
        <f t="shared" si="1"/>
        <v/>
      </c>
      <c r="P3423" s="52"/>
    </row>
    <row r="3424">
      <c r="F3424" s="116" t="str">
        <f t="shared" si="1"/>
        <v/>
      </c>
      <c r="P3424" s="52"/>
    </row>
    <row r="3425">
      <c r="F3425" s="116" t="str">
        <f t="shared" si="1"/>
        <v/>
      </c>
      <c r="P3425" s="52"/>
    </row>
    <row r="3426">
      <c r="F3426" s="116" t="str">
        <f t="shared" si="1"/>
        <v/>
      </c>
      <c r="P3426" s="52"/>
    </row>
    <row r="3427">
      <c r="F3427" s="116" t="str">
        <f t="shared" si="1"/>
        <v/>
      </c>
      <c r="P3427" s="52"/>
    </row>
    <row r="3428">
      <c r="F3428" s="116" t="str">
        <f t="shared" si="1"/>
        <v/>
      </c>
      <c r="P3428" s="52"/>
    </row>
    <row r="3429">
      <c r="F3429" s="116" t="str">
        <f t="shared" si="1"/>
        <v/>
      </c>
      <c r="P3429" s="52"/>
    </row>
    <row r="3430">
      <c r="F3430" s="116" t="str">
        <f t="shared" si="1"/>
        <v/>
      </c>
      <c r="P3430" s="52"/>
    </row>
    <row r="3431">
      <c r="F3431" s="116" t="str">
        <f t="shared" si="1"/>
        <v/>
      </c>
      <c r="P3431" s="52"/>
    </row>
    <row r="3432">
      <c r="F3432" s="116" t="str">
        <f t="shared" si="1"/>
        <v/>
      </c>
      <c r="P3432" s="52"/>
    </row>
    <row r="3433">
      <c r="F3433" s="116" t="str">
        <f t="shared" si="1"/>
        <v/>
      </c>
      <c r="P3433" s="52"/>
    </row>
    <row r="3434">
      <c r="F3434" s="116" t="str">
        <f t="shared" si="1"/>
        <v/>
      </c>
      <c r="P3434" s="52"/>
    </row>
    <row r="3435">
      <c r="F3435" s="116" t="str">
        <f t="shared" si="1"/>
        <v/>
      </c>
      <c r="P3435" s="52"/>
    </row>
    <row r="3436">
      <c r="F3436" s="116" t="str">
        <f t="shared" si="1"/>
        <v/>
      </c>
      <c r="P3436" s="52"/>
    </row>
    <row r="3437">
      <c r="F3437" s="116" t="str">
        <f t="shared" si="1"/>
        <v/>
      </c>
      <c r="P3437" s="52"/>
    </row>
    <row r="3438">
      <c r="F3438" s="116" t="str">
        <f t="shared" si="1"/>
        <v/>
      </c>
      <c r="P3438" s="52"/>
    </row>
    <row r="3439">
      <c r="F3439" s="116" t="str">
        <f t="shared" si="1"/>
        <v/>
      </c>
      <c r="P3439" s="52"/>
    </row>
    <row r="3440">
      <c r="F3440" s="116" t="str">
        <f t="shared" si="1"/>
        <v/>
      </c>
      <c r="P3440" s="52"/>
    </row>
    <row r="3441">
      <c r="F3441" s="116" t="str">
        <f t="shared" si="1"/>
        <v/>
      </c>
      <c r="P3441" s="52"/>
    </row>
    <row r="3442">
      <c r="F3442" s="116" t="str">
        <f t="shared" si="1"/>
        <v/>
      </c>
      <c r="P3442" s="52"/>
    </row>
    <row r="3443">
      <c r="F3443" s="116" t="str">
        <f t="shared" si="1"/>
        <v/>
      </c>
      <c r="P3443" s="52"/>
    </row>
    <row r="3444">
      <c r="F3444" s="116" t="str">
        <f t="shared" si="1"/>
        <v/>
      </c>
      <c r="P3444" s="52"/>
    </row>
    <row r="3445">
      <c r="F3445" s="116" t="str">
        <f t="shared" si="1"/>
        <v/>
      </c>
      <c r="P3445" s="52"/>
    </row>
    <row r="3446">
      <c r="F3446" s="116" t="str">
        <f t="shared" si="1"/>
        <v/>
      </c>
      <c r="P3446" s="52"/>
    </row>
    <row r="3447">
      <c r="F3447" s="116" t="str">
        <f t="shared" si="1"/>
        <v/>
      </c>
      <c r="P3447" s="52"/>
    </row>
    <row r="3448">
      <c r="F3448" s="116" t="str">
        <f t="shared" si="1"/>
        <v/>
      </c>
      <c r="P3448" s="52"/>
    </row>
    <row r="3449">
      <c r="F3449" s="116" t="str">
        <f t="shared" si="1"/>
        <v/>
      </c>
      <c r="P3449" s="52"/>
    </row>
    <row r="3450">
      <c r="F3450" s="116" t="str">
        <f t="shared" si="1"/>
        <v/>
      </c>
      <c r="P3450" s="52"/>
    </row>
    <row r="3451">
      <c r="F3451" s="116" t="str">
        <f t="shared" si="1"/>
        <v/>
      </c>
      <c r="P3451" s="52"/>
    </row>
    <row r="3452">
      <c r="F3452" s="116" t="str">
        <f t="shared" si="1"/>
        <v/>
      </c>
      <c r="P3452" s="52"/>
    </row>
    <row r="3453">
      <c r="F3453" s="116" t="str">
        <f t="shared" si="1"/>
        <v/>
      </c>
      <c r="P3453" s="52"/>
    </row>
    <row r="3454">
      <c r="F3454" s="116" t="str">
        <f t="shared" si="1"/>
        <v/>
      </c>
      <c r="P3454" s="52"/>
    </row>
    <row r="3455">
      <c r="F3455" s="116" t="str">
        <f t="shared" si="1"/>
        <v/>
      </c>
      <c r="P3455" s="52"/>
    </row>
    <row r="3456">
      <c r="F3456" s="116" t="str">
        <f t="shared" si="1"/>
        <v/>
      </c>
      <c r="P3456" s="52"/>
    </row>
    <row r="3457">
      <c r="F3457" s="116" t="str">
        <f t="shared" si="1"/>
        <v/>
      </c>
      <c r="P3457" s="52"/>
    </row>
    <row r="3458">
      <c r="F3458" s="116" t="str">
        <f t="shared" si="1"/>
        <v/>
      </c>
      <c r="P3458" s="52"/>
    </row>
    <row r="3459">
      <c r="F3459" s="116" t="str">
        <f t="shared" si="1"/>
        <v/>
      </c>
      <c r="P3459" s="52"/>
    </row>
    <row r="3460">
      <c r="F3460" s="116" t="str">
        <f t="shared" si="1"/>
        <v/>
      </c>
      <c r="P3460" s="52"/>
    </row>
    <row r="3461">
      <c r="F3461" s="116" t="str">
        <f t="shared" si="1"/>
        <v/>
      </c>
      <c r="P3461" s="52"/>
    </row>
    <row r="3462">
      <c r="F3462" s="116" t="str">
        <f t="shared" si="1"/>
        <v/>
      </c>
      <c r="P3462" s="52"/>
    </row>
    <row r="3463">
      <c r="F3463" s="116" t="str">
        <f t="shared" si="1"/>
        <v/>
      </c>
      <c r="P3463" s="52"/>
    </row>
    <row r="3464">
      <c r="F3464" s="116" t="str">
        <f t="shared" si="1"/>
        <v/>
      </c>
      <c r="P3464" s="52"/>
    </row>
    <row r="3465">
      <c r="F3465" s="116" t="str">
        <f t="shared" si="1"/>
        <v/>
      </c>
      <c r="P3465" s="52"/>
    </row>
    <row r="3466">
      <c r="F3466" s="116" t="str">
        <f t="shared" si="1"/>
        <v/>
      </c>
      <c r="P3466" s="52"/>
    </row>
    <row r="3467">
      <c r="F3467" s="116" t="str">
        <f t="shared" si="1"/>
        <v/>
      </c>
      <c r="P3467" s="52"/>
    </row>
    <row r="3468">
      <c r="F3468" s="116" t="str">
        <f t="shared" si="1"/>
        <v/>
      </c>
      <c r="P3468" s="52"/>
    </row>
    <row r="3469">
      <c r="F3469" s="116" t="str">
        <f t="shared" si="1"/>
        <v/>
      </c>
      <c r="P3469" s="52"/>
    </row>
    <row r="3470">
      <c r="F3470" s="116" t="str">
        <f t="shared" si="1"/>
        <v/>
      </c>
      <c r="P3470" s="52"/>
    </row>
    <row r="3471">
      <c r="F3471" s="116" t="str">
        <f t="shared" si="1"/>
        <v/>
      </c>
      <c r="P3471" s="52"/>
    </row>
    <row r="3472">
      <c r="F3472" s="116" t="str">
        <f t="shared" si="1"/>
        <v/>
      </c>
      <c r="P3472" s="52"/>
    </row>
    <row r="3473">
      <c r="F3473" s="116" t="str">
        <f t="shared" si="1"/>
        <v/>
      </c>
      <c r="P3473" s="52"/>
    </row>
    <row r="3474">
      <c r="F3474" s="116" t="str">
        <f t="shared" si="1"/>
        <v/>
      </c>
      <c r="P3474" s="52"/>
    </row>
    <row r="3475">
      <c r="F3475" s="116" t="str">
        <f t="shared" si="1"/>
        <v/>
      </c>
      <c r="P3475" s="52"/>
    </row>
    <row r="3476">
      <c r="F3476" s="116" t="str">
        <f t="shared" si="1"/>
        <v/>
      </c>
      <c r="P3476" s="52"/>
    </row>
    <row r="3477">
      <c r="F3477" s="116" t="str">
        <f t="shared" si="1"/>
        <v/>
      </c>
      <c r="P3477" s="52"/>
    </row>
    <row r="3478">
      <c r="F3478" s="116" t="str">
        <f t="shared" si="1"/>
        <v/>
      </c>
      <c r="P3478" s="52"/>
    </row>
    <row r="3479">
      <c r="F3479" s="116" t="str">
        <f t="shared" si="1"/>
        <v/>
      </c>
      <c r="P3479" s="52"/>
    </row>
    <row r="3480">
      <c r="F3480" s="116" t="str">
        <f t="shared" si="1"/>
        <v/>
      </c>
      <c r="P3480" s="52"/>
    </row>
    <row r="3481">
      <c r="F3481" s="116" t="str">
        <f t="shared" si="1"/>
        <v/>
      </c>
      <c r="P3481" s="52"/>
    </row>
    <row r="3482">
      <c r="F3482" s="116" t="str">
        <f t="shared" si="1"/>
        <v/>
      </c>
      <c r="P3482" s="52"/>
    </row>
    <row r="3483">
      <c r="F3483" s="116" t="str">
        <f t="shared" si="1"/>
        <v/>
      </c>
      <c r="P3483" s="52"/>
    </row>
    <row r="3484">
      <c r="F3484" s="116" t="str">
        <f t="shared" si="1"/>
        <v/>
      </c>
      <c r="P3484" s="52"/>
    </row>
    <row r="3485">
      <c r="F3485" s="116" t="str">
        <f t="shared" si="1"/>
        <v/>
      </c>
      <c r="P3485" s="52"/>
    </row>
    <row r="3486">
      <c r="F3486" s="116" t="str">
        <f t="shared" si="1"/>
        <v/>
      </c>
      <c r="P3486" s="52"/>
    </row>
    <row r="3487">
      <c r="F3487" s="116" t="str">
        <f t="shared" si="1"/>
        <v/>
      </c>
      <c r="P3487" s="52"/>
    </row>
    <row r="3488">
      <c r="F3488" s="116" t="str">
        <f t="shared" si="1"/>
        <v/>
      </c>
      <c r="P3488" s="52"/>
    </row>
    <row r="3489">
      <c r="F3489" s="116" t="str">
        <f t="shared" si="1"/>
        <v/>
      </c>
      <c r="P3489" s="52"/>
    </row>
    <row r="3490">
      <c r="F3490" s="116" t="str">
        <f t="shared" si="1"/>
        <v/>
      </c>
      <c r="P3490" s="52"/>
    </row>
    <row r="3491">
      <c r="F3491" s="116" t="str">
        <f t="shared" si="1"/>
        <v/>
      </c>
      <c r="P3491" s="52"/>
    </row>
    <row r="3492">
      <c r="F3492" s="116" t="str">
        <f t="shared" si="1"/>
        <v/>
      </c>
      <c r="P3492" s="52"/>
    </row>
    <row r="3493">
      <c r="F3493" s="116" t="str">
        <f t="shared" si="1"/>
        <v/>
      </c>
      <c r="P3493" s="52"/>
    </row>
    <row r="3494">
      <c r="F3494" s="116" t="str">
        <f t="shared" si="1"/>
        <v/>
      </c>
      <c r="P3494" s="52"/>
    </row>
    <row r="3495">
      <c r="F3495" s="116" t="str">
        <f t="shared" si="1"/>
        <v/>
      </c>
      <c r="P3495" s="52"/>
    </row>
    <row r="3496">
      <c r="F3496" s="116" t="str">
        <f t="shared" si="1"/>
        <v/>
      </c>
      <c r="P3496" s="52"/>
    </row>
    <row r="3497">
      <c r="F3497" s="116" t="str">
        <f t="shared" si="1"/>
        <v/>
      </c>
      <c r="P3497" s="52"/>
    </row>
    <row r="3498">
      <c r="F3498" s="116" t="str">
        <f t="shared" si="1"/>
        <v/>
      </c>
      <c r="P3498" s="52"/>
    </row>
    <row r="3499">
      <c r="F3499" s="116" t="str">
        <f t="shared" si="1"/>
        <v/>
      </c>
      <c r="P3499" s="52"/>
    </row>
    <row r="3500">
      <c r="F3500" s="116" t="str">
        <f t="shared" si="1"/>
        <v/>
      </c>
      <c r="P3500" s="52"/>
    </row>
    <row r="3501">
      <c r="F3501" s="116" t="str">
        <f t="shared" si="1"/>
        <v/>
      </c>
      <c r="P3501" s="52"/>
    </row>
    <row r="3502">
      <c r="F3502" s="116" t="str">
        <f t="shared" si="1"/>
        <v/>
      </c>
      <c r="P3502" s="52"/>
    </row>
    <row r="3503">
      <c r="F3503" s="116" t="str">
        <f t="shared" si="1"/>
        <v/>
      </c>
      <c r="P3503" s="52"/>
    </row>
    <row r="3504">
      <c r="F3504" s="116" t="str">
        <f t="shared" si="1"/>
        <v/>
      </c>
      <c r="P3504" s="52"/>
    </row>
    <row r="3505">
      <c r="F3505" s="116" t="str">
        <f t="shared" si="1"/>
        <v/>
      </c>
      <c r="P3505" s="52"/>
    </row>
    <row r="3506">
      <c r="F3506" s="116" t="str">
        <f t="shared" si="1"/>
        <v/>
      </c>
      <c r="P3506" s="52"/>
    </row>
    <row r="3507">
      <c r="F3507" s="116" t="str">
        <f t="shared" si="1"/>
        <v/>
      </c>
      <c r="P3507" s="52"/>
    </row>
    <row r="3508">
      <c r="F3508" s="116" t="str">
        <f t="shared" si="1"/>
        <v/>
      </c>
      <c r="P3508" s="52"/>
    </row>
    <row r="3509">
      <c r="F3509" s="116" t="str">
        <f t="shared" si="1"/>
        <v/>
      </c>
      <c r="P3509" s="52"/>
    </row>
    <row r="3510">
      <c r="F3510" s="116" t="str">
        <f t="shared" si="1"/>
        <v/>
      </c>
      <c r="P3510" s="52"/>
    </row>
    <row r="3511">
      <c r="F3511" s="116" t="str">
        <f t="shared" si="1"/>
        <v/>
      </c>
      <c r="P3511" s="52"/>
    </row>
    <row r="3512">
      <c r="F3512" s="116" t="str">
        <f t="shared" si="1"/>
        <v/>
      </c>
      <c r="P3512" s="52"/>
    </row>
    <row r="3513">
      <c r="F3513" s="116" t="str">
        <f t="shared" si="1"/>
        <v/>
      </c>
      <c r="P3513" s="52"/>
    </row>
    <row r="3514">
      <c r="F3514" s="116" t="str">
        <f t="shared" si="1"/>
        <v/>
      </c>
      <c r="P3514" s="52"/>
    </row>
    <row r="3515">
      <c r="F3515" s="116" t="str">
        <f t="shared" si="1"/>
        <v/>
      </c>
      <c r="P3515" s="52"/>
    </row>
    <row r="3516">
      <c r="F3516" s="116" t="str">
        <f t="shared" si="1"/>
        <v/>
      </c>
      <c r="P3516" s="52"/>
    </row>
    <row r="3517">
      <c r="F3517" s="116" t="str">
        <f t="shared" si="1"/>
        <v/>
      </c>
      <c r="P3517" s="52"/>
    </row>
    <row r="3518">
      <c r="F3518" s="116" t="str">
        <f t="shared" si="1"/>
        <v/>
      </c>
      <c r="P3518" s="52"/>
    </row>
    <row r="3519">
      <c r="F3519" s="116" t="str">
        <f t="shared" si="1"/>
        <v/>
      </c>
      <c r="P3519" s="52"/>
    </row>
    <row r="3520">
      <c r="F3520" s="116" t="str">
        <f t="shared" si="1"/>
        <v/>
      </c>
      <c r="P3520" s="52"/>
    </row>
    <row r="3521">
      <c r="F3521" s="116" t="str">
        <f t="shared" si="1"/>
        <v/>
      </c>
      <c r="P3521" s="52"/>
    </row>
    <row r="3522">
      <c r="F3522" s="116" t="str">
        <f t="shared" si="1"/>
        <v/>
      </c>
      <c r="P3522" s="52"/>
    </row>
    <row r="3523">
      <c r="F3523" s="116" t="str">
        <f t="shared" si="1"/>
        <v/>
      </c>
      <c r="P3523" s="52"/>
    </row>
    <row r="3524">
      <c r="F3524" s="116" t="str">
        <f t="shared" si="1"/>
        <v/>
      </c>
      <c r="P3524" s="52"/>
    </row>
    <row r="3525">
      <c r="F3525" s="116" t="str">
        <f t="shared" si="1"/>
        <v/>
      </c>
      <c r="P3525" s="52"/>
    </row>
    <row r="3526">
      <c r="F3526" s="116" t="str">
        <f t="shared" si="1"/>
        <v/>
      </c>
      <c r="P3526" s="52"/>
    </row>
    <row r="3527">
      <c r="F3527" s="116" t="str">
        <f t="shared" si="1"/>
        <v/>
      </c>
      <c r="P3527" s="52"/>
    </row>
    <row r="3528">
      <c r="F3528" s="116" t="str">
        <f t="shared" si="1"/>
        <v/>
      </c>
      <c r="P3528" s="52"/>
    </row>
    <row r="3529">
      <c r="F3529" s="116" t="str">
        <f t="shared" si="1"/>
        <v/>
      </c>
      <c r="P3529" s="52"/>
    </row>
    <row r="3530">
      <c r="F3530" s="116" t="str">
        <f t="shared" si="1"/>
        <v/>
      </c>
      <c r="P3530" s="52"/>
    </row>
    <row r="3531">
      <c r="F3531" s="116" t="str">
        <f t="shared" si="1"/>
        <v/>
      </c>
      <c r="P3531" s="52"/>
    </row>
    <row r="3532">
      <c r="F3532" s="116" t="str">
        <f t="shared" si="1"/>
        <v/>
      </c>
      <c r="P3532" s="52"/>
    </row>
    <row r="3533">
      <c r="F3533" s="116" t="str">
        <f t="shared" si="1"/>
        <v/>
      </c>
      <c r="P3533" s="52"/>
    </row>
    <row r="3534">
      <c r="F3534" s="116" t="str">
        <f t="shared" si="1"/>
        <v/>
      </c>
      <c r="P3534" s="52"/>
    </row>
    <row r="3535">
      <c r="F3535" s="116" t="str">
        <f t="shared" si="1"/>
        <v/>
      </c>
      <c r="P3535" s="52"/>
    </row>
    <row r="3536">
      <c r="F3536" s="116" t="str">
        <f t="shared" si="1"/>
        <v/>
      </c>
      <c r="P3536" s="52"/>
    </row>
    <row r="3537">
      <c r="F3537" s="116" t="str">
        <f t="shared" si="1"/>
        <v/>
      </c>
      <c r="P3537" s="52"/>
    </row>
    <row r="3538">
      <c r="F3538" s="116" t="str">
        <f t="shared" si="1"/>
        <v/>
      </c>
      <c r="P3538" s="52"/>
    </row>
    <row r="3539">
      <c r="F3539" s="116" t="str">
        <f t="shared" si="1"/>
        <v/>
      </c>
      <c r="P3539" s="52"/>
    </row>
    <row r="3540">
      <c r="F3540" s="116" t="str">
        <f t="shared" si="1"/>
        <v/>
      </c>
      <c r="P3540" s="52"/>
    </row>
    <row r="3541">
      <c r="F3541" s="116" t="str">
        <f t="shared" si="1"/>
        <v/>
      </c>
      <c r="P3541" s="52"/>
    </row>
    <row r="3542">
      <c r="F3542" s="116" t="str">
        <f t="shared" si="1"/>
        <v/>
      </c>
      <c r="P3542" s="52"/>
    </row>
    <row r="3543">
      <c r="F3543" s="116" t="str">
        <f t="shared" si="1"/>
        <v/>
      </c>
      <c r="P3543" s="52"/>
    </row>
    <row r="3544">
      <c r="F3544" s="116" t="str">
        <f t="shared" si="1"/>
        <v/>
      </c>
      <c r="P3544" s="52"/>
    </row>
    <row r="3545">
      <c r="F3545" s="116" t="str">
        <f t="shared" si="1"/>
        <v/>
      </c>
      <c r="P3545" s="52"/>
    </row>
    <row r="3546">
      <c r="F3546" s="116" t="str">
        <f t="shared" si="1"/>
        <v/>
      </c>
      <c r="P3546" s="52"/>
    </row>
    <row r="3547">
      <c r="F3547" s="116" t="str">
        <f t="shared" si="1"/>
        <v/>
      </c>
      <c r="P3547" s="52"/>
    </row>
    <row r="3548">
      <c r="F3548" s="116" t="str">
        <f t="shared" si="1"/>
        <v/>
      </c>
      <c r="P3548" s="52"/>
    </row>
    <row r="3549">
      <c r="F3549" s="116" t="str">
        <f t="shared" si="1"/>
        <v/>
      </c>
      <c r="P3549" s="52"/>
    </row>
    <row r="3550">
      <c r="F3550" s="116" t="str">
        <f t="shared" si="1"/>
        <v/>
      </c>
      <c r="P3550" s="52"/>
    </row>
    <row r="3551">
      <c r="F3551" s="116" t="str">
        <f t="shared" si="1"/>
        <v/>
      </c>
      <c r="P3551" s="52"/>
    </row>
    <row r="3552">
      <c r="F3552" s="116" t="str">
        <f t="shared" si="1"/>
        <v/>
      </c>
      <c r="P3552" s="52"/>
    </row>
    <row r="3553">
      <c r="F3553" s="116" t="str">
        <f t="shared" si="1"/>
        <v/>
      </c>
      <c r="P3553" s="52"/>
    </row>
    <row r="3554">
      <c r="F3554" s="116" t="str">
        <f t="shared" si="1"/>
        <v/>
      </c>
      <c r="P3554" s="52"/>
    </row>
    <row r="3555">
      <c r="F3555" s="116" t="str">
        <f t="shared" si="1"/>
        <v/>
      </c>
      <c r="P3555" s="52"/>
    </row>
    <row r="3556">
      <c r="F3556" s="116" t="str">
        <f t="shared" si="1"/>
        <v/>
      </c>
      <c r="P3556" s="52"/>
    </row>
    <row r="3557">
      <c r="F3557" s="116" t="str">
        <f t="shared" si="1"/>
        <v/>
      </c>
      <c r="P3557" s="52"/>
    </row>
    <row r="3558">
      <c r="F3558" s="116" t="str">
        <f t="shared" si="1"/>
        <v/>
      </c>
      <c r="P3558" s="52"/>
    </row>
    <row r="3559">
      <c r="F3559" s="116" t="str">
        <f t="shared" si="1"/>
        <v/>
      </c>
      <c r="P3559" s="52"/>
    </row>
    <row r="3560">
      <c r="F3560" s="116" t="str">
        <f t="shared" si="1"/>
        <v/>
      </c>
      <c r="P3560" s="52"/>
    </row>
    <row r="3561">
      <c r="F3561" s="116" t="str">
        <f t="shared" si="1"/>
        <v/>
      </c>
      <c r="P3561" s="52"/>
    </row>
    <row r="3562">
      <c r="F3562" s="116" t="str">
        <f t="shared" si="1"/>
        <v/>
      </c>
      <c r="P3562" s="52"/>
    </row>
    <row r="3563">
      <c r="F3563" s="116" t="str">
        <f t="shared" si="1"/>
        <v/>
      </c>
      <c r="P3563" s="52"/>
    </row>
    <row r="3564">
      <c r="F3564" s="116" t="str">
        <f t="shared" si="1"/>
        <v/>
      </c>
      <c r="P3564" s="52"/>
    </row>
    <row r="3565">
      <c r="F3565" s="116" t="str">
        <f t="shared" si="1"/>
        <v/>
      </c>
      <c r="P3565" s="52"/>
    </row>
    <row r="3566">
      <c r="F3566" s="116" t="str">
        <f t="shared" si="1"/>
        <v/>
      </c>
      <c r="P3566" s="52"/>
    </row>
    <row r="3567">
      <c r="F3567" s="116" t="str">
        <f t="shared" si="1"/>
        <v/>
      </c>
      <c r="P3567" s="52"/>
    </row>
    <row r="3568">
      <c r="F3568" s="116" t="str">
        <f t="shared" si="1"/>
        <v/>
      </c>
      <c r="P3568" s="52"/>
    </row>
    <row r="3569">
      <c r="F3569" s="116" t="str">
        <f t="shared" si="1"/>
        <v/>
      </c>
      <c r="P3569" s="52"/>
    </row>
    <row r="3570">
      <c r="F3570" s="116" t="str">
        <f t="shared" si="1"/>
        <v/>
      </c>
      <c r="P3570" s="52"/>
    </row>
    <row r="3571">
      <c r="F3571" s="116" t="str">
        <f t="shared" si="1"/>
        <v/>
      </c>
      <c r="P3571" s="52"/>
    </row>
    <row r="3572">
      <c r="F3572" s="116" t="str">
        <f t="shared" si="1"/>
        <v/>
      </c>
      <c r="P3572" s="52"/>
    </row>
    <row r="3573">
      <c r="F3573" s="116" t="str">
        <f t="shared" si="1"/>
        <v/>
      </c>
      <c r="P3573" s="52"/>
    </row>
    <row r="3574">
      <c r="F3574" s="116" t="str">
        <f t="shared" si="1"/>
        <v/>
      </c>
      <c r="P3574" s="52"/>
    </row>
    <row r="3575">
      <c r="F3575" s="116" t="str">
        <f t="shared" si="1"/>
        <v/>
      </c>
      <c r="P3575" s="52"/>
    </row>
    <row r="3576">
      <c r="F3576" s="116" t="str">
        <f t="shared" si="1"/>
        <v/>
      </c>
      <c r="P3576" s="52"/>
    </row>
    <row r="3577">
      <c r="F3577" s="116" t="str">
        <f t="shared" si="1"/>
        <v/>
      </c>
      <c r="P3577" s="52"/>
    </row>
    <row r="3578">
      <c r="F3578" s="116" t="str">
        <f t="shared" si="1"/>
        <v/>
      </c>
      <c r="P3578" s="52"/>
    </row>
    <row r="3579">
      <c r="F3579" s="116" t="str">
        <f t="shared" si="1"/>
        <v/>
      </c>
      <c r="P3579" s="52"/>
    </row>
    <row r="3580">
      <c r="F3580" s="116" t="str">
        <f t="shared" si="1"/>
        <v/>
      </c>
      <c r="P3580" s="52"/>
    </row>
    <row r="3581">
      <c r="F3581" s="116" t="str">
        <f t="shared" si="1"/>
        <v/>
      </c>
      <c r="P3581" s="52"/>
    </row>
    <row r="3582">
      <c r="F3582" s="116" t="str">
        <f t="shared" si="1"/>
        <v/>
      </c>
      <c r="P3582" s="52"/>
    </row>
    <row r="3583">
      <c r="F3583" s="116" t="str">
        <f t="shared" si="1"/>
        <v/>
      </c>
      <c r="P3583" s="52"/>
    </row>
    <row r="3584">
      <c r="F3584" s="116" t="str">
        <f t="shared" si="1"/>
        <v/>
      </c>
      <c r="P3584" s="52"/>
    </row>
    <row r="3585">
      <c r="F3585" s="116" t="str">
        <f t="shared" si="1"/>
        <v/>
      </c>
      <c r="P3585" s="52"/>
    </row>
    <row r="3586">
      <c r="F3586" s="116" t="str">
        <f t="shared" si="1"/>
        <v/>
      </c>
      <c r="P3586" s="52"/>
    </row>
    <row r="3587">
      <c r="F3587" s="116" t="str">
        <f t="shared" si="1"/>
        <v/>
      </c>
      <c r="P3587" s="52"/>
    </row>
    <row r="3588">
      <c r="F3588" s="116" t="str">
        <f t="shared" si="1"/>
        <v/>
      </c>
      <c r="P3588" s="52"/>
    </row>
    <row r="3589">
      <c r="F3589" s="116" t="str">
        <f t="shared" si="1"/>
        <v/>
      </c>
      <c r="P3589" s="52"/>
    </row>
    <row r="3590">
      <c r="F3590" s="116" t="str">
        <f t="shared" si="1"/>
        <v/>
      </c>
      <c r="P3590" s="52"/>
    </row>
    <row r="3591">
      <c r="F3591" s="116" t="str">
        <f t="shared" si="1"/>
        <v/>
      </c>
      <c r="P3591" s="52"/>
    </row>
    <row r="3592">
      <c r="F3592" s="116" t="str">
        <f t="shared" si="1"/>
        <v/>
      </c>
      <c r="P3592" s="52"/>
    </row>
    <row r="3593">
      <c r="F3593" s="116" t="str">
        <f t="shared" si="1"/>
        <v/>
      </c>
      <c r="P3593" s="52"/>
    </row>
    <row r="3594">
      <c r="F3594" s="116" t="str">
        <f t="shared" si="1"/>
        <v/>
      </c>
      <c r="P3594" s="52"/>
    </row>
    <row r="3595">
      <c r="F3595" s="116" t="str">
        <f t="shared" si="1"/>
        <v/>
      </c>
      <c r="P3595" s="52"/>
    </row>
    <row r="3596">
      <c r="F3596" s="116" t="str">
        <f t="shared" si="1"/>
        <v/>
      </c>
      <c r="P3596" s="52"/>
    </row>
    <row r="3597">
      <c r="F3597" s="116" t="str">
        <f t="shared" si="1"/>
        <v/>
      </c>
      <c r="P3597" s="52"/>
    </row>
    <row r="3598">
      <c r="F3598" s="116" t="str">
        <f t="shared" si="1"/>
        <v/>
      </c>
      <c r="P3598" s="52"/>
    </row>
    <row r="3599">
      <c r="F3599" s="116" t="str">
        <f t="shared" si="1"/>
        <v/>
      </c>
      <c r="P3599" s="52"/>
    </row>
    <row r="3600">
      <c r="F3600" s="116" t="str">
        <f t="shared" si="1"/>
        <v/>
      </c>
      <c r="P3600" s="52"/>
    </row>
    <row r="3601">
      <c r="F3601" s="116" t="str">
        <f t="shared" si="1"/>
        <v/>
      </c>
      <c r="P3601" s="52"/>
    </row>
    <row r="3602">
      <c r="F3602" s="116" t="str">
        <f t="shared" si="1"/>
        <v/>
      </c>
      <c r="P3602" s="52"/>
    </row>
    <row r="3603">
      <c r="F3603" s="116" t="str">
        <f t="shared" si="1"/>
        <v/>
      </c>
      <c r="P3603" s="52"/>
    </row>
    <row r="3604">
      <c r="F3604" s="116" t="str">
        <f t="shared" si="1"/>
        <v/>
      </c>
      <c r="P3604" s="52"/>
    </row>
    <row r="3605">
      <c r="F3605" s="116" t="str">
        <f t="shared" si="1"/>
        <v/>
      </c>
      <c r="P3605" s="52"/>
    </row>
    <row r="3606">
      <c r="F3606" s="116" t="str">
        <f t="shared" si="1"/>
        <v/>
      </c>
      <c r="P3606" s="52"/>
    </row>
    <row r="3607">
      <c r="F3607" s="116" t="str">
        <f t="shared" si="1"/>
        <v/>
      </c>
      <c r="P3607" s="52"/>
    </row>
    <row r="3608">
      <c r="F3608" s="116" t="str">
        <f t="shared" si="1"/>
        <v/>
      </c>
      <c r="P3608" s="52"/>
    </row>
    <row r="3609">
      <c r="F3609" s="116" t="str">
        <f t="shared" si="1"/>
        <v/>
      </c>
      <c r="P3609" s="52"/>
    </row>
    <row r="3610">
      <c r="F3610" s="116" t="str">
        <f t="shared" si="1"/>
        <v/>
      </c>
      <c r="P3610" s="52"/>
    </row>
    <row r="3611">
      <c r="F3611" s="116" t="str">
        <f t="shared" si="1"/>
        <v/>
      </c>
      <c r="P3611" s="52"/>
    </row>
    <row r="3612">
      <c r="F3612" s="116" t="str">
        <f t="shared" si="1"/>
        <v/>
      </c>
      <c r="P3612" s="52"/>
    </row>
    <row r="3613">
      <c r="F3613" s="116" t="str">
        <f t="shared" si="1"/>
        <v/>
      </c>
      <c r="P3613" s="52"/>
    </row>
    <row r="3614">
      <c r="F3614" s="116" t="str">
        <f t="shared" si="1"/>
        <v/>
      </c>
      <c r="P3614" s="52"/>
    </row>
    <row r="3615">
      <c r="F3615" s="116" t="str">
        <f t="shared" si="1"/>
        <v/>
      </c>
      <c r="P3615" s="52"/>
    </row>
    <row r="3616">
      <c r="F3616" s="116" t="str">
        <f t="shared" si="1"/>
        <v/>
      </c>
      <c r="P3616" s="52"/>
    </row>
    <row r="3617">
      <c r="F3617" s="116" t="str">
        <f t="shared" si="1"/>
        <v/>
      </c>
      <c r="P3617" s="52"/>
    </row>
    <row r="3618">
      <c r="F3618" s="116" t="str">
        <f t="shared" si="1"/>
        <v/>
      </c>
      <c r="P3618" s="52"/>
    </row>
    <row r="3619">
      <c r="F3619" s="116" t="str">
        <f t="shared" si="1"/>
        <v/>
      </c>
      <c r="P3619" s="52"/>
    </row>
    <row r="3620">
      <c r="F3620" s="116" t="str">
        <f t="shared" si="1"/>
        <v/>
      </c>
      <c r="P3620" s="52"/>
    </row>
    <row r="3621">
      <c r="F3621" s="116" t="str">
        <f t="shared" si="1"/>
        <v/>
      </c>
      <c r="P3621" s="52"/>
    </row>
    <row r="3622">
      <c r="F3622" s="116" t="str">
        <f t="shared" si="1"/>
        <v/>
      </c>
      <c r="P3622" s="52"/>
    </row>
    <row r="3623">
      <c r="F3623" s="116" t="str">
        <f t="shared" si="1"/>
        <v/>
      </c>
      <c r="P3623" s="52"/>
    </row>
    <row r="3624">
      <c r="F3624" s="116" t="str">
        <f t="shared" si="1"/>
        <v/>
      </c>
      <c r="P3624" s="52"/>
    </row>
    <row r="3625">
      <c r="F3625" s="116" t="str">
        <f t="shared" si="1"/>
        <v/>
      </c>
      <c r="P3625" s="52"/>
    </row>
    <row r="3626">
      <c r="F3626" s="116" t="str">
        <f t="shared" si="1"/>
        <v/>
      </c>
      <c r="P3626" s="52"/>
    </row>
    <row r="3627">
      <c r="F3627" s="116" t="str">
        <f t="shared" si="1"/>
        <v/>
      </c>
      <c r="P3627" s="52"/>
    </row>
    <row r="3628">
      <c r="F3628" s="116" t="str">
        <f t="shared" si="1"/>
        <v/>
      </c>
      <c r="P3628" s="52"/>
    </row>
    <row r="3629">
      <c r="F3629" s="116" t="str">
        <f t="shared" si="1"/>
        <v/>
      </c>
      <c r="P3629" s="52"/>
    </row>
    <row r="3630">
      <c r="F3630" s="116" t="str">
        <f t="shared" si="1"/>
        <v/>
      </c>
      <c r="P3630" s="52"/>
    </row>
    <row r="3631">
      <c r="F3631" s="116" t="str">
        <f t="shared" si="1"/>
        <v/>
      </c>
      <c r="P3631" s="52"/>
    </row>
    <row r="3632">
      <c r="F3632" s="116" t="str">
        <f t="shared" si="1"/>
        <v/>
      </c>
      <c r="P3632" s="52"/>
    </row>
    <row r="3633">
      <c r="F3633" s="116" t="str">
        <f t="shared" si="1"/>
        <v/>
      </c>
      <c r="P3633" s="52"/>
    </row>
    <row r="3634">
      <c r="F3634" s="116" t="str">
        <f t="shared" si="1"/>
        <v/>
      </c>
      <c r="P3634" s="52"/>
    </row>
    <row r="3635">
      <c r="F3635" s="116" t="str">
        <f t="shared" si="1"/>
        <v/>
      </c>
      <c r="P3635" s="52"/>
    </row>
    <row r="3636">
      <c r="F3636" s="116" t="str">
        <f t="shared" si="1"/>
        <v/>
      </c>
      <c r="P3636" s="52"/>
    </row>
    <row r="3637">
      <c r="F3637" s="116" t="str">
        <f t="shared" si="1"/>
        <v/>
      </c>
      <c r="P3637" s="52"/>
    </row>
    <row r="3638">
      <c r="F3638" s="116" t="str">
        <f t="shared" si="1"/>
        <v/>
      </c>
      <c r="P3638" s="52"/>
    </row>
    <row r="3639">
      <c r="F3639" s="116" t="str">
        <f t="shared" si="1"/>
        <v/>
      </c>
      <c r="P3639" s="52"/>
    </row>
    <row r="3640">
      <c r="F3640" s="116" t="str">
        <f t="shared" si="1"/>
        <v/>
      </c>
      <c r="P3640" s="52"/>
    </row>
    <row r="3641">
      <c r="F3641" s="116" t="str">
        <f t="shared" si="1"/>
        <v/>
      </c>
      <c r="P3641" s="52"/>
    </row>
    <row r="3642">
      <c r="F3642" s="116" t="str">
        <f t="shared" si="1"/>
        <v/>
      </c>
      <c r="P3642" s="52"/>
    </row>
    <row r="3643">
      <c r="F3643" s="116" t="str">
        <f t="shared" si="1"/>
        <v/>
      </c>
      <c r="P3643" s="52"/>
    </row>
    <row r="3644">
      <c r="F3644" s="116" t="str">
        <f t="shared" si="1"/>
        <v/>
      </c>
      <c r="P3644" s="52"/>
    </row>
    <row r="3645">
      <c r="F3645" s="116" t="str">
        <f t="shared" si="1"/>
        <v/>
      </c>
      <c r="P3645" s="52"/>
    </row>
    <row r="3646">
      <c r="F3646" s="116" t="str">
        <f t="shared" si="1"/>
        <v/>
      </c>
      <c r="P3646" s="52"/>
    </row>
    <row r="3647">
      <c r="F3647" s="116" t="str">
        <f t="shared" si="1"/>
        <v/>
      </c>
      <c r="P3647" s="52"/>
    </row>
    <row r="3648">
      <c r="F3648" s="116" t="str">
        <f t="shared" si="1"/>
        <v/>
      </c>
      <c r="P3648" s="52"/>
    </row>
    <row r="3649">
      <c r="F3649" s="116" t="str">
        <f t="shared" si="1"/>
        <v/>
      </c>
      <c r="P3649" s="52"/>
    </row>
    <row r="3650">
      <c r="F3650" s="116" t="str">
        <f t="shared" si="1"/>
        <v/>
      </c>
      <c r="P3650" s="52"/>
    </row>
    <row r="3651">
      <c r="F3651" s="116" t="str">
        <f t="shared" si="1"/>
        <v/>
      </c>
      <c r="P3651" s="52"/>
    </row>
    <row r="3652">
      <c r="F3652" s="116" t="str">
        <f t="shared" si="1"/>
        <v/>
      </c>
      <c r="P3652" s="52"/>
    </row>
    <row r="3653">
      <c r="F3653" s="116" t="str">
        <f t="shared" si="1"/>
        <v/>
      </c>
      <c r="P3653" s="52"/>
    </row>
    <row r="3654">
      <c r="F3654" s="116" t="str">
        <f t="shared" si="1"/>
        <v/>
      </c>
      <c r="P3654" s="52"/>
    </row>
    <row r="3655">
      <c r="F3655" s="116" t="str">
        <f t="shared" si="1"/>
        <v/>
      </c>
      <c r="P3655" s="52"/>
    </row>
    <row r="3656">
      <c r="F3656" s="116" t="str">
        <f t="shared" si="1"/>
        <v/>
      </c>
      <c r="P3656" s="52"/>
    </row>
    <row r="3657">
      <c r="F3657" s="116" t="str">
        <f t="shared" si="1"/>
        <v/>
      </c>
      <c r="P3657" s="52"/>
    </row>
    <row r="3658">
      <c r="F3658" s="116" t="str">
        <f t="shared" si="1"/>
        <v/>
      </c>
      <c r="P3658" s="52"/>
    </row>
    <row r="3659">
      <c r="F3659" s="116" t="str">
        <f t="shared" si="1"/>
        <v/>
      </c>
      <c r="P3659" s="52"/>
    </row>
    <row r="3660">
      <c r="F3660" s="116" t="str">
        <f t="shared" si="1"/>
        <v/>
      </c>
      <c r="P3660" s="52"/>
    </row>
    <row r="3661">
      <c r="F3661" s="116" t="str">
        <f t="shared" si="1"/>
        <v/>
      </c>
      <c r="P3661" s="52"/>
    </row>
    <row r="3662">
      <c r="F3662" s="116" t="str">
        <f t="shared" si="1"/>
        <v/>
      </c>
      <c r="P3662" s="52"/>
    </row>
    <row r="3663">
      <c r="F3663" s="116" t="str">
        <f t="shared" si="1"/>
        <v/>
      </c>
      <c r="P3663" s="52"/>
    </row>
    <row r="3664">
      <c r="F3664" s="116" t="str">
        <f t="shared" si="1"/>
        <v/>
      </c>
      <c r="P3664" s="52"/>
    </row>
    <row r="3665">
      <c r="F3665" s="116" t="str">
        <f t="shared" si="1"/>
        <v/>
      </c>
      <c r="P3665" s="52"/>
    </row>
    <row r="3666">
      <c r="F3666" s="116" t="str">
        <f t="shared" si="1"/>
        <v/>
      </c>
      <c r="P3666" s="52"/>
    </row>
    <row r="3667">
      <c r="F3667" s="116" t="str">
        <f t="shared" si="1"/>
        <v/>
      </c>
      <c r="P3667" s="52"/>
    </row>
    <row r="3668">
      <c r="F3668" s="116" t="str">
        <f t="shared" si="1"/>
        <v/>
      </c>
      <c r="P3668" s="52"/>
    </row>
    <row r="3669">
      <c r="F3669" s="116" t="str">
        <f t="shared" si="1"/>
        <v/>
      </c>
      <c r="P3669" s="52"/>
    </row>
    <row r="3670">
      <c r="F3670" s="116" t="str">
        <f t="shared" si="1"/>
        <v/>
      </c>
      <c r="P3670" s="52"/>
    </row>
    <row r="3671">
      <c r="F3671" s="116" t="str">
        <f t="shared" si="1"/>
        <v/>
      </c>
      <c r="P3671" s="52"/>
    </row>
    <row r="3672">
      <c r="F3672" s="116" t="str">
        <f t="shared" si="1"/>
        <v/>
      </c>
      <c r="P3672" s="52"/>
    </row>
    <row r="3673">
      <c r="F3673" s="116" t="str">
        <f t="shared" si="1"/>
        <v/>
      </c>
      <c r="P3673" s="52"/>
    </row>
    <row r="3674">
      <c r="F3674" s="116" t="str">
        <f t="shared" si="1"/>
        <v/>
      </c>
      <c r="P3674" s="52"/>
    </row>
    <row r="3675">
      <c r="F3675" s="116" t="str">
        <f t="shared" si="1"/>
        <v/>
      </c>
      <c r="P3675" s="52"/>
    </row>
    <row r="3676">
      <c r="F3676" s="116" t="str">
        <f t="shared" si="1"/>
        <v/>
      </c>
      <c r="P3676" s="52"/>
    </row>
    <row r="3677">
      <c r="F3677" s="116" t="str">
        <f t="shared" si="1"/>
        <v/>
      </c>
      <c r="P3677" s="52"/>
    </row>
    <row r="3678">
      <c r="F3678" s="116" t="str">
        <f t="shared" si="1"/>
        <v/>
      </c>
      <c r="P3678" s="52"/>
    </row>
    <row r="3679">
      <c r="F3679" s="116" t="str">
        <f t="shared" si="1"/>
        <v/>
      </c>
      <c r="P3679" s="52"/>
    </row>
    <row r="3680">
      <c r="F3680" s="116" t="str">
        <f t="shared" si="1"/>
        <v/>
      </c>
      <c r="P3680" s="52"/>
    </row>
    <row r="3681">
      <c r="F3681" s="116" t="str">
        <f t="shared" si="1"/>
        <v/>
      </c>
      <c r="P3681" s="52"/>
    </row>
    <row r="3682">
      <c r="F3682" s="116" t="str">
        <f t="shared" si="1"/>
        <v/>
      </c>
      <c r="P3682" s="52"/>
    </row>
    <row r="3683">
      <c r="F3683" s="116" t="str">
        <f t="shared" si="1"/>
        <v/>
      </c>
      <c r="P3683" s="52"/>
    </row>
    <row r="3684">
      <c r="F3684" s="116" t="str">
        <f t="shared" si="1"/>
        <v/>
      </c>
      <c r="P3684" s="52"/>
    </row>
    <row r="3685">
      <c r="F3685" s="116" t="str">
        <f t="shared" si="1"/>
        <v/>
      </c>
      <c r="P3685" s="52"/>
    </row>
    <row r="3686">
      <c r="F3686" s="116" t="str">
        <f t="shared" si="1"/>
        <v/>
      </c>
      <c r="P3686" s="52"/>
    </row>
    <row r="3687">
      <c r="F3687" s="116" t="str">
        <f t="shared" si="1"/>
        <v/>
      </c>
      <c r="P3687" s="52"/>
    </row>
    <row r="3688">
      <c r="F3688" s="116" t="str">
        <f t="shared" si="1"/>
        <v/>
      </c>
      <c r="P3688" s="52"/>
    </row>
    <row r="3689">
      <c r="F3689" s="116" t="str">
        <f t="shared" si="1"/>
        <v/>
      </c>
      <c r="P3689" s="52"/>
    </row>
    <row r="3690">
      <c r="F3690" s="116" t="str">
        <f t="shared" si="1"/>
        <v/>
      </c>
      <c r="P3690" s="52"/>
    </row>
    <row r="3691">
      <c r="F3691" s="116" t="str">
        <f t="shared" si="1"/>
        <v/>
      </c>
      <c r="P3691" s="52"/>
    </row>
    <row r="3692">
      <c r="F3692" s="116" t="str">
        <f t="shared" si="1"/>
        <v/>
      </c>
      <c r="P3692" s="52"/>
    </row>
    <row r="3693">
      <c r="F3693" s="116" t="str">
        <f t="shared" si="1"/>
        <v/>
      </c>
      <c r="P3693" s="52"/>
    </row>
    <row r="3694">
      <c r="F3694" s="116" t="str">
        <f t="shared" si="1"/>
        <v/>
      </c>
      <c r="P3694" s="52"/>
    </row>
    <row r="3695">
      <c r="F3695" s="116" t="str">
        <f t="shared" si="1"/>
        <v/>
      </c>
      <c r="P3695" s="52"/>
    </row>
    <row r="3696">
      <c r="F3696" s="116" t="str">
        <f t="shared" si="1"/>
        <v/>
      </c>
      <c r="P3696" s="52"/>
    </row>
    <row r="3697">
      <c r="F3697" s="116" t="str">
        <f t="shared" si="1"/>
        <v/>
      </c>
      <c r="P3697" s="52"/>
    </row>
    <row r="3698">
      <c r="F3698" s="116" t="str">
        <f t="shared" si="1"/>
        <v/>
      </c>
      <c r="P3698" s="52"/>
    </row>
    <row r="3699">
      <c r="F3699" s="116" t="str">
        <f t="shared" si="1"/>
        <v/>
      </c>
      <c r="P3699" s="52"/>
    </row>
    <row r="3700">
      <c r="F3700" s="116" t="str">
        <f t="shared" si="1"/>
        <v/>
      </c>
      <c r="P3700" s="52"/>
    </row>
    <row r="3701">
      <c r="F3701" s="116" t="str">
        <f t="shared" si="1"/>
        <v/>
      </c>
      <c r="P3701" s="52"/>
    </row>
    <row r="3702">
      <c r="F3702" s="116" t="str">
        <f t="shared" si="1"/>
        <v/>
      </c>
      <c r="P3702" s="52"/>
    </row>
    <row r="3703">
      <c r="F3703" s="116" t="str">
        <f t="shared" si="1"/>
        <v/>
      </c>
      <c r="P3703" s="52"/>
    </row>
    <row r="3704">
      <c r="F3704" s="116" t="str">
        <f t="shared" si="1"/>
        <v/>
      </c>
      <c r="P3704" s="52"/>
    </row>
    <row r="3705">
      <c r="F3705" s="116" t="str">
        <f t="shared" si="1"/>
        <v/>
      </c>
      <c r="P3705" s="52"/>
    </row>
    <row r="3706">
      <c r="F3706" s="116" t="str">
        <f t="shared" si="1"/>
        <v/>
      </c>
      <c r="P3706" s="52"/>
    </row>
    <row r="3707">
      <c r="F3707" s="116" t="str">
        <f t="shared" si="1"/>
        <v/>
      </c>
      <c r="P3707" s="52"/>
    </row>
    <row r="3708">
      <c r="F3708" s="116" t="str">
        <f t="shared" si="1"/>
        <v/>
      </c>
      <c r="P3708" s="52"/>
    </row>
    <row r="3709">
      <c r="F3709" s="116" t="str">
        <f t="shared" si="1"/>
        <v/>
      </c>
      <c r="P3709" s="52"/>
    </row>
    <row r="3710">
      <c r="F3710" s="116" t="str">
        <f t="shared" si="1"/>
        <v/>
      </c>
      <c r="P3710" s="52"/>
    </row>
    <row r="3711">
      <c r="F3711" s="116" t="str">
        <f t="shared" si="1"/>
        <v/>
      </c>
      <c r="P3711" s="52"/>
    </row>
    <row r="3712">
      <c r="F3712" s="116" t="str">
        <f t="shared" si="1"/>
        <v/>
      </c>
      <c r="P3712" s="52"/>
    </row>
    <row r="3713">
      <c r="F3713" s="116" t="str">
        <f t="shared" si="1"/>
        <v/>
      </c>
      <c r="P3713" s="52"/>
    </row>
    <row r="3714">
      <c r="F3714" s="116" t="str">
        <f t="shared" si="1"/>
        <v/>
      </c>
      <c r="P3714" s="52"/>
    </row>
    <row r="3715">
      <c r="F3715" s="116" t="str">
        <f t="shared" si="1"/>
        <v/>
      </c>
      <c r="P3715" s="52"/>
    </row>
    <row r="3716">
      <c r="F3716" s="116" t="str">
        <f t="shared" si="1"/>
        <v/>
      </c>
      <c r="P3716" s="52"/>
    </row>
    <row r="3717">
      <c r="F3717" s="116" t="str">
        <f t="shared" si="1"/>
        <v/>
      </c>
      <c r="P3717" s="52"/>
    </row>
    <row r="3718">
      <c r="F3718" s="116" t="str">
        <f t="shared" si="1"/>
        <v/>
      </c>
      <c r="P3718" s="52"/>
    </row>
    <row r="3719">
      <c r="F3719" s="116" t="str">
        <f t="shared" si="1"/>
        <v/>
      </c>
      <c r="P3719" s="52"/>
    </row>
    <row r="3720">
      <c r="F3720" s="116" t="str">
        <f t="shared" si="1"/>
        <v/>
      </c>
      <c r="P3720" s="52"/>
    </row>
    <row r="3721">
      <c r="F3721" s="116" t="str">
        <f t="shared" si="1"/>
        <v/>
      </c>
      <c r="P3721" s="52"/>
    </row>
    <row r="3722">
      <c r="F3722" s="116" t="str">
        <f t="shared" si="1"/>
        <v/>
      </c>
      <c r="P3722" s="52"/>
    </row>
    <row r="3723">
      <c r="F3723" s="116" t="str">
        <f t="shared" si="1"/>
        <v/>
      </c>
      <c r="P3723" s="52"/>
    </row>
    <row r="3724">
      <c r="F3724" s="116" t="str">
        <f t="shared" si="1"/>
        <v/>
      </c>
      <c r="P3724" s="52"/>
    </row>
    <row r="3725">
      <c r="F3725" s="116" t="str">
        <f t="shared" si="1"/>
        <v/>
      </c>
      <c r="P3725" s="52"/>
    </row>
    <row r="3726">
      <c r="F3726" s="116" t="str">
        <f t="shared" si="1"/>
        <v/>
      </c>
      <c r="P3726" s="52"/>
    </row>
    <row r="3727">
      <c r="F3727" s="116" t="str">
        <f t="shared" si="1"/>
        <v/>
      </c>
      <c r="P3727" s="52"/>
    </row>
    <row r="3728">
      <c r="F3728" s="116" t="str">
        <f t="shared" si="1"/>
        <v/>
      </c>
      <c r="P3728" s="52"/>
    </row>
    <row r="3729">
      <c r="F3729" s="116" t="str">
        <f t="shared" si="1"/>
        <v/>
      </c>
      <c r="P3729" s="52"/>
    </row>
    <row r="3730">
      <c r="F3730" s="116" t="str">
        <f t="shared" si="1"/>
        <v/>
      </c>
      <c r="P3730" s="52"/>
    </row>
    <row r="3731">
      <c r="F3731" s="116" t="str">
        <f t="shared" si="1"/>
        <v/>
      </c>
      <c r="P3731" s="52"/>
    </row>
    <row r="3732">
      <c r="F3732" s="116" t="str">
        <f t="shared" si="1"/>
        <v/>
      </c>
      <c r="P3732" s="52"/>
    </row>
    <row r="3733">
      <c r="F3733" s="116" t="str">
        <f t="shared" si="1"/>
        <v/>
      </c>
      <c r="P3733" s="52"/>
    </row>
    <row r="3734">
      <c r="F3734" s="116" t="str">
        <f t="shared" si="1"/>
        <v/>
      </c>
      <c r="P3734" s="52"/>
    </row>
    <row r="3735">
      <c r="F3735" s="116" t="str">
        <f t="shared" si="1"/>
        <v/>
      </c>
      <c r="P3735" s="52"/>
    </row>
    <row r="3736">
      <c r="F3736" s="116" t="str">
        <f t="shared" si="1"/>
        <v/>
      </c>
      <c r="P3736" s="52"/>
    </row>
    <row r="3737">
      <c r="F3737" s="116" t="str">
        <f t="shared" si="1"/>
        <v/>
      </c>
      <c r="P3737" s="52"/>
    </row>
    <row r="3738">
      <c r="F3738" s="116" t="str">
        <f t="shared" si="1"/>
        <v/>
      </c>
      <c r="P3738" s="52"/>
    </row>
    <row r="3739">
      <c r="F3739" s="116" t="str">
        <f t="shared" si="1"/>
        <v/>
      </c>
      <c r="P3739" s="52"/>
    </row>
    <row r="3740">
      <c r="F3740" s="116" t="str">
        <f t="shared" si="1"/>
        <v/>
      </c>
      <c r="P3740" s="52"/>
    </row>
    <row r="3741">
      <c r="F3741" s="116" t="str">
        <f t="shared" si="1"/>
        <v/>
      </c>
      <c r="P3741" s="52"/>
    </row>
    <row r="3742">
      <c r="F3742" s="116" t="str">
        <f t="shared" si="1"/>
        <v/>
      </c>
      <c r="P3742" s="52"/>
    </row>
    <row r="3743">
      <c r="F3743" s="116" t="str">
        <f t="shared" si="1"/>
        <v/>
      </c>
      <c r="P3743" s="52"/>
    </row>
    <row r="3744">
      <c r="F3744" s="116" t="str">
        <f t="shared" si="1"/>
        <v/>
      </c>
      <c r="P3744" s="52"/>
    </row>
    <row r="3745">
      <c r="F3745" s="116" t="str">
        <f t="shared" si="1"/>
        <v/>
      </c>
      <c r="P3745" s="52"/>
    </row>
    <row r="3746">
      <c r="F3746" s="116" t="str">
        <f t="shared" si="1"/>
        <v/>
      </c>
      <c r="P3746" s="52"/>
    </row>
    <row r="3747">
      <c r="F3747" s="116" t="str">
        <f t="shared" si="1"/>
        <v/>
      </c>
      <c r="P3747" s="52"/>
    </row>
    <row r="3748">
      <c r="F3748" s="116" t="str">
        <f t="shared" si="1"/>
        <v/>
      </c>
      <c r="P3748" s="52"/>
    </row>
    <row r="3749">
      <c r="F3749" s="116" t="str">
        <f t="shared" si="1"/>
        <v/>
      </c>
      <c r="P3749" s="52"/>
    </row>
    <row r="3750">
      <c r="F3750" s="116" t="str">
        <f t="shared" si="1"/>
        <v/>
      </c>
      <c r="P3750" s="52"/>
    </row>
    <row r="3751">
      <c r="F3751" s="116" t="str">
        <f t="shared" si="1"/>
        <v/>
      </c>
      <c r="P3751" s="52"/>
    </row>
    <row r="3752">
      <c r="F3752" s="116" t="str">
        <f t="shared" si="1"/>
        <v/>
      </c>
      <c r="P3752" s="52"/>
    </row>
    <row r="3753">
      <c r="F3753" s="116" t="str">
        <f t="shared" si="1"/>
        <v/>
      </c>
      <c r="P3753" s="52"/>
    </row>
    <row r="3754">
      <c r="F3754" s="116" t="str">
        <f t="shared" si="1"/>
        <v/>
      </c>
      <c r="P3754" s="52"/>
    </row>
    <row r="3755">
      <c r="F3755" s="116" t="str">
        <f t="shared" si="1"/>
        <v/>
      </c>
      <c r="P3755" s="52"/>
    </row>
    <row r="3756">
      <c r="F3756" s="116" t="str">
        <f t="shared" si="1"/>
        <v/>
      </c>
      <c r="P3756" s="52"/>
    </row>
    <row r="3757">
      <c r="F3757" s="116" t="str">
        <f t="shared" si="1"/>
        <v/>
      </c>
      <c r="P3757" s="52"/>
    </row>
    <row r="3758">
      <c r="F3758" s="116" t="str">
        <f t="shared" si="1"/>
        <v/>
      </c>
      <c r="P3758" s="52"/>
    </row>
    <row r="3759">
      <c r="F3759" s="116" t="str">
        <f t="shared" si="1"/>
        <v/>
      </c>
      <c r="P3759" s="52"/>
    </row>
    <row r="3760">
      <c r="F3760" s="116" t="str">
        <f t="shared" si="1"/>
        <v/>
      </c>
      <c r="P3760" s="52"/>
    </row>
    <row r="3761">
      <c r="F3761" s="116" t="str">
        <f t="shared" si="1"/>
        <v/>
      </c>
      <c r="P3761" s="52"/>
    </row>
    <row r="3762">
      <c r="F3762" s="116" t="str">
        <f t="shared" si="1"/>
        <v/>
      </c>
      <c r="P3762" s="52"/>
    </row>
    <row r="3763">
      <c r="F3763" s="116" t="str">
        <f t="shared" si="1"/>
        <v/>
      </c>
      <c r="P3763" s="52"/>
    </row>
    <row r="3764">
      <c r="F3764" s="116" t="str">
        <f t="shared" si="1"/>
        <v/>
      </c>
      <c r="P3764" s="52"/>
    </row>
    <row r="3765">
      <c r="F3765" s="116" t="str">
        <f t="shared" si="1"/>
        <v/>
      </c>
      <c r="P3765" s="52"/>
    </row>
    <row r="3766">
      <c r="F3766" s="116" t="str">
        <f t="shared" si="1"/>
        <v/>
      </c>
      <c r="P3766" s="52"/>
    </row>
    <row r="3767">
      <c r="F3767" s="116" t="str">
        <f t="shared" si="1"/>
        <v/>
      </c>
      <c r="P3767" s="52"/>
    </row>
    <row r="3768">
      <c r="F3768" s="116" t="str">
        <f t="shared" si="1"/>
        <v/>
      </c>
      <c r="P3768" s="52"/>
    </row>
    <row r="3769">
      <c r="F3769" s="116" t="str">
        <f t="shared" si="1"/>
        <v/>
      </c>
      <c r="P3769" s="52"/>
    </row>
    <row r="3770">
      <c r="F3770" s="116" t="str">
        <f t="shared" si="1"/>
        <v/>
      </c>
      <c r="P3770" s="52"/>
    </row>
    <row r="3771">
      <c r="F3771" s="116" t="str">
        <f t="shared" si="1"/>
        <v/>
      </c>
      <c r="P3771" s="52"/>
    </row>
    <row r="3772">
      <c r="F3772" s="116" t="str">
        <f t="shared" si="1"/>
        <v/>
      </c>
      <c r="P3772" s="52"/>
    </row>
    <row r="3773">
      <c r="F3773" s="116" t="str">
        <f t="shared" si="1"/>
        <v/>
      </c>
      <c r="P3773" s="52"/>
    </row>
    <row r="3774">
      <c r="F3774" s="116" t="str">
        <f t="shared" si="1"/>
        <v/>
      </c>
      <c r="P3774" s="52"/>
    </row>
    <row r="3775">
      <c r="F3775" s="116" t="str">
        <f t="shared" si="1"/>
        <v/>
      </c>
      <c r="P3775" s="52"/>
    </row>
    <row r="3776">
      <c r="F3776" s="116" t="str">
        <f t="shared" si="1"/>
        <v/>
      </c>
      <c r="P3776" s="52"/>
    </row>
    <row r="3777">
      <c r="F3777" s="116" t="str">
        <f t="shared" si="1"/>
        <v/>
      </c>
      <c r="P3777" s="52"/>
    </row>
    <row r="3778">
      <c r="F3778" s="116" t="str">
        <f t="shared" si="1"/>
        <v/>
      </c>
      <c r="P3778" s="52"/>
    </row>
    <row r="3779">
      <c r="F3779" s="116" t="str">
        <f t="shared" si="1"/>
        <v/>
      </c>
      <c r="P3779" s="52"/>
    </row>
    <row r="3780">
      <c r="F3780" s="116" t="str">
        <f t="shared" si="1"/>
        <v/>
      </c>
      <c r="P3780" s="52"/>
    </row>
    <row r="3781">
      <c r="F3781" s="116" t="str">
        <f t="shared" si="1"/>
        <v/>
      </c>
      <c r="P3781" s="52"/>
    </row>
    <row r="3782">
      <c r="F3782" s="116" t="str">
        <f t="shared" si="1"/>
        <v/>
      </c>
      <c r="P3782" s="52"/>
    </row>
    <row r="3783">
      <c r="F3783" s="116" t="str">
        <f t="shared" si="1"/>
        <v/>
      </c>
      <c r="P3783" s="52"/>
    </row>
    <row r="3784">
      <c r="F3784" s="116" t="str">
        <f t="shared" si="1"/>
        <v/>
      </c>
      <c r="P3784" s="52"/>
    </row>
    <row r="3785">
      <c r="F3785" s="116" t="str">
        <f t="shared" si="1"/>
        <v/>
      </c>
      <c r="P3785" s="52"/>
    </row>
    <row r="3786">
      <c r="F3786" s="116" t="str">
        <f t="shared" si="1"/>
        <v/>
      </c>
      <c r="P3786" s="52"/>
    </row>
    <row r="3787">
      <c r="F3787" s="116" t="str">
        <f t="shared" si="1"/>
        <v/>
      </c>
      <c r="P3787" s="52"/>
    </row>
    <row r="3788">
      <c r="F3788" s="116" t="str">
        <f t="shared" si="1"/>
        <v/>
      </c>
      <c r="P3788" s="52"/>
    </row>
    <row r="3789">
      <c r="F3789" s="116" t="str">
        <f t="shared" si="1"/>
        <v/>
      </c>
      <c r="P3789" s="52"/>
    </row>
    <row r="3790">
      <c r="F3790" s="116" t="str">
        <f t="shared" si="1"/>
        <v/>
      </c>
      <c r="P3790" s="52"/>
    </row>
    <row r="3791">
      <c r="F3791" s="116" t="str">
        <f t="shared" si="1"/>
        <v/>
      </c>
      <c r="P3791" s="52"/>
    </row>
    <row r="3792">
      <c r="F3792" s="116" t="str">
        <f t="shared" si="1"/>
        <v/>
      </c>
      <c r="P3792" s="52"/>
    </row>
    <row r="3793">
      <c r="F3793" s="116" t="str">
        <f t="shared" si="1"/>
        <v/>
      </c>
      <c r="P3793" s="52"/>
    </row>
    <row r="3794">
      <c r="F3794" s="116" t="str">
        <f t="shared" si="1"/>
        <v/>
      </c>
      <c r="P3794" s="52"/>
    </row>
    <row r="3795">
      <c r="F3795" s="116" t="str">
        <f t="shared" si="1"/>
        <v/>
      </c>
      <c r="P3795" s="52"/>
    </row>
    <row r="3796">
      <c r="F3796" s="116" t="str">
        <f t="shared" si="1"/>
        <v/>
      </c>
      <c r="P3796" s="52"/>
    </row>
    <row r="3797">
      <c r="F3797" s="116" t="str">
        <f t="shared" si="1"/>
        <v/>
      </c>
      <c r="P3797" s="52"/>
    </row>
    <row r="3798">
      <c r="F3798" s="116" t="str">
        <f t="shared" si="1"/>
        <v/>
      </c>
      <c r="P3798" s="52"/>
    </row>
    <row r="3799">
      <c r="F3799" s="116" t="str">
        <f t="shared" si="1"/>
        <v/>
      </c>
      <c r="P3799" s="52"/>
    </row>
    <row r="3800">
      <c r="F3800" s="116" t="str">
        <f t="shared" si="1"/>
        <v/>
      </c>
      <c r="P3800" s="52"/>
    </row>
    <row r="3801">
      <c r="F3801" s="116" t="str">
        <f t="shared" si="1"/>
        <v/>
      </c>
      <c r="P3801" s="52"/>
    </row>
    <row r="3802">
      <c r="F3802" s="116" t="str">
        <f t="shared" si="1"/>
        <v/>
      </c>
      <c r="P3802" s="52"/>
    </row>
    <row r="3803">
      <c r="F3803" s="116" t="str">
        <f t="shared" si="1"/>
        <v/>
      </c>
      <c r="P3803" s="52"/>
    </row>
    <row r="3804">
      <c r="F3804" s="116" t="str">
        <f t="shared" si="1"/>
        <v/>
      </c>
      <c r="P3804" s="52"/>
    </row>
    <row r="3805">
      <c r="F3805" s="116" t="str">
        <f t="shared" si="1"/>
        <v/>
      </c>
      <c r="P3805" s="52"/>
    </row>
    <row r="3806">
      <c r="F3806" s="116" t="str">
        <f t="shared" si="1"/>
        <v/>
      </c>
      <c r="P3806" s="52"/>
    </row>
    <row r="3807">
      <c r="F3807" s="116" t="str">
        <f t="shared" si="1"/>
        <v/>
      </c>
      <c r="P3807" s="52"/>
    </row>
    <row r="3808">
      <c r="F3808" s="116" t="str">
        <f t="shared" si="1"/>
        <v/>
      </c>
      <c r="P3808" s="52"/>
    </row>
    <row r="3809">
      <c r="F3809" s="116" t="str">
        <f t="shared" si="1"/>
        <v/>
      </c>
      <c r="P3809" s="52"/>
    </row>
    <row r="3810">
      <c r="F3810" s="116" t="str">
        <f t="shared" si="1"/>
        <v/>
      </c>
      <c r="P3810" s="52"/>
    </row>
    <row r="3811">
      <c r="F3811" s="116" t="str">
        <f t="shared" si="1"/>
        <v/>
      </c>
      <c r="P3811" s="52"/>
    </row>
    <row r="3812">
      <c r="F3812" s="116" t="str">
        <f t="shared" si="1"/>
        <v/>
      </c>
      <c r="P3812" s="52"/>
    </row>
    <row r="3813">
      <c r="F3813" s="116" t="str">
        <f t="shared" si="1"/>
        <v/>
      </c>
      <c r="P3813" s="52"/>
    </row>
    <row r="3814">
      <c r="F3814" s="116" t="str">
        <f t="shared" si="1"/>
        <v/>
      </c>
      <c r="P3814" s="52"/>
    </row>
    <row r="3815">
      <c r="F3815" s="116" t="str">
        <f t="shared" si="1"/>
        <v/>
      </c>
      <c r="P3815" s="52"/>
    </row>
    <row r="3816">
      <c r="F3816" s="116" t="str">
        <f t="shared" si="1"/>
        <v/>
      </c>
      <c r="P3816" s="52"/>
    </row>
    <row r="3817">
      <c r="F3817" s="116" t="str">
        <f t="shared" si="1"/>
        <v/>
      </c>
      <c r="P3817" s="52"/>
    </row>
    <row r="3818">
      <c r="F3818" s="116" t="str">
        <f t="shared" si="1"/>
        <v/>
      </c>
      <c r="P3818" s="52"/>
    </row>
    <row r="3819">
      <c r="F3819" s="116" t="str">
        <f t="shared" si="1"/>
        <v/>
      </c>
      <c r="P3819" s="52"/>
    </row>
    <row r="3820">
      <c r="F3820" s="116" t="str">
        <f t="shared" si="1"/>
        <v/>
      </c>
      <c r="P3820" s="52"/>
    </row>
    <row r="3821">
      <c r="F3821" s="116" t="str">
        <f t="shared" si="1"/>
        <v/>
      </c>
      <c r="P3821" s="52"/>
    </row>
    <row r="3822">
      <c r="F3822" s="116" t="str">
        <f t="shared" si="1"/>
        <v/>
      </c>
      <c r="P3822" s="52"/>
    </row>
    <row r="3823">
      <c r="F3823" s="116" t="str">
        <f t="shared" si="1"/>
        <v/>
      </c>
      <c r="P3823" s="52"/>
    </row>
    <row r="3824">
      <c r="F3824" s="116" t="str">
        <f t="shared" si="1"/>
        <v/>
      </c>
      <c r="P3824" s="52"/>
    </row>
    <row r="3825">
      <c r="F3825" s="116" t="str">
        <f t="shared" si="1"/>
        <v/>
      </c>
      <c r="P3825" s="52"/>
    </row>
    <row r="3826">
      <c r="F3826" s="116" t="str">
        <f t="shared" si="1"/>
        <v/>
      </c>
      <c r="P3826" s="52"/>
    </row>
    <row r="3827">
      <c r="F3827" s="116" t="str">
        <f t="shared" si="1"/>
        <v/>
      </c>
      <c r="P3827" s="52"/>
    </row>
    <row r="3828">
      <c r="F3828" s="116" t="str">
        <f t="shared" si="1"/>
        <v/>
      </c>
      <c r="P3828" s="52"/>
    </row>
    <row r="3829">
      <c r="F3829" s="116" t="str">
        <f t="shared" si="1"/>
        <v/>
      </c>
      <c r="P3829" s="52"/>
    </row>
    <row r="3830">
      <c r="F3830" s="116" t="str">
        <f t="shared" si="1"/>
        <v/>
      </c>
      <c r="P3830" s="52"/>
    </row>
    <row r="3831">
      <c r="F3831" s="116" t="str">
        <f t="shared" si="1"/>
        <v/>
      </c>
      <c r="P3831" s="52"/>
    </row>
    <row r="3832">
      <c r="F3832" s="116" t="str">
        <f t="shared" si="1"/>
        <v/>
      </c>
      <c r="P3832" s="52"/>
    </row>
    <row r="3833">
      <c r="F3833" s="116" t="str">
        <f t="shared" si="1"/>
        <v/>
      </c>
      <c r="P3833" s="52"/>
    </row>
    <row r="3834">
      <c r="F3834" s="116" t="str">
        <f t="shared" si="1"/>
        <v/>
      </c>
      <c r="P3834" s="52"/>
    </row>
    <row r="3835">
      <c r="F3835" s="116" t="str">
        <f t="shared" si="1"/>
        <v/>
      </c>
      <c r="P3835" s="52"/>
    </row>
    <row r="3836">
      <c r="F3836" s="116" t="str">
        <f t="shared" si="1"/>
        <v/>
      </c>
      <c r="P3836" s="52"/>
    </row>
    <row r="3837">
      <c r="F3837" s="116" t="str">
        <f t="shared" si="1"/>
        <v/>
      </c>
      <c r="P3837" s="52"/>
    </row>
    <row r="3838">
      <c r="F3838" s="116" t="str">
        <f t="shared" si="1"/>
        <v/>
      </c>
      <c r="P3838" s="52"/>
    </row>
    <row r="3839">
      <c r="F3839" s="116" t="str">
        <f t="shared" si="1"/>
        <v/>
      </c>
      <c r="P3839" s="52"/>
    </row>
    <row r="3840">
      <c r="F3840" s="116" t="str">
        <f t="shared" si="1"/>
        <v/>
      </c>
      <c r="P3840" s="52"/>
    </row>
    <row r="3841">
      <c r="F3841" s="116" t="str">
        <f t="shared" si="1"/>
        <v/>
      </c>
      <c r="P3841" s="52"/>
    </row>
    <row r="3842">
      <c r="F3842" s="116" t="str">
        <f t="shared" si="1"/>
        <v/>
      </c>
      <c r="P3842" s="52"/>
    </row>
    <row r="3843">
      <c r="F3843" s="116" t="str">
        <f t="shared" si="1"/>
        <v/>
      </c>
      <c r="P3843" s="52"/>
    </row>
    <row r="3844">
      <c r="F3844" s="116" t="str">
        <f t="shared" si="1"/>
        <v/>
      </c>
      <c r="P3844" s="52"/>
    </row>
    <row r="3845">
      <c r="F3845" s="116" t="str">
        <f t="shared" si="1"/>
        <v/>
      </c>
      <c r="P3845" s="52"/>
    </row>
    <row r="3846">
      <c r="F3846" s="116" t="str">
        <f t="shared" si="1"/>
        <v/>
      </c>
      <c r="P3846" s="52"/>
    </row>
    <row r="3847">
      <c r="F3847" s="116" t="str">
        <f t="shared" si="1"/>
        <v/>
      </c>
      <c r="P3847" s="52"/>
    </row>
    <row r="3848">
      <c r="F3848" s="116" t="str">
        <f t="shared" si="1"/>
        <v/>
      </c>
      <c r="P3848" s="52"/>
    </row>
    <row r="3849">
      <c r="F3849" s="116" t="str">
        <f t="shared" si="1"/>
        <v/>
      </c>
      <c r="P3849" s="52"/>
    </row>
    <row r="3850">
      <c r="F3850" s="116" t="str">
        <f t="shared" si="1"/>
        <v/>
      </c>
      <c r="P3850" s="52"/>
    </row>
    <row r="3851">
      <c r="F3851" s="116" t="str">
        <f t="shared" si="1"/>
        <v/>
      </c>
      <c r="P3851" s="52"/>
    </row>
    <row r="3852">
      <c r="F3852" s="116" t="str">
        <f t="shared" si="1"/>
        <v/>
      </c>
      <c r="P3852" s="52"/>
    </row>
    <row r="3853">
      <c r="F3853" s="116" t="str">
        <f t="shared" si="1"/>
        <v/>
      </c>
      <c r="P3853" s="52"/>
    </row>
    <row r="3854">
      <c r="F3854" s="116" t="str">
        <f t="shared" si="1"/>
        <v/>
      </c>
      <c r="P3854" s="52"/>
    </row>
    <row r="3855">
      <c r="F3855" s="116" t="str">
        <f t="shared" si="1"/>
        <v/>
      </c>
      <c r="P3855" s="52"/>
    </row>
    <row r="3856">
      <c r="F3856" s="116" t="str">
        <f t="shared" si="1"/>
        <v/>
      </c>
      <c r="P3856" s="52"/>
    </row>
    <row r="3857">
      <c r="F3857" s="116" t="str">
        <f t="shared" si="1"/>
        <v/>
      </c>
      <c r="P3857" s="52"/>
    </row>
    <row r="3858">
      <c r="F3858" s="116" t="str">
        <f t="shared" si="1"/>
        <v/>
      </c>
      <c r="P3858" s="52"/>
    </row>
    <row r="3859">
      <c r="F3859" s="116" t="str">
        <f t="shared" si="1"/>
        <v/>
      </c>
      <c r="P3859" s="52"/>
    </row>
    <row r="3860">
      <c r="F3860" s="116" t="str">
        <f t="shared" si="1"/>
        <v/>
      </c>
      <c r="P3860" s="52"/>
    </row>
    <row r="3861">
      <c r="F3861" s="116" t="str">
        <f t="shared" si="1"/>
        <v/>
      </c>
      <c r="P3861" s="52"/>
    </row>
    <row r="3862">
      <c r="F3862" s="116" t="str">
        <f t="shared" si="1"/>
        <v/>
      </c>
      <c r="P3862" s="52"/>
    </row>
    <row r="3863">
      <c r="F3863" s="116" t="str">
        <f t="shared" si="1"/>
        <v/>
      </c>
      <c r="P3863" s="52"/>
    </row>
    <row r="3864">
      <c r="F3864" s="116" t="str">
        <f t="shared" si="1"/>
        <v/>
      </c>
      <c r="P3864" s="52"/>
    </row>
    <row r="3865">
      <c r="F3865" s="116" t="str">
        <f t="shared" si="1"/>
        <v/>
      </c>
      <c r="P3865" s="52"/>
    </row>
    <row r="3866">
      <c r="F3866" s="116" t="str">
        <f t="shared" si="1"/>
        <v/>
      </c>
      <c r="P3866" s="52"/>
    </row>
    <row r="3867">
      <c r="F3867" s="116" t="str">
        <f t="shared" si="1"/>
        <v/>
      </c>
      <c r="P3867" s="52"/>
    </row>
    <row r="3868">
      <c r="F3868" s="116" t="str">
        <f t="shared" si="1"/>
        <v/>
      </c>
      <c r="P3868" s="52"/>
    </row>
    <row r="3869">
      <c r="F3869" s="116" t="str">
        <f t="shared" si="1"/>
        <v/>
      </c>
      <c r="P3869" s="52"/>
    </row>
    <row r="3870">
      <c r="F3870" s="116" t="str">
        <f t="shared" si="1"/>
        <v/>
      </c>
      <c r="P3870" s="52"/>
    </row>
    <row r="3871">
      <c r="F3871" s="116" t="str">
        <f t="shared" si="1"/>
        <v/>
      </c>
      <c r="P3871" s="52"/>
    </row>
    <row r="3872">
      <c r="F3872" s="116" t="str">
        <f t="shared" si="1"/>
        <v/>
      </c>
      <c r="P3872" s="52"/>
    </row>
    <row r="3873">
      <c r="F3873" s="116" t="str">
        <f t="shared" si="1"/>
        <v/>
      </c>
      <c r="P3873" s="52"/>
    </row>
    <row r="3874">
      <c r="F3874" s="116" t="str">
        <f t="shared" si="1"/>
        <v/>
      </c>
      <c r="P3874" s="52"/>
    </row>
    <row r="3875">
      <c r="F3875" s="116" t="str">
        <f t="shared" si="1"/>
        <v/>
      </c>
      <c r="P3875" s="52"/>
    </row>
    <row r="3876">
      <c r="F3876" s="116" t="str">
        <f t="shared" si="1"/>
        <v/>
      </c>
      <c r="P3876" s="52"/>
    </row>
    <row r="3877">
      <c r="F3877" s="116" t="str">
        <f t="shared" si="1"/>
        <v/>
      </c>
      <c r="P3877" s="52"/>
    </row>
    <row r="3878">
      <c r="F3878" s="116" t="str">
        <f t="shared" si="1"/>
        <v/>
      </c>
      <c r="P3878" s="52"/>
    </row>
    <row r="3879">
      <c r="F3879" s="116" t="str">
        <f t="shared" si="1"/>
        <v/>
      </c>
      <c r="P3879" s="52"/>
    </row>
    <row r="3880">
      <c r="F3880" s="116" t="str">
        <f t="shared" si="1"/>
        <v/>
      </c>
      <c r="P3880" s="52"/>
    </row>
    <row r="3881">
      <c r="F3881" s="116" t="str">
        <f t="shared" si="1"/>
        <v/>
      </c>
      <c r="P3881" s="52"/>
    </row>
    <row r="3882">
      <c r="F3882" s="116" t="str">
        <f t="shared" si="1"/>
        <v/>
      </c>
      <c r="P3882" s="52"/>
    </row>
    <row r="3883">
      <c r="F3883" s="116" t="str">
        <f t="shared" si="1"/>
        <v/>
      </c>
      <c r="P3883" s="52"/>
    </row>
    <row r="3884">
      <c r="F3884" s="116" t="str">
        <f t="shared" si="1"/>
        <v/>
      </c>
      <c r="P3884" s="52"/>
    </row>
    <row r="3885">
      <c r="F3885" s="116" t="str">
        <f t="shared" si="1"/>
        <v/>
      </c>
      <c r="P3885" s="52"/>
    </row>
    <row r="3886">
      <c r="F3886" s="116" t="str">
        <f t="shared" si="1"/>
        <v/>
      </c>
      <c r="P3886" s="52"/>
    </row>
    <row r="3887">
      <c r="F3887" s="116" t="str">
        <f t="shared" si="1"/>
        <v/>
      </c>
      <c r="P3887" s="52"/>
    </row>
    <row r="3888">
      <c r="F3888" s="116" t="str">
        <f t="shared" si="1"/>
        <v/>
      </c>
      <c r="P3888" s="52"/>
    </row>
    <row r="3889">
      <c r="F3889" s="116" t="str">
        <f t="shared" si="1"/>
        <v/>
      </c>
      <c r="P3889" s="52"/>
    </row>
    <row r="3890">
      <c r="F3890" s="116" t="str">
        <f t="shared" si="1"/>
        <v/>
      </c>
      <c r="P3890" s="52"/>
    </row>
    <row r="3891">
      <c r="F3891" s="116" t="str">
        <f t="shared" si="1"/>
        <v/>
      </c>
      <c r="P3891" s="52"/>
    </row>
    <row r="3892">
      <c r="F3892" s="116" t="str">
        <f t="shared" si="1"/>
        <v/>
      </c>
      <c r="P3892" s="52"/>
    </row>
    <row r="3893">
      <c r="F3893" s="116" t="str">
        <f t="shared" si="1"/>
        <v/>
      </c>
      <c r="P3893" s="52"/>
    </row>
    <row r="3894">
      <c r="F3894" s="116" t="str">
        <f t="shared" si="1"/>
        <v/>
      </c>
      <c r="P3894" s="52"/>
    </row>
    <row r="3895">
      <c r="F3895" s="116" t="str">
        <f t="shared" si="1"/>
        <v/>
      </c>
      <c r="P3895" s="52"/>
    </row>
    <row r="3896">
      <c r="F3896" s="116" t="str">
        <f t="shared" si="1"/>
        <v/>
      </c>
      <c r="P3896" s="52"/>
    </row>
    <row r="3897">
      <c r="F3897" s="116" t="str">
        <f t="shared" si="1"/>
        <v/>
      </c>
      <c r="P3897" s="52"/>
    </row>
    <row r="3898">
      <c r="F3898" s="116" t="str">
        <f t="shared" si="1"/>
        <v/>
      </c>
      <c r="P3898" s="52"/>
    </row>
    <row r="3899">
      <c r="F3899" s="116" t="str">
        <f t="shared" si="1"/>
        <v/>
      </c>
      <c r="P3899" s="52"/>
    </row>
    <row r="3900">
      <c r="F3900" s="116" t="str">
        <f t="shared" si="1"/>
        <v/>
      </c>
      <c r="P3900" s="52"/>
    </row>
    <row r="3901">
      <c r="F3901" s="116" t="str">
        <f t="shared" si="1"/>
        <v/>
      </c>
      <c r="P3901" s="52"/>
    </row>
    <row r="3902">
      <c r="F3902" s="116" t="str">
        <f t="shared" si="1"/>
        <v/>
      </c>
      <c r="P3902" s="52"/>
    </row>
    <row r="3903">
      <c r="F3903" s="116" t="str">
        <f t="shared" si="1"/>
        <v/>
      </c>
      <c r="P3903" s="52"/>
    </row>
    <row r="3904">
      <c r="F3904" s="116" t="str">
        <f t="shared" si="1"/>
        <v/>
      </c>
      <c r="P3904" s="52"/>
    </row>
    <row r="3905">
      <c r="F3905" s="116" t="str">
        <f t="shared" si="1"/>
        <v/>
      </c>
      <c r="P3905" s="52"/>
    </row>
    <row r="3906">
      <c r="F3906" s="116" t="str">
        <f t="shared" si="1"/>
        <v/>
      </c>
      <c r="P3906" s="52"/>
    </row>
    <row r="3907">
      <c r="F3907" s="116" t="str">
        <f t="shared" si="1"/>
        <v/>
      </c>
      <c r="P3907" s="52"/>
    </row>
    <row r="3908">
      <c r="F3908" s="116" t="str">
        <f t="shared" si="1"/>
        <v/>
      </c>
      <c r="P3908" s="52"/>
    </row>
    <row r="3909">
      <c r="F3909" s="116" t="str">
        <f t="shared" si="1"/>
        <v/>
      </c>
      <c r="P3909" s="52"/>
    </row>
    <row r="3910">
      <c r="F3910" s="116" t="str">
        <f t="shared" si="1"/>
        <v/>
      </c>
      <c r="P3910" s="52"/>
    </row>
    <row r="3911">
      <c r="F3911" s="116" t="str">
        <f t="shared" si="1"/>
        <v/>
      </c>
      <c r="P3911" s="52"/>
    </row>
    <row r="3912">
      <c r="F3912" s="116" t="str">
        <f t="shared" si="1"/>
        <v/>
      </c>
      <c r="P3912" s="52"/>
    </row>
    <row r="3913">
      <c r="F3913" s="116" t="str">
        <f t="shared" si="1"/>
        <v/>
      </c>
      <c r="P3913" s="52"/>
    </row>
    <row r="3914">
      <c r="F3914" s="116" t="str">
        <f t="shared" si="1"/>
        <v/>
      </c>
      <c r="P3914" s="52"/>
    </row>
    <row r="3915">
      <c r="F3915" s="116" t="str">
        <f t="shared" si="1"/>
        <v/>
      </c>
      <c r="P3915" s="52"/>
    </row>
    <row r="3916">
      <c r="F3916" s="116" t="str">
        <f t="shared" si="1"/>
        <v/>
      </c>
      <c r="P3916" s="52"/>
    </row>
    <row r="3917">
      <c r="F3917" s="116" t="str">
        <f t="shared" si="1"/>
        <v/>
      </c>
      <c r="P3917" s="52"/>
    </row>
    <row r="3918">
      <c r="F3918" s="116" t="str">
        <f t="shared" si="1"/>
        <v/>
      </c>
      <c r="P3918" s="52"/>
    </row>
    <row r="3919">
      <c r="F3919" s="116" t="str">
        <f t="shared" si="1"/>
        <v/>
      </c>
      <c r="P3919" s="52"/>
    </row>
    <row r="3920">
      <c r="F3920" s="116" t="str">
        <f t="shared" si="1"/>
        <v/>
      </c>
      <c r="P3920" s="52"/>
    </row>
    <row r="3921">
      <c r="F3921" s="116" t="str">
        <f t="shared" si="1"/>
        <v/>
      </c>
      <c r="P3921" s="52"/>
    </row>
    <row r="3922">
      <c r="F3922" s="116" t="str">
        <f t="shared" si="1"/>
        <v/>
      </c>
      <c r="P3922" s="52"/>
    </row>
    <row r="3923">
      <c r="F3923" s="116" t="str">
        <f t="shared" si="1"/>
        <v/>
      </c>
      <c r="P3923" s="52"/>
    </row>
    <row r="3924">
      <c r="F3924" s="116" t="str">
        <f t="shared" si="1"/>
        <v/>
      </c>
      <c r="P3924" s="52"/>
    </row>
    <row r="3925">
      <c r="F3925" s="116" t="str">
        <f t="shared" si="1"/>
        <v/>
      </c>
      <c r="P3925" s="52"/>
    </row>
    <row r="3926">
      <c r="F3926" s="116" t="str">
        <f t="shared" si="1"/>
        <v/>
      </c>
      <c r="P3926" s="52"/>
    </row>
    <row r="3927">
      <c r="F3927" s="116" t="str">
        <f t="shared" si="1"/>
        <v/>
      </c>
      <c r="P3927" s="52"/>
    </row>
    <row r="3928">
      <c r="F3928" s="116" t="str">
        <f t="shared" si="1"/>
        <v/>
      </c>
      <c r="P3928" s="52"/>
    </row>
    <row r="3929">
      <c r="F3929" s="116" t="str">
        <f t="shared" si="1"/>
        <v/>
      </c>
      <c r="P3929" s="52"/>
    </row>
    <row r="3930">
      <c r="F3930" s="116" t="str">
        <f t="shared" si="1"/>
        <v/>
      </c>
      <c r="P3930" s="52"/>
    </row>
    <row r="3931">
      <c r="F3931" s="116" t="str">
        <f t="shared" si="1"/>
        <v/>
      </c>
      <c r="P3931" s="52"/>
    </row>
    <row r="3932">
      <c r="F3932" s="116" t="str">
        <f t="shared" si="1"/>
        <v/>
      </c>
      <c r="P3932" s="52"/>
    </row>
    <row r="3933">
      <c r="F3933" s="116" t="str">
        <f t="shared" si="1"/>
        <v/>
      </c>
      <c r="P3933" s="52"/>
    </row>
    <row r="3934">
      <c r="F3934" s="116" t="str">
        <f t="shared" si="1"/>
        <v/>
      </c>
      <c r="P3934" s="52"/>
    </row>
    <row r="3935">
      <c r="F3935" s="116" t="str">
        <f t="shared" si="1"/>
        <v/>
      </c>
      <c r="P3935" s="52"/>
    </row>
    <row r="3936">
      <c r="F3936" s="116" t="str">
        <f t="shared" si="1"/>
        <v/>
      </c>
      <c r="P3936" s="52"/>
    </row>
    <row r="3937">
      <c r="F3937" s="116" t="str">
        <f t="shared" si="1"/>
        <v/>
      </c>
      <c r="P3937" s="52"/>
    </row>
    <row r="3938">
      <c r="F3938" s="116" t="str">
        <f t="shared" si="1"/>
        <v/>
      </c>
      <c r="P3938" s="52"/>
    </row>
    <row r="3939">
      <c r="F3939" s="116" t="str">
        <f t="shared" si="1"/>
        <v/>
      </c>
      <c r="P3939" s="52"/>
    </row>
    <row r="3940">
      <c r="F3940" s="116" t="str">
        <f t="shared" si="1"/>
        <v/>
      </c>
      <c r="P3940" s="52"/>
    </row>
    <row r="3941">
      <c r="F3941" s="116" t="str">
        <f t="shared" si="1"/>
        <v/>
      </c>
      <c r="P3941" s="52"/>
    </row>
    <row r="3942">
      <c r="F3942" s="116" t="str">
        <f t="shared" si="1"/>
        <v/>
      </c>
      <c r="P3942" s="52"/>
    </row>
    <row r="3943">
      <c r="F3943" s="116" t="str">
        <f t="shared" si="1"/>
        <v/>
      </c>
      <c r="P3943" s="52"/>
    </row>
    <row r="3944">
      <c r="F3944" s="116" t="str">
        <f t="shared" si="1"/>
        <v/>
      </c>
      <c r="P3944" s="52"/>
    </row>
    <row r="3945">
      <c r="F3945" s="116" t="str">
        <f t="shared" si="1"/>
        <v/>
      </c>
      <c r="P3945" s="52"/>
    </row>
    <row r="3946">
      <c r="F3946" s="116" t="str">
        <f t="shared" si="1"/>
        <v/>
      </c>
      <c r="P3946" s="52"/>
    </row>
    <row r="3947">
      <c r="F3947" s="116" t="str">
        <f t="shared" si="1"/>
        <v/>
      </c>
      <c r="P3947" s="52"/>
    </row>
    <row r="3948">
      <c r="F3948" s="116" t="str">
        <f t="shared" si="1"/>
        <v/>
      </c>
      <c r="P3948" s="52"/>
    </row>
    <row r="3949">
      <c r="F3949" s="116" t="str">
        <f t="shared" si="1"/>
        <v/>
      </c>
      <c r="P3949" s="52"/>
    </row>
    <row r="3950">
      <c r="F3950" s="116" t="str">
        <f t="shared" si="1"/>
        <v/>
      </c>
      <c r="P3950" s="52"/>
    </row>
    <row r="3951">
      <c r="F3951" s="116" t="str">
        <f t="shared" si="1"/>
        <v/>
      </c>
      <c r="P3951" s="52"/>
    </row>
    <row r="3952">
      <c r="F3952" s="116" t="str">
        <f t="shared" si="1"/>
        <v/>
      </c>
      <c r="P3952" s="52"/>
    </row>
    <row r="3953">
      <c r="F3953" s="116" t="str">
        <f t="shared" si="1"/>
        <v/>
      </c>
      <c r="P3953" s="52"/>
    </row>
    <row r="3954">
      <c r="F3954" s="116" t="str">
        <f t="shared" si="1"/>
        <v/>
      </c>
      <c r="P3954" s="52"/>
    </row>
    <row r="3955">
      <c r="F3955" s="116" t="str">
        <f t="shared" si="1"/>
        <v/>
      </c>
      <c r="P3955" s="52"/>
    </row>
    <row r="3956">
      <c r="F3956" s="116" t="str">
        <f t="shared" si="1"/>
        <v/>
      </c>
      <c r="P3956" s="52"/>
    </row>
    <row r="3957">
      <c r="F3957" s="116" t="str">
        <f t="shared" si="1"/>
        <v/>
      </c>
      <c r="P3957" s="52"/>
    </row>
    <row r="3958">
      <c r="F3958" s="116" t="str">
        <f t="shared" si="1"/>
        <v/>
      </c>
      <c r="P3958" s="52"/>
    </row>
    <row r="3959">
      <c r="F3959" s="116" t="str">
        <f t="shared" si="1"/>
        <v/>
      </c>
      <c r="P3959" s="52"/>
    </row>
    <row r="3960">
      <c r="F3960" s="116" t="str">
        <f t="shared" si="1"/>
        <v/>
      </c>
      <c r="P3960" s="52"/>
    </row>
    <row r="3961">
      <c r="F3961" s="116" t="str">
        <f t="shared" si="1"/>
        <v/>
      </c>
      <c r="P3961" s="52"/>
    </row>
    <row r="3962">
      <c r="F3962" s="116" t="str">
        <f t="shared" si="1"/>
        <v/>
      </c>
      <c r="P3962" s="52"/>
    </row>
    <row r="3963">
      <c r="F3963" s="116" t="str">
        <f t="shared" si="1"/>
        <v/>
      </c>
      <c r="P3963" s="52"/>
    </row>
    <row r="3964">
      <c r="F3964" s="116" t="str">
        <f t="shared" si="1"/>
        <v/>
      </c>
      <c r="P3964" s="52"/>
    </row>
    <row r="3965">
      <c r="F3965" s="116" t="str">
        <f t="shared" si="1"/>
        <v/>
      </c>
      <c r="P3965" s="52"/>
    </row>
    <row r="3966">
      <c r="F3966" s="116" t="str">
        <f t="shared" si="1"/>
        <v/>
      </c>
      <c r="P3966" s="52"/>
    </row>
    <row r="3967">
      <c r="F3967" s="116" t="str">
        <f t="shared" si="1"/>
        <v/>
      </c>
      <c r="P3967" s="52"/>
    </row>
    <row r="3968">
      <c r="F3968" s="116" t="str">
        <f t="shared" si="1"/>
        <v/>
      </c>
      <c r="P3968" s="52"/>
    </row>
    <row r="3969">
      <c r="F3969" s="116" t="str">
        <f t="shared" si="1"/>
        <v/>
      </c>
      <c r="P3969" s="52"/>
    </row>
    <row r="3970">
      <c r="F3970" s="116" t="str">
        <f t="shared" si="1"/>
        <v/>
      </c>
      <c r="P3970" s="52"/>
    </row>
    <row r="3971">
      <c r="F3971" s="116" t="str">
        <f t="shared" si="1"/>
        <v/>
      </c>
      <c r="P3971" s="52"/>
    </row>
    <row r="3972">
      <c r="F3972" s="116" t="str">
        <f t="shared" si="1"/>
        <v/>
      </c>
      <c r="P3972" s="52"/>
    </row>
    <row r="3973">
      <c r="F3973" s="116" t="str">
        <f t="shared" si="1"/>
        <v/>
      </c>
      <c r="P3973" s="52"/>
    </row>
    <row r="3974">
      <c r="F3974" s="116" t="str">
        <f t="shared" si="1"/>
        <v/>
      </c>
      <c r="P3974" s="52"/>
    </row>
    <row r="3975">
      <c r="F3975" s="116" t="str">
        <f t="shared" si="1"/>
        <v/>
      </c>
      <c r="P3975" s="52"/>
    </row>
    <row r="3976">
      <c r="F3976" s="116" t="str">
        <f t="shared" si="1"/>
        <v/>
      </c>
      <c r="P3976" s="52"/>
    </row>
    <row r="3977">
      <c r="F3977" s="116" t="str">
        <f t="shared" si="1"/>
        <v/>
      </c>
      <c r="P3977" s="52"/>
    </row>
    <row r="3978">
      <c r="F3978" s="116" t="str">
        <f t="shared" si="1"/>
        <v/>
      </c>
      <c r="P3978" s="52"/>
    </row>
    <row r="3979">
      <c r="F3979" s="116" t="str">
        <f t="shared" si="1"/>
        <v/>
      </c>
      <c r="P3979" s="52"/>
    </row>
    <row r="3980">
      <c r="F3980" s="116" t="str">
        <f t="shared" si="1"/>
        <v/>
      </c>
      <c r="P3980" s="52"/>
    </row>
    <row r="3981">
      <c r="F3981" s="116" t="str">
        <f t="shared" si="1"/>
        <v/>
      </c>
      <c r="P3981" s="52"/>
    </row>
    <row r="3982">
      <c r="F3982" s="116" t="str">
        <f t="shared" si="1"/>
        <v/>
      </c>
      <c r="P3982" s="52"/>
    </row>
    <row r="3983">
      <c r="F3983" s="116" t="str">
        <f t="shared" si="1"/>
        <v/>
      </c>
      <c r="P3983" s="52"/>
    </row>
    <row r="3984">
      <c r="F3984" s="116" t="str">
        <f t="shared" si="1"/>
        <v/>
      </c>
      <c r="P3984" s="52"/>
    </row>
    <row r="3985">
      <c r="F3985" s="116" t="str">
        <f t="shared" si="1"/>
        <v/>
      </c>
      <c r="P3985" s="52"/>
    </row>
    <row r="3986">
      <c r="F3986" s="116" t="str">
        <f t="shared" si="1"/>
        <v/>
      </c>
      <c r="P3986" s="52"/>
    </row>
    <row r="3987">
      <c r="F3987" s="116" t="str">
        <f t="shared" si="1"/>
        <v/>
      </c>
      <c r="P3987" s="52"/>
    </row>
    <row r="3988">
      <c r="F3988" s="116" t="str">
        <f t="shared" si="1"/>
        <v/>
      </c>
      <c r="P3988" s="52"/>
    </row>
    <row r="3989">
      <c r="F3989" s="116" t="str">
        <f t="shared" si="1"/>
        <v/>
      </c>
      <c r="P3989" s="52"/>
    </row>
    <row r="3990">
      <c r="F3990" s="116" t="str">
        <f t="shared" si="1"/>
        <v/>
      </c>
      <c r="P3990" s="52"/>
    </row>
    <row r="3991">
      <c r="F3991" s="116" t="str">
        <f t="shared" si="1"/>
        <v/>
      </c>
      <c r="P3991" s="52"/>
    </row>
    <row r="3992">
      <c r="F3992" s="116" t="str">
        <f t="shared" si="1"/>
        <v/>
      </c>
      <c r="P3992" s="52"/>
    </row>
    <row r="3993">
      <c r="F3993" s="116" t="str">
        <f t="shared" si="1"/>
        <v/>
      </c>
      <c r="P3993" s="52"/>
    </row>
    <row r="3994">
      <c r="F3994" s="116" t="str">
        <f t="shared" si="1"/>
        <v/>
      </c>
      <c r="P3994" s="52"/>
    </row>
    <row r="3995">
      <c r="F3995" s="116" t="str">
        <f t="shared" si="1"/>
        <v/>
      </c>
      <c r="P3995" s="52"/>
    </row>
    <row r="3996">
      <c r="F3996" s="116" t="str">
        <f t="shared" si="1"/>
        <v/>
      </c>
      <c r="P3996" s="52"/>
    </row>
    <row r="3997">
      <c r="F3997" s="116" t="str">
        <f t="shared" si="1"/>
        <v/>
      </c>
      <c r="P3997" s="52"/>
    </row>
    <row r="3998">
      <c r="F3998" s="116" t="str">
        <f t="shared" si="1"/>
        <v/>
      </c>
      <c r="P3998" s="52"/>
    </row>
    <row r="3999">
      <c r="F3999" s="116" t="str">
        <f t="shared" si="1"/>
        <v/>
      </c>
      <c r="P3999" s="52"/>
    </row>
    <row r="4000">
      <c r="F4000" s="116" t="str">
        <f t="shared" si="1"/>
        <v/>
      </c>
      <c r="P4000" s="52"/>
    </row>
    <row r="4001">
      <c r="F4001" s="116" t="str">
        <f t="shared" si="1"/>
        <v/>
      </c>
      <c r="P4001" s="52"/>
    </row>
    <row r="4002">
      <c r="F4002" s="116" t="str">
        <f t="shared" si="1"/>
        <v/>
      </c>
      <c r="P4002" s="52"/>
    </row>
    <row r="4003">
      <c r="F4003" s="116" t="str">
        <f t="shared" si="1"/>
        <v/>
      </c>
      <c r="P4003" s="52"/>
    </row>
    <row r="4004">
      <c r="F4004" s="116" t="str">
        <f t="shared" si="1"/>
        <v/>
      </c>
      <c r="P4004" s="52"/>
    </row>
    <row r="4005">
      <c r="F4005" s="116" t="str">
        <f t="shared" si="1"/>
        <v/>
      </c>
      <c r="P4005" s="52"/>
    </row>
    <row r="4006">
      <c r="F4006" s="116" t="str">
        <f t="shared" si="1"/>
        <v/>
      </c>
      <c r="P4006" s="52"/>
    </row>
    <row r="4007">
      <c r="F4007" s="116" t="str">
        <f t="shared" si="1"/>
        <v/>
      </c>
      <c r="P4007" s="52"/>
    </row>
    <row r="4008">
      <c r="F4008" s="116" t="str">
        <f t="shared" si="1"/>
        <v/>
      </c>
      <c r="P4008" s="52"/>
    </row>
    <row r="4009">
      <c r="F4009" s="116" t="str">
        <f t="shared" si="1"/>
        <v/>
      </c>
      <c r="P4009" s="52"/>
    </row>
    <row r="4010">
      <c r="F4010" s="116" t="str">
        <f t="shared" si="1"/>
        <v/>
      </c>
      <c r="P4010" s="52"/>
    </row>
    <row r="4011">
      <c r="F4011" s="116" t="str">
        <f t="shared" si="1"/>
        <v/>
      </c>
      <c r="P4011" s="52"/>
    </row>
    <row r="4012">
      <c r="F4012" s="116" t="str">
        <f t="shared" si="1"/>
        <v/>
      </c>
      <c r="P4012" s="52"/>
    </row>
    <row r="4013">
      <c r="F4013" s="116" t="str">
        <f t="shared" si="1"/>
        <v/>
      </c>
      <c r="P4013" s="52"/>
    </row>
    <row r="4014">
      <c r="F4014" s="116" t="str">
        <f t="shared" si="1"/>
        <v/>
      </c>
      <c r="P4014" s="52"/>
    </row>
    <row r="4015">
      <c r="F4015" s="116" t="str">
        <f t="shared" si="1"/>
        <v/>
      </c>
      <c r="P4015" s="52"/>
    </row>
    <row r="4016">
      <c r="F4016" s="116" t="str">
        <f t="shared" si="1"/>
        <v/>
      </c>
      <c r="P4016" s="52"/>
    </row>
    <row r="4017">
      <c r="F4017" s="116" t="str">
        <f t="shared" si="1"/>
        <v/>
      </c>
      <c r="P4017" s="52"/>
    </row>
    <row r="4018">
      <c r="F4018" s="116" t="str">
        <f t="shared" si="1"/>
        <v/>
      </c>
      <c r="P4018" s="52"/>
    </row>
    <row r="4019">
      <c r="F4019" s="116" t="str">
        <f t="shared" si="1"/>
        <v/>
      </c>
      <c r="P4019" s="52"/>
    </row>
    <row r="4020">
      <c r="F4020" s="116" t="str">
        <f t="shared" si="1"/>
        <v/>
      </c>
      <c r="P4020" s="52"/>
    </row>
    <row r="4021">
      <c r="F4021" s="116" t="str">
        <f t="shared" si="1"/>
        <v/>
      </c>
      <c r="P4021" s="52"/>
    </row>
    <row r="4022">
      <c r="F4022" s="116" t="str">
        <f t="shared" si="1"/>
        <v/>
      </c>
      <c r="P4022" s="52"/>
    </row>
    <row r="4023">
      <c r="F4023" s="116" t="str">
        <f t="shared" si="1"/>
        <v/>
      </c>
      <c r="P4023" s="52"/>
    </row>
    <row r="4024">
      <c r="F4024" s="116" t="str">
        <f t="shared" si="1"/>
        <v/>
      </c>
      <c r="P4024" s="52"/>
    </row>
    <row r="4025">
      <c r="F4025" s="116" t="str">
        <f t="shared" si="1"/>
        <v/>
      </c>
      <c r="P4025" s="52"/>
    </row>
    <row r="4026">
      <c r="F4026" s="116" t="str">
        <f t="shared" si="1"/>
        <v/>
      </c>
      <c r="P4026" s="52"/>
    </row>
    <row r="4027">
      <c r="F4027" s="116" t="str">
        <f t="shared" si="1"/>
        <v/>
      </c>
      <c r="P4027" s="52"/>
    </row>
    <row r="4028">
      <c r="F4028" s="116" t="str">
        <f t="shared" si="1"/>
        <v/>
      </c>
      <c r="P4028" s="52"/>
    </row>
    <row r="4029">
      <c r="F4029" s="116" t="str">
        <f t="shared" si="1"/>
        <v/>
      </c>
      <c r="P4029" s="52"/>
    </row>
    <row r="4030">
      <c r="F4030" s="116" t="str">
        <f t="shared" si="1"/>
        <v/>
      </c>
      <c r="P4030" s="52"/>
    </row>
    <row r="4031">
      <c r="F4031" s="116" t="str">
        <f t="shared" si="1"/>
        <v/>
      </c>
      <c r="P4031" s="52"/>
    </row>
    <row r="4032">
      <c r="F4032" s="116" t="str">
        <f t="shared" si="1"/>
        <v/>
      </c>
      <c r="P4032" s="52"/>
    </row>
    <row r="4033">
      <c r="F4033" s="116" t="str">
        <f t="shared" si="1"/>
        <v/>
      </c>
      <c r="P4033" s="52"/>
    </row>
    <row r="4034">
      <c r="F4034" s="116" t="str">
        <f t="shared" si="1"/>
        <v/>
      </c>
      <c r="P4034" s="52"/>
    </row>
    <row r="4035">
      <c r="F4035" s="116" t="str">
        <f t="shared" si="1"/>
        <v/>
      </c>
      <c r="P4035" s="52"/>
    </row>
    <row r="4036">
      <c r="F4036" s="116" t="str">
        <f t="shared" si="1"/>
        <v/>
      </c>
      <c r="P4036" s="52"/>
    </row>
    <row r="4037">
      <c r="F4037" s="116" t="str">
        <f t="shared" si="1"/>
        <v/>
      </c>
      <c r="P4037" s="52"/>
    </row>
    <row r="4038">
      <c r="F4038" s="116" t="str">
        <f t="shared" si="1"/>
        <v/>
      </c>
      <c r="P4038" s="52"/>
    </row>
    <row r="4039">
      <c r="F4039" s="116" t="str">
        <f t="shared" si="1"/>
        <v/>
      </c>
      <c r="P4039" s="52"/>
    </row>
    <row r="4040">
      <c r="F4040" s="116" t="str">
        <f t="shared" si="1"/>
        <v/>
      </c>
      <c r="P4040" s="52"/>
    </row>
    <row r="4041">
      <c r="F4041" s="116" t="str">
        <f t="shared" si="1"/>
        <v/>
      </c>
      <c r="P4041" s="52"/>
    </row>
    <row r="4042">
      <c r="F4042" s="116" t="str">
        <f t="shared" si="1"/>
        <v/>
      </c>
      <c r="P4042" s="52"/>
    </row>
    <row r="4043">
      <c r="F4043" s="116" t="str">
        <f t="shared" si="1"/>
        <v/>
      </c>
      <c r="P4043" s="52"/>
    </row>
    <row r="4044">
      <c r="F4044" s="116" t="str">
        <f t="shared" si="1"/>
        <v/>
      </c>
      <c r="P4044" s="52"/>
    </row>
    <row r="4045">
      <c r="F4045" s="116" t="str">
        <f t="shared" si="1"/>
        <v/>
      </c>
      <c r="P4045" s="52"/>
    </row>
    <row r="4046">
      <c r="F4046" s="116" t="str">
        <f t="shared" si="1"/>
        <v/>
      </c>
      <c r="P4046" s="52"/>
    </row>
    <row r="4047">
      <c r="F4047" s="116" t="str">
        <f t="shared" si="1"/>
        <v/>
      </c>
      <c r="P4047" s="52"/>
    </row>
    <row r="4048">
      <c r="F4048" s="116" t="str">
        <f t="shared" si="1"/>
        <v/>
      </c>
      <c r="P4048" s="52"/>
    </row>
    <row r="4049">
      <c r="F4049" s="116" t="str">
        <f t="shared" si="1"/>
        <v/>
      </c>
      <c r="P4049" s="52"/>
    </row>
    <row r="4050">
      <c r="F4050" s="116" t="str">
        <f t="shared" si="1"/>
        <v/>
      </c>
      <c r="P4050" s="52"/>
    </row>
    <row r="4051">
      <c r="F4051" s="116" t="str">
        <f t="shared" si="1"/>
        <v/>
      </c>
      <c r="P4051" s="52"/>
    </row>
    <row r="4052">
      <c r="F4052" s="116" t="str">
        <f t="shared" si="1"/>
        <v/>
      </c>
      <c r="P4052" s="52"/>
    </row>
    <row r="4053">
      <c r="F4053" s="116" t="str">
        <f t="shared" si="1"/>
        <v/>
      </c>
      <c r="P4053" s="52"/>
    </row>
    <row r="4054">
      <c r="F4054" s="116" t="str">
        <f t="shared" si="1"/>
        <v/>
      </c>
      <c r="P4054" s="52"/>
    </row>
    <row r="4055">
      <c r="F4055" s="116" t="str">
        <f t="shared" si="1"/>
        <v/>
      </c>
      <c r="P4055" s="52"/>
    </row>
    <row r="4056">
      <c r="F4056" s="116" t="str">
        <f t="shared" si="1"/>
        <v/>
      </c>
      <c r="P4056" s="52"/>
    </row>
    <row r="4057">
      <c r="F4057" s="116" t="str">
        <f t="shared" si="1"/>
        <v/>
      </c>
      <c r="P4057" s="52"/>
    </row>
    <row r="4058">
      <c r="F4058" s="116" t="str">
        <f t="shared" si="1"/>
        <v/>
      </c>
      <c r="P4058" s="52"/>
    </row>
    <row r="4059">
      <c r="F4059" s="116" t="str">
        <f t="shared" si="1"/>
        <v/>
      </c>
      <c r="P4059" s="52"/>
    </row>
    <row r="4060">
      <c r="F4060" s="116" t="str">
        <f t="shared" si="1"/>
        <v/>
      </c>
      <c r="P4060" s="52"/>
    </row>
    <row r="4061">
      <c r="F4061" s="116" t="str">
        <f t="shared" si="1"/>
        <v/>
      </c>
      <c r="P4061" s="52"/>
    </row>
    <row r="4062">
      <c r="F4062" s="116" t="str">
        <f t="shared" si="1"/>
        <v/>
      </c>
      <c r="P4062" s="52"/>
    </row>
    <row r="4063">
      <c r="F4063" s="116" t="str">
        <f t="shared" si="1"/>
        <v/>
      </c>
      <c r="P4063" s="52"/>
    </row>
    <row r="4064">
      <c r="F4064" s="116" t="str">
        <f t="shared" si="1"/>
        <v/>
      </c>
      <c r="P4064" s="52"/>
    </row>
    <row r="4065">
      <c r="F4065" s="116" t="str">
        <f t="shared" si="1"/>
        <v/>
      </c>
      <c r="P4065" s="52"/>
    </row>
    <row r="4066">
      <c r="F4066" s="116" t="str">
        <f t="shared" si="1"/>
        <v/>
      </c>
      <c r="P4066" s="52"/>
    </row>
    <row r="4067">
      <c r="F4067" s="116" t="str">
        <f t="shared" si="1"/>
        <v/>
      </c>
      <c r="P4067" s="52"/>
    </row>
    <row r="4068">
      <c r="F4068" s="116" t="str">
        <f t="shared" si="1"/>
        <v/>
      </c>
      <c r="P4068" s="52"/>
    </row>
    <row r="4069">
      <c r="F4069" s="116" t="str">
        <f t="shared" si="1"/>
        <v/>
      </c>
      <c r="P4069" s="52"/>
    </row>
    <row r="4070">
      <c r="F4070" s="116" t="str">
        <f t="shared" si="1"/>
        <v/>
      </c>
      <c r="P4070" s="52"/>
    </row>
    <row r="4071">
      <c r="F4071" s="116" t="str">
        <f t="shared" si="1"/>
        <v/>
      </c>
      <c r="P4071" s="52"/>
    </row>
    <row r="4072">
      <c r="F4072" s="116" t="str">
        <f t="shared" si="1"/>
        <v/>
      </c>
      <c r="P4072" s="52"/>
    </row>
    <row r="4073">
      <c r="F4073" s="116" t="str">
        <f t="shared" si="1"/>
        <v/>
      </c>
      <c r="P4073" s="52"/>
    </row>
    <row r="4074">
      <c r="F4074" s="116" t="str">
        <f t="shared" si="1"/>
        <v/>
      </c>
      <c r="P4074" s="52"/>
    </row>
    <row r="4075">
      <c r="F4075" s="116" t="str">
        <f t="shared" si="1"/>
        <v/>
      </c>
      <c r="P4075" s="52"/>
    </row>
    <row r="4076">
      <c r="F4076" s="116" t="str">
        <f t="shared" si="1"/>
        <v/>
      </c>
      <c r="P4076" s="52"/>
    </row>
    <row r="4077">
      <c r="F4077" s="116" t="str">
        <f t="shared" si="1"/>
        <v/>
      </c>
      <c r="P4077" s="52"/>
    </row>
    <row r="4078">
      <c r="F4078" s="116" t="str">
        <f t="shared" si="1"/>
        <v/>
      </c>
      <c r="P4078" s="52"/>
    </row>
    <row r="4079">
      <c r="F4079" s="116" t="str">
        <f t="shared" si="1"/>
        <v/>
      </c>
      <c r="P4079" s="52"/>
    </row>
    <row r="4080">
      <c r="F4080" s="116" t="str">
        <f t="shared" si="1"/>
        <v/>
      </c>
      <c r="P4080" s="52"/>
    </row>
    <row r="4081">
      <c r="F4081" s="116" t="str">
        <f t="shared" si="1"/>
        <v/>
      </c>
      <c r="P4081" s="52"/>
    </row>
    <row r="4082">
      <c r="F4082" s="116" t="str">
        <f t="shared" si="1"/>
        <v/>
      </c>
      <c r="P4082" s="52"/>
    </row>
    <row r="4083">
      <c r="F4083" s="116" t="str">
        <f t="shared" si="1"/>
        <v/>
      </c>
      <c r="P4083" s="52"/>
    </row>
    <row r="4084">
      <c r="F4084" s="116" t="str">
        <f t="shared" si="1"/>
        <v/>
      </c>
      <c r="P4084" s="52"/>
    </row>
    <row r="4085">
      <c r="F4085" s="116" t="str">
        <f t="shared" si="1"/>
        <v/>
      </c>
      <c r="P4085" s="52"/>
    </row>
    <row r="4086">
      <c r="F4086" s="116" t="str">
        <f t="shared" si="1"/>
        <v/>
      </c>
      <c r="P4086" s="52"/>
    </row>
    <row r="4087">
      <c r="F4087" s="116" t="str">
        <f t="shared" si="1"/>
        <v/>
      </c>
      <c r="P4087" s="52"/>
    </row>
    <row r="4088">
      <c r="F4088" s="116" t="str">
        <f t="shared" si="1"/>
        <v/>
      </c>
      <c r="P4088" s="52"/>
    </row>
    <row r="4089">
      <c r="F4089" s="116" t="str">
        <f t="shared" si="1"/>
        <v/>
      </c>
      <c r="P4089" s="52"/>
    </row>
    <row r="4090">
      <c r="F4090" s="116" t="str">
        <f t="shared" si="1"/>
        <v/>
      </c>
      <c r="P4090" s="52"/>
    </row>
    <row r="4091">
      <c r="F4091" s="116" t="str">
        <f t="shared" si="1"/>
        <v/>
      </c>
      <c r="P4091" s="52"/>
    </row>
    <row r="4092">
      <c r="F4092" s="116" t="str">
        <f t="shared" si="1"/>
        <v/>
      </c>
      <c r="P4092" s="52"/>
    </row>
    <row r="4093">
      <c r="F4093" s="116" t="str">
        <f t="shared" si="1"/>
        <v/>
      </c>
      <c r="P4093" s="52"/>
    </row>
    <row r="4094">
      <c r="F4094" s="116" t="str">
        <f t="shared" si="1"/>
        <v/>
      </c>
      <c r="P4094" s="52"/>
    </row>
    <row r="4095">
      <c r="F4095" s="116" t="str">
        <f t="shared" si="1"/>
        <v/>
      </c>
      <c r="P4095" s="52"/>
    </row>
    <row r="4096">
      <c r="F4096" s="116" t="str">
        <f t="shared" si="1"/>
        <v/>
      </c>
      <c r="P4096" s="52"/>
    </row>
    <row r="4097">
      <c r="F4097" s="116" t="str">
        <f t="shared" si="1"/>
        <v/>
      </c>
      <c r="P4097" s="52"/>
    </row>
    <row r="4098">
      <c r="F4098" s="116" t="str">
        <f t="shared" si="1"/>
        <v/>
      </c>
      <c r="P4098" s="52"/>
    </row>
    <row r="4099">
      <c r="F4099" s="116" t="str">
        <f t="shared" si="1"/>
        <v/>
      </c>
      <c r="P4099" s="52"/>
    </row>
    <row r="4100">
      <c r="F4100" s="116" t="str">
        <f t="shared" si="1"/>
        <v/>
      </c>
      <c r="P4100" s="52"/>
    </row>
    <row r="4101">
      <c r="F4101" s="116" t="str">
        <f t="shared" si="1"/>
        <v/>
      </c>
      <c r="P4101" s="52"/>
    </row>
    <row r="4102">
      <c r="F4102" s="116" t="str">
        <f t="shared" si="1"/>
        <v/>
      </c>
      <c r="P4102" s="52"/>
    </row>
    <row r="4103">
      <c r="F4103" s="116" t="str">
        <f t="shared" si="1"/>
        <v/>
      </c>
      <c r="P4103" s="52"/>
    </row>
    <row r="4104">
      <c r="F4104" s="116" t="str">
        <f t="shared" si="1"/>
        <v/>
      </c>
      <c r="P4104" s="52"/>
    </row>
    <row r="4105">
      <c r="F4105" s="116" t="str">
        <f t="shared" si="1"/>
        <v/>
      </c>
      <c r="P4105" s="52"/>
    </row>
    <row r="4106">
      <c r="F4106" s="116" t="str">
        <f t="shared" si="1"/>
        <v/>
      </c>
      <c r="P4106" s="52"/>
    </row>
    <row r="4107">
      <c r="F4107" s="116" t="str">
        <f t="shared" si="1"/>
        <v/>
      </c>
      <c r="P4107" s="52"/>
    </row>
    <row r="4108">
      <c r="F4108" s="116" t="str">
        <f t="shared" si="1"/>
        <v/>
      </c>
      <c r="P4108" s="52"/>
    </row>
    <row r="4109">
      <c r="F4109" s="116" t="str">
        <f t="shared" si="1"/>
        <v/>
      </c>
      <c r="P4109" s="52"/>
    </row>
    <row r="4110">
      <c r="F4110" s="116" t="str">
        <f t="shared" si="1"/>
        <v/>
      </c>
      <c r="P4110" s="52"/>
    </row>
    <row r="4111">
      <c r="F4111" s="116" t="str">
        <f t="shared" si="1"/>
        <v/>
      </c>
      <c r="P4111" s="52"/>
    </row>
    <row r="4112">
      <c r="F4112" s="116" t="str">
        <f t="shared" si="1"/>
        <v/>
      </c>
      <c r="P4112" s="52"/>
    </row>
    <row r="4113">
      <c r="F4113" s="116" t="str">
        <f t="shared" si="1"/>
        <v/>
      </c>
      <c r="P4113" s="52"/>
    </row>
    <row r="4114">
      <c r="F4114" s="116" t="str">
        <f t="shared" si="1"/>
        <v/>
      </c>
      <c r="P4114" s="52"/>
    </row>
    <row r="4115">
      <c r="F4115" s="116" t="str">
        <f t="shared" si="1"/>
        <v/>
      </c>
      <c r="P4115" s="52"/>
    </row>
    <row r="4116">
      <c r="F4116" s="116" t="str">
        <f t="shared" si="1"/>
        <v/>
      </c>
      <c r="P4116" s="52"/>
    </row>
    <row r="4117">
      <c r="F4117" s="116" t="str">
        <f t="shared" si="1"/>
        <v/>
      </c>
      <c r="P4117" s="52"/>
    </row>
    <row r="4118">
      <c r="F4118" s="116" t="str">
        <f t="shared" si="1"/>
        <v/>
      </c>
      <c r="P4118" s="52"/>
    </row>
    <row r="4119">
      <c r="F4119" s="116" t="str">
        <f t="shared" si="1"/>
        <v/>
      </c>
      <c r="P4119" s="52"/>
    </row>
    <row r="4120">
      <c r="F4120" s="116" t="str">
        <f t="shared" si="1"/>
        <v/>
      </c>
      <c r="P4120" s="52"/>
    </row>
    <row r="4121">
      <c r="F4121" s="116" t="str">
        <f t="shared" si="1"/>
        <v/>
      </c>
      <c r="P4121" s="52"/>
    </row>
    <row r="4122">
      <c r="F4122" s="116" t="str">
        <f t="shared" si="1"/>
        <v/>
      </c>
      <c r="P4122" s="52"/>
    </row>
    <row r="4123">
      <c r="F4123" s="116" t="str">
        <f t="shared" si="1"/>
        <v/>
      </c>
      <c r="P4123" s="52"/>
    </row>
    <row r="4124">
      <c r="F4124" s="116" t="str">
        <f t="shared" si="1"/>
        <v/>
      </c>
      <c r="P4124" s="52"/>
    </row>
    <row r="4125">
      <c r="F4125" s="116" t="str">
        <f t="shared" si="1"/>
        <v/>
      </c>
      <c r="P4125" s="52"/>
    </row>
    <row r="4126">
      <c r="F4126" s="116" t="str">
        <f t="shared" si="1"/>
        <v/>
      </c>
      <c r="P4126" s="52"/>
    </row>
    <row r="4127">
      <c r="F4127" s="116" t="str">
        <f t="shared" si="1"/>
        <v/>
      </c>
      <c r="P4127" s="52"/>
    </row>
    <row r="4128">
      <c r="F4128" s="116" t="str">
        <f t="shared" si="1"/>
        <v/>
      </c>
      <c r="P4128" s="52"/>
    </row>
    <row r="4129">
      <c r="F4129" s="116" t="str">
        <f t="shared" si="1"/>
        <v/>
      </c>
      <c r="P4129" s="52"/>
    </row>
    <row r="4130">
      <c r="F4130" s="116" t="str">
        <f t="shared" si="1"/>
        <v/>
      </c>
      <c r="P4130" s="52"/>
    </row>
    <row r="4131">
      <c r="F4131" s="116" t="str">
        <f t="shared" si="1"/>
        <v/>
      </c>
      <c r="P4131" s="52"/>
    </row>
    <row r="4132">
      <c r="F4132" s="116" t="str">
        <f t="shared" si="1"/>
        <v/>
      </c>
      <c r="P4132" s="52"/>
    </row>
    <row r="4133">
      <c r="F4133" s="116" t="str">
        <f t="shared" si="1"/>
        <v/>
      </c>
      <c r="P4133" s="52"/>
    </row>
    <row r="4134">
      <c r="F4134" s="116" t="str">
        <f t="shared" si="1"/>
        <v/>
      </c>
      <c r="P4134" s="52"/>
    </row>
    <row r="4135">
      <c r="F4135" s="116" t="str">
        <f t="shared" si="1"/>
        <v/>
      </c>
      <c r="P4135" s="52"/>
    </row>
    <row r="4136">
      <c r="F4136" s="116" t="str">
        <f t="shared" si="1"/>
        <v/>
      </c>
      <c r="P4136" s="52"/>
    </row>
    <row r="4137">
      <c r="F4137" s="116" t="str">
        <f t="shared" si="1"/>
        <v/>
      </c>
      <c r="P4137" s="52"/>
    </row>
    <row r="4138">
      <c r="F4138" s="116" t="str">
        <f t="shared" si="1"/>
        <v/>
      </c>
      <c r="P4138" s="52"/>
    </row>
    <row r="4139">
      <c r="F4139" s="116" t="str">
        <f t="shared" si="1"/>
        <v/>
      </c>
      <c r="P4139" s="52"/>
    </row>
    <row r="4140">
      <c r="F4140" s="116" t="str">
        <f t="shared" si="1"/>
        <v/>
      </c>
      <c r="P4140" s="52"/>
    </row>
    <row r="4141">
      <c r="F4141" s="116" t="str">
        <f t="shared" si="1"/>
        <v/>
      </c>
      <c r="P4141" s="52"/>
    </row>
    <row r="4142">
      <c r="F4142" s="116" t="str">
        <f t="shared" si="1"/>
        <v/>
      </c>
      <c r="P4142" s="52"/>
    </row>
    <row r="4143">
      <c r="F4143" s="116" t="str">
        <f t="shared" si="1"/>
        <v/>
      </c>
      <c r="P4143" s="52"/>
    </row>
    <row r="4144">
      <c r="F4144" s="116" t="str">
        <f t="shared" si="1"/>
        <v/>
      </c>
      <c r="P4144" s="52"/>
    </row>
    <row r="4145">
      <c r="F4145" s="116" t="str">
        <f t="shared" si="1"/>
        <v/>
      </c>
      <c r="P4145" s="52"/>
    </row>
    <row r="4146">
      <c r="F4146" s="116" t="str">
        <f t="shared" si="1"/>
        <v/>
      </c>
      <c r="P4146" s="52"/>
    </row>
    <row r="4147">
      <c r="F4147" s="116" t="str">
        <f t="shared" si="1"/>
        <v/>
      </c>
      <c r="P4147" s="52"/>
    </row>
    <row r="4148">
      <c r="F4148" s="116" t="str">
        <f t="shared" si="1"/>
        <v/>
      </c>
      <c r="P4148" s="52"/>
    </row>
    <row r="4149">
      <c r="F4149" s="116" t="str">
        <f t="shared" si="1"/>
        <v/>
      </c>
      <c r="P4149" s="52"/>
    </row>
    <row r="4150">
      <c r="F4150" s="116" t="str">
        <f t="shared" si="1"/>
        <v/>
      </c>
      <c r="P4150" s="52"/>
    </row>
    <row r="4151">
      <c r="F4151" s="116" t="str">
        <f t="shared" si="1"/>
        <v/>
      </c>
      <c r="P4151" s="52"/>
    </row>
    <row r="4152">
      <c r="F4152" s="116" t="str">
        <f t="shared" si="1"/>
        <v/>
      </c>
      <c r="P4152" s="52"/>
    </row>
    <row r="4153">
      <c r="F4153" s="116" t="str">
        <f t="shared" si="1"/>
        <v/>
      </c>
      <c r="P4153" s="52"/>
    </row>
    <row r="4154">
      <c r="F4154" s="116" t="str">
        <f t="shared" si="1"/>
        <v/>
      </c>
      <c r="P4154" s="52"/>
    </row>
    <row r="4155">
      <c r="F4155" s="116" t="str">
        <f t="shared" si="1"/>
        <v/>
      </c>
      <c r="P4155" s="52"/>
    </row>
    <row r="4156">
      <c r="F4156" s="116" t="str">
        <f t="shared" si="1"/>
        <v/>
      </c>
      <c r="P4156" s="52"/>
    </row>
    <row r="4157">
      <c r="F4157" s="116" t="str">
        <f t="shared" si="1"/>
        <v/>
      </c>
      <c r="P4157" s="52"/>
    </row>
    <row r="4158">
      <c r="F4158" s="116" t="str">
        <f t="shared" si="1"/>
        <v/>
      </c>
      <c r="P4158" s="52"/>
    </row>
    <row r="4159">
      <c r="F4159" s="116" t="str">
        <f t="shared" si="1"/>
        <v/>
      </c>
      <c r="P4159" s="52"/>
    </row>
    <row r="4160">
      <c r="F4160" s="116" t="str">
        <f t="shared" si="1"/>
        <v/>
      </c>
      <c r="P4160" s="52"/>
    </row>
    <row r="4161">
      <c r="F4161" s="116" t="str">
        <f t="shared" si="1"/>
        <v/>
      </c>
      <c r="P4161" s="52"/>
    </row>
    <row r="4162">
      <c r="F4162" s="116" t="str">
        <f t="shared" si="1"/>
        <v/>
      </c>
      <c r="P4162" s="52"/>
    </row>
    <row r="4163">
      <c r="F4163" s="116" t="str">
        <f t="shared" si="1"/>
        <v/>
      </c>
      <c r="P4163" s="52"/>
    </row>
    <row r="4164">
      <c r="F4164" s="116" t="str">
        <f t="shared" si="1"/>
        <v/>
      </c>
      <c r="P4164" s="52"/>
    </row>
    <row r="4165">
      <c r="F4165" s="116" t="str">
        <f t="shared" si="1"/>
        <v/>
      </c>
      <c r="P4165" s="52"/>
    </row>
    <row r="4166">
      <c r="F4166" s="116" t="str">
        <f t="shared" si="1"/>
        <v/>
      </c>
      <c r="P4166" s="52"/>
    </row>
    <row r="4167">
      <c r="F4167" s="116" t="str">
        <f t="shared" si="1"/>
        <v/>
      </c>
      <c r="P4167" s="52"/>
    </row>
    <row r="4168">
      <c r="F4168" s="116" t="str">
        <f t="shared" si="1"/>
        <v/>
      </c>
      <c r="P4168" s="52"/>
    </row>
    <row r="4169">
      <c r="F4169" s="116" t="str">
        <f t="shared" si="1"/>
        <v/>
      </c>
      <c r="P4169" s="52"/>
    </row>
    <row r="4170">
      <c r="F4170" s="116" t="str">
        <f t="shared" si="1"/>
        <v/>
      </c>
      <c r="P4170" s="52"/>
    </row>
    <row r="4171">
      <c r="F4171" s="116" t="str">
        <f t="shared" si="1"/>
        <v/>
      </c>
      <c r="P4171" s="52"/>
    </row>
    <row r="4172">
      <c r="F4172" s="116" t="str">
        <f t="shared" si="1"/>
        <v/>
      </c>
      <c r="P4172" s="52"/>
    </row>
    <row r="4173">
      <c r="F4173" s="116" t="str">
        <f t="shared" si="1"/>
        <v/>
      </c>
      <c r="P4173" s="52"/>
    </row>
    <row r="4174">
      <c r="F4174" s="116" t="str">
        <f t="shared" si="1"/>
        <v/>
      </c>
      <c r="P4174" s="52"/>
    </row>
    <row r="4175">
      <c r="F4175" s="116" t="str">
        <f t="shared" si="1"/>
        <v/>
      </c>
      <c r="P4175" s="52"/>
    </row>
    <row r="4176">
      <c r="F4176" s="116" t="str">
        <f t="shared" si="1"/>
        <v/>
      </c>
      <c r="P4176" s="52"/>
    </row>
    <row r="4177">
      <c r="F4177" s="116" t="str">
        <f t="shared" si="1"/>
        <v/>
      </c>
      <c r="P4177" s="52"/>
    </row>
    <row r="4178">
      <c r="F4178" s="116" t="str">
        <f t="shared" si="1"/>
        <v/>
      </c>
      <c r="P4178" s="52"/>
    </row>
    <row r="4179">
      <c r="F4179" s="116" t="str">
        <f t="shared" si="1"/>
        <v/>
      </c>
      <c r="P4179" s="52"/>
    </row>
    <row r="4180">
      <c r="F4180" s="116" t="str">
        <f t="shared" si="1"/>
        <v/>
      </c>
      <c r="P4180" s="52"/>
    </row>
    <row r="4181">
      <c r="F4181" s="116" t="str">
        <f t="shared" si="1"/>
        <v/>
      </c>
      <c r="P4181" s="52"/>
    </row>
    <row r="4182">
      <c r="F4182" s="116" t="str">
        <f t="shared" si="1"/>
        <v/>
      </c>
      <c r="P4182" s="52"/>
    </row>
    <row r="4183">
      <c r="F4183" s="116" t="str">
        <f t="shared" si="1"/>
        <v/>
      </c>
      <c r="P4183" s="52"/>
    </row>
    <row r="4184">
      <c r="F4184" s="116" t="str">
        <f t="shared" si="1"/>
        <v/>
      </c>
      <c r="P4184" s="52"/>
    </row>
    <row r="4185">
      <c r="F4185" s="116" t="str">
        <f t="shared" si="1"/>
        <v/>
      </c>
      <c r="P4185" s="52"/>
    </row>
    <row r="4186">
      <c r="F4186" s="116" t="str">
        <f t="shared" si="1"/>
        <v/>
      </c>
      <c r="P4186" s="52"/>
    </row>
    <row r="4187">
      <c r="F4187" s="116" t="str">
        <f t="shared" si="1"/>
        <v/>
      </c>
      <c r="P4187" s="52"/>
    </row>
    <row r="4188">
      <c r="F4188" s="116" t="str">
        <f t="shared" si="1"/>
        <v/>
      </c>
      <c r="P4188" s="52"/>
    </row>
    <row r="4189">
      <c r="F4189" s="116" t="str">
        <f t="shared" si="1"/>
        <v/>
      </c>
      <c r="P4189" s="52"/>
    </row>
    <row r="4190">
      <c r="F4190" s="116" t="str">
        <f t="shared" si="1"/>
        <v/>
      </c>
      <c r="P4190" s="52"/>
    </row>
    <row r="4191">
      <c r="F4191" s="116" t="str">
        <f t="shared" si="1"/>
        <v/>
      </c>
      <c r="P4191" s="52"/>
    </row>
    <row r="4192">
      <c r="F4192" s="116" t="str">
        <f t="shared" si="1"/>
        <v/>
      </c>
      <c r="P4192" s="52"/>
    </row>
    <row r="4193">
      <c r="F4193" s="116" t="str">
        <f t="shared" si="1"/>
        <v/>
      </c>
      <c r="P4193" s="52"/>
    </row>
    <row r="4194">
      <c r="F4194" s="116" t="str">
        <f t="shared" si="1"/>
        <v/>
      </c>
      <c r="P4194" s="52"/>
    </row>
    <row r="4195">
      <c r="F4195" s="116" t="str">
        <f t="shared" si="1"/>
        <v/>
      </c>
      <c r="P4195" s="52"/>
    </row>
    <row r="4196">
      <c r="F4196" s="116" t="str">
        <f t="shared" si="1"/>
        <v/>
      </c>
      <c r="P4196" s="52"/>
    </row>
    <row r="4197">
      <c r="F4197" s="116" t="str">
        <f t="shared" si="1"/>
        <v/>
      </c>
      <c r="P4197" s="52"/>
    </row>
    <row r="4198">
      <c r="F4198" s="116" t="str">
        <f t="shared" si="1"/>
        <v/>
      </c>
      <c r="P4198" s="52"/>
    </row>
    <row r="4199">
      <c r="F4199" s="116" t="str">
        <f t="shared" si="1"/>
        <v/>
      </c>
      <c r="P4199" s="52"/>
    </row>
    <row r="4200">
      <c r="F4200" s="116" t="str">
        <f t="shared" si="1"/>
        <v/>
      </c>
      <c r="P4200" s="52"/>
    </row>
    <row r="4201">
      <c r="F4201" s="116" t="str">
        <f t="shared" si="1"/>
        <v/>
      </c>
      <c r="P4201" s="52"/>
    </row>
    <row r="4202">
      <c r="F4202" s="116" t="str">
        <f t="shared" si="1"/>
        <v/>
      </c>
      <c r="P4202" s="52"/>
    </row>
    <row r="4203">
      <c r="F4203" s="116" t="str">
        <f t="shared" si="1"/>
        <v/>
      </c>
      <c r="P4203" s="52"/>
    </row>
    <row r="4204">
      <c r="F4204" s="116" t="str">
        <f t="shared" si="1"/>
        <v/>
      </c>
      <c r="P4204" s="52"/>
    </row>
    <row r="4205">
      <c r="F4205" s="116" t="str">
        <f t="shared" si="1"/>
        <v/>
      </c>
      <c r="P4205" s="52"/>
    </row>
    <row r="4206">
      <c r="F4206" s="116" t="str">
        <f t="shared" si="1"/>
        <v/>
      </c>
      <c r="P4206" s="52"/>
    </row>
    <row r="4207">
      <c r="F4207" s="116" t="str">
        <f t="shared" si="1"/>
        <v/>
      </c>
      <c r="P4207" s="52"/>
    </row>
    <row r="4208">
      <c r="F4208" s="116" t="str">
        <f t="shared" si="1"/>
        <v/>
      </c>
      <c r="P4208" s="52"/>
    </row>
    <row r="4209">
      <c r="F4209" s="116" t="str">
        <f t="shared" si="1"/>
        <v/>
      </c>
      <c r="P4209" s="52"/>
    </row>
    <row r="4210">
      <c r="F4210" s="116" t="str">
        <f t="shared" si="1"/>
        <v/>
      </c>
      <c r="P4210" s="52"/>
    </row>
    <row r="4211">
      <c r="F4211" s="116" t="str">
        <f t="shared" si="1"/>
        <v/>
      </c>
      <c r="P4211" s="52"/>
    </row>
    <row r="4212">
      <c r="F4212" s="116" t="str">
        <f t="shared" si="1"/>
        <v/>
      </c>
      <c r="P4212" s="52"/>
    </row>
    <row r="4213">
      <c r="F4213" s="116" t="str">
        <f t="shared" si="1"/>
        <v/>
      </c>
      <c r="P4213" s="52"/>
    </row>
    <row r="4214">
      <c r="F4214" s="116" t="str">
        <f t="shared" si="1"/>
        <v/>
      </c>
      <c r="P4214" s="52"/>
    </row>
    <row r="4215">
      <c r="F4215" s="116" t="str">
        <f t="shared" si="1"/>
        <v/>
      </c>
      <c r="P4215" s="52"/>
    </row>
    <row r="4216">
      <c r="F4216" s="116" t="str">
        <f t="shared" si="1"/>
        <v/>
      </c>
      <c r="P4216" s="52"/>
    </row>
    <row r="4217">
      <c r="F4217" s="116" t="str">
        <f t="shared" si="1"/>
        <v/>
      </c>
      <c r="P4217" s="52"/>
    </row>
    <row r="4218">
      <c r="F4218" s="116" t="str">
        <f t="shared" si="1"/>
        <v/>
      </c>
      <c r="P4218" s="52"/>
    </row>
    <row r="4219">
      <c r="F4219" s="116" t="str">
        <f t="shared" si="1"/>
        <v/>
      </c>
      <c r="P4219" s="52"/>
    </row>
    <row r="4220">
      <c r="F4220" s="116" t="str">
        <f t="shared" si="1"/>
        <v/>
      </c>
      <c r="P4220" s="52"/>
    </row>
    <row r="4221">
      <c r="F4221" s="116" t="str">
        <f t="shared" si="1"/>
        <v/>
      </c>
      <c r="P4221" s="52"/>
    </row>
    <row r="4222">
      <c r="F4222" s="116" t="str">
        <f t="shared" si="1"/>
        <v/>
      </c>
      <c r="P4222" s="52"/>
    </row>
    <row r="4223">
      <c r="F4223" s="116" t="str">
        <f t="shared" si="1"/>
        <v/>
      </c>
      <c r="P4223" s="52"/>
    </row>
    <row r="4224">
      <c r="F4224" s="116" t="str">
        <f t="shared" si="1"/>
        <v/>
      </c>
      <c r="P4224" s="52"/>
    </row>
    <row r="4225">
      <c r="F4225" s="116" t="str">
        <f t="shared" si="1"/>
        <v/>
      </c>
      <c r="P4225" s="52"/>
    </row>
    <row r="4226">
      <c r="F4226" s="116" t="str">
        <f t="shared" si="1"/>
        <v/>
      </c>
      <c r="P4226" s="52"/>
    </row>
    <row r="4227">
      <c r="F4227" s="116" t="str">
        <f t="shared" si="1"/>
        <v/>
      </c>
      <c r="P4227" s="52"/>
    </row>
    <row r="4228">
      <c r="F4228" s="116" t="str">
        <f t="shared" si="1"/>
        <v/>
      </c>
      <c r="P4228" s="52"/>
    </row>
    <row r="4229">
      <c r="F4229" s="116" t="str">
        <f t="shared" si="1"/>
        <v/>
      </c>
      <c r="P4229" s="52"/>
    </row>
    <row r="4230">
      <c r="F4230" s="116" t="str">
        <f t="shared" si="1"/>
        <v/>
      </c>
      <c r="P4230" s="52"/>
    </row>
    <row r="4231">
      <c r="F4231" s="116" t="str">
        <f t="shared" si="1"/>
        <v/>
      </c>
      <c r="P4231" s="52"/>
    </row>
    <row r="4232">
      <c r="F4232" s="116" t="str">
        <f t="shared" si="1"/>
        <v/>
      </c>
      <c r="P4232" s="52"/>
    </row>
    <row r="4233">
      <c r="F4233" s="116" t="str">
        <f t="shared" si="1"/>
        <v/>
      </c>
      <c r="P4233" s="52"/>
    </row>
    <row r="4234">
      <c r="F4234" s="116" t="str">
        <f t="shared" si="1"/>
        <v/>
      </c>
      <c r="P4234" s="52"/>
    </row>
    <row r="4235">
      <c r="F4235" s="116" t="str">
        <f t="shared" si="1"/>
        <v/>
      </c>
      <c r="P4235" s="52"/>
    </row>
    <row r="4236">
      <c r="F4236" s="116" t="str">
        <f t="shared" si="1"/>
        <v/>
      </c>
      <c r="P4236" s="52"/>
    </row>
    <row r="4237">
      <c r="F4237" s="116" t="str">
        <f t="shared" si="1"/>
        <v/>
      </c>
      <c r="P4237" s="52"/>
    </row>
    <row r="4238">
      <c r="F4238" s="116" t="str">
        <f t="shared" si="1"/>
        <v/>
      </c>
      <c r="P4238" s="52"/>
    </row>
    <row r="4239">
      <c r="F4239" s="116" t="str">
        <f t="shared" si="1"/>
        <v/>
      </c>
      <c r="P4239" s="52"/>
    </row>
    <row r="4240">
      <c r="F4240" s="116" t="str">
        <f t="shared" si="1"/>
        <v/>
      </c>
      <c r="P4240" s="52"/>
    </row>
    <row r="4241">
      <c r="F4241" s="116" t="str">
        <f t="shared" si="1"/>
        <v/>
      </c>
      <c r="P4241" s="52"/>
    </row>
    <row r="4242">
      <c r="F4242" s="116" t="str">
        <f t="shared" si="1"/>
        <v/>
      </c>
      <c r="P4242" s="52"/>
    </row>
    <row r="4243">
      <c r="F4243" s="116" t="str">
        <f t="shared" si="1"/>
        <v/>
      </c>
      <c r="P4243" s="52"/>
    </row>
    <row r="4244">
      <c r="F4244" s="116" t="str">
        <f t="shared" si="1"/>
        <v/>
      </c>
      <c r="P4244" s="52"/>
    </row>
    <row r="4245">
      <c r="F4245" s="116" t="str">
        <f t="shared" si="1"/>
        <v/>
      </c>
      <c r="P4245" s="52"/>
    </row>
    <row r="4246">
      <c r="F4246" s="116" t="str">
        <f t="shared" si="1"/>
        <v/>
      </c>
      <c r="P4246" s="52"/>
    </row>
    <row r="4247">
      <c r="F4247" s="116" t="str">
        <f t="shared" si="1"/>
        <v/>
      </c>
      <c r="P4247" s="52"/>
    </row>
    <row r="4248">
      <c r="F4248" s="116" t="str">
        <f t="shared" si="1"/>
        <v/>
      </c>
      <c r="P4248" s="52"/>
    </row>
    <row r="4249">
      <c r="F4249" s="116" t="str">
        <f t="shared" si="1"/>
        <v/>
      </c>
      <c r="P4249" s="52"/>
    </row>
    <row r="4250">
      <c r="F4250" s="116" t="str">
        <f t="shared" si="1"/>
        <v/>
      </c>
      <c r="P4250" s="52"/>
    </row>
    <row r="4251">
      <c r="F4251" s="116" t="str">
        <f t="shared" si="1"/>
        <v/>
      </c>
      <c r="P4251" s="52"/>
    </row>
    <row r="4252">
      <c r="F4252" s="116" t="str">
        <f t="shared" si="1"/>
        <v/>
      </c>
      <c r="P4252" s="52"/>
    </row>
    <row r="4253">
      <c r="F4253" s="116" t="str">
        <f t="shared" si="1"/>
        <v/>
      </c>
      <c r="P4253" s="52"/>
    </row>
    <row r="4254">
      <c r="F4254" s="116" t="str">
        <f t="shared" si="1"/>
        <v/>
      </c>
      <c r="P4254" s="52"/>
    </row>
    <row r="4255">
      <c r="F4255" s="116" t="str">
        <f t="shared" si="1"/>
        <v/>
      </c>
      <c r="P4255" s="52"/>
    </row>
    <row r="4256">
      <c r="F4256" s="116" t="str">
        <f t="shared" si="1"/>
        <v/>
      </c>
      <c r="P4256" s="52"/>
    </row>
    <row r="4257">
      <c r="F4257" s="116" t="str">
        <f t="shared" si="1"/>
        <v/>
      </c>
      <c r="P4257" s="52"/>
    </row>
    <row r="4258">
      <c r="F4258" s="116" t="str">
        <f t="shared" si="1"/>
        <v/>
      </c>
      <c r="P4258" s="52"/>
    </row>
    <row r="4259">
      <c r="F4259" s="116" t="str">
        <f t="shared" si="1"/>
        <v/>
      </c>
      <c r="P4259" s="52"/>
    </row>
    <row r="4260">
      <c r="F4260" s="116" t="str">
        <f t="shared" si="1"/>
        <v/>
      </c>
      <c r="P4260" s="52"/>
    </row>
    <row r="4261">
      <c r="F4261" s="116" t="str">
        <f t="shared" si="1"/>
        <v/>
      </c>
      <c r="P4261" s="52"/>
    </row>
    <row r="4262">
      <c r="F4262" s="116" t="str">
        <f t="shared" si="1"/>
        <v/>
      </c>
      <c r="P4262" s="52"/>
    </row>
    <row r="4263">
      <c r="F4263" s="116" t="str">
        <f t="shared" si="1"/>
        <v/>
      </c>
      <c r="P4263" s="52"/>
    </row>
    <row r="4264">
      <c r="F4264" s="116" t="str">
        <f t="shared" si="1"/>
        <v/>
      </c>
      <c r="P4264" s="52"/>
    </row>
    <row r="4265">
      <c r="F4265" s="116" t="str">
        <f t="shared" si="1"/>
        <v/>
      </c>
      <c r="P4265" s="52"/>
    </row>
    <row r="4266">
      <c r="F4266" s="116" t="str">
        <f t="shared" si="1"/>
        <v/>
      </c>
      <c r="P4266" s="52"/>
    </row>
    <row r="4267">
      <c r="F4267" s="116" t="str">
        <f t="shared" si="1"/>
        <v/>
      </c>
      <c r="P4267" s="52"/>
    </row>
    <row r="4268">
      <c r="F4268" s="116" t="str">
        <f t="shared" si="1"/>
        <v/>
      </c>
      <c r="P4268" s="52"/>
    </row>
    <row r="4269">
      <c r="F4269" s="116" t="str">
        <f t="shared" si="1"/>
        <v/>
      </c>
      <c r="P4269" s="52"/>
    </row>
    <row r="4270">
      <c r="F4270" s="116" t="str">
        <f t="shared" si="1"/>
        <v/>
      </c>
      <c r="P4270" s="52"/>
    </row>
    <row r="4271">
      <c r="F4271" s="116" t="str">
        <f t="shared" si="1"/>
        <v/>
      </c>
      <c r="P4271" s="52"/>
    </row>
    <row r="4272">
      <c r="F4272" s="116" t="str">
        <f t="shared" si="1"/>
        <v/>
      </c>
      <c r="P4272" s="52"/>
    </row>
    <row r="4273">
      <c r="F4273" s="116" t="str">
        <f t="shared" si="1"/>
        <v/>
      </c>
      <c r="P4273" s="52"/>
    </row>
    <row r="4274">
      <c r="F4274" s="116" t="str">
        <f t="shared" si="1"/>
        <v/>
      </c>
      <c r="P4274" s="52"/>
    </row>
    <row r="4275">
      <c r="F4275" s="116" t="str">
        <f t="shared" si="1"/>
        <v/>
      </c>
      <c r="P4275" s="52"/>
    </row>
    <row r="4276">
      <c r="F4276" s="116" t="str">
        <f t="shared" si="1"/>
        <v/>
      </c>
      <c r="P4276" s="52"/>
    </row>
    <row r="4277">
      <c r="F4277" s="116" t="str">
        <f t="shared" si="1"/>
        <v/>
      </c>
      <c r="P4277" s="52"/>
    </row>
    <row r="4278">
      <c r="F4278" s="116" t="str">
        <f t="shared" si="1"/>
        <v/>
      </c>
      <c r="P4278" s="52"/>
    </row>
    <row r="4279">
      <c r="F4279" s="116" t="str">
        <f t="shared" si="1"/>
        <v/>
      </c>
      <c r="P4279" s="52"/>
    </row>
    <row r="4280">
      <c r="F4280" s="116" t="str">
        <f t="shared" si="1"/>
        <v/>
      </c>
      <c r="P4280" s="52"/>
    </row>
    <row r="4281">
      <c r="F4281" s="116" t="str">
        <f t="shared" si="1"/>
        <v/>
      </c>
      <c r="P4281" s="52"/>
    </row>
    <row r="4282">
      <c r="F4282" s="116" t="str">
        <f t="shared" si="1"/>
        <v/>
      </c>
      <c r="P4282" s="52"/>
    </row>
    <row r="4283">
      <c r="F4283" s="116" t="str">
        <f t="shared" si="1"/>
        <v/>
      </c>
      <c r="P4283" s="52"/>
    </row>
    <row r="4284">
      <c r="F4284" s="116" t="str">
        <f t="shared" si="1"/>
        <v/>
      </c>
      <c r="P4284" s="52"/>
    </row>
    <row r="4285">
      <c r="F4285" s="116" t="str">
        <f t="shared" si="1"/>
        <v/>
      </c>
      <c r="P4285" s="52"/>
    </row>
    <row r="4286">
      <c r="F4286" s="116" t="str">
        <f t="shared" si="1"/>
        <v/>
      </c>
      <c r="P4286" s="52"/>
    </row>
    <row r="4287">
      <c r="F4287" s="116" t="str">
        <f t="shared" si="1"/>
        <v/>
      </c>
      <c r="P4287" s="52"/>
    </row>
    <row r="4288">
      <c r="F4288" s="116" t="str">
        <f t="shared" si="1"/>
        <v/>
      </c>
      <c r="P4288" s="52"/>
    </row>
    <row r="4289">
      <c r="F4289" s="116" t="str">
        <f t="shared" si="1"/>
        <v/>
      </c>
      <c r="P4289" s="52"/>
    </row>
    <row r="4290">
      <c r="F4290" s="116" t="str">
        <f t="shared" si="1"/>
        <v/>
      </c>
      <c r="P4290" s="52"/>
    </row>
    <row r="4291">
      <c r="F4291" s="116" t="str">
        <f t="shared" si="1"/>
        <v/>
      </c>
      <c r="P4291" s="52"/>
    </row>
    <row r="4292">
      <c r="F4292" s="116" t="str">
        <f t="shared" si="1"/>
        <v/>
      </c>
      <c r="P4292" s="52"/>
    </row>
    <row r="4293">
      <c r="F4293" s="116" t="str">
        <f t="shared" si="1"/>
        <v/>
      </c>
      <c r="P4293" s="52"/>
    </row>
    <row r="4294">
      <c r="F4294" s="116" t="str">
        <f t="shared" si="1"/>
        <v/>
      </c>
      <c r="P4294" s="52"/>
    </row>
    <row r="4295">
      <c r="F4295" s="116" t="str">
        <f t="shared" si="1"/>
        <v/>
      </c>
      <c r="P4295" s="52"/>
    </row>
    <row r="4296">
      <c r="F4296" s="116" t="str">
        <f t="shared" si="1"/>
        <v/>
      </c>
      <c r="P4296" s="52"/>
    </row>
    <row r="4297">
      <c r="F4297" s="116" t="str">
        <f t="shared" si="1"/>
        <v/>
      </c>
      <c r="P4297" s="52"/>
    </row>
    <row r="4298">
      <c r="F4298" s="116" t="str">
        <f t="shared" si="1"/>
        <v/>
      </c>
      <c r="P4298" s="52"/>
    </row>
    <row r="4299">
      <c r="F4299" s="116" t="str">
        <f t="shared" si="1"/>
        <v/>
      </c>
      <c r="P4299" s="52"/>
    </row>
    <row r="4300">
      <c r="F4300" s="116" t="str">
        <f t="shared" si="1"/>
        <v/>
      </c>
      <c r="P4300" s="52"/>
    </row>
    <row r="4301">
      <c r="F4301" s="116" t="str">
        <f t="shared" si="1"/>
        <v/>
      </c>
      <c r="P4301" s="52"/>
    </row>
    <row r="4302">
      <c r="F4302" s="116" t="str">
        <f t="shared" si="1"/>
        <v/>
      </c>
      <c r="P4302" s="52"/>
    </row>
    <row r="4303">
      <c r="F4303" s="116" t="str">
        <f t="shared" si="1"/>
        <v/>
      </c>
      <c r="P4303" s="52"/>
    </row>
    <row r="4304">
      <c r="F4304" s="116" t="str">
        <f t="shared" si="1"/>
        <v/>
      </c>
      <c r="P4304" s="52"/>
    </row>
    <row r="4305">
      <c r="F4305" s="116" t="str">
        <f t="shared" si="1"/>
        <v/>
      </c>
      <c r="P4305" s="52"/>
    </row>
    <row r="4306">
      <c r="F4306" s="116" t="str">
        <f t="shared" si="1"/>
        <v/>
      </c>
      <c r="P4306" s="52"/>
    </row>
    <row r="4307">
      <c r="F4307" s="116" t="str">
        <f t="shared" si="1"/>
        <v/>
      </c>
      <c r="P4307" s="52"/>
    </row>
    <row r="4308">
      <c r="F4308" s="116" t="str">
        <f t="shared" si="1"/>
        <v/>
      </c>
      <c r="P4308" s="52"/>
    </row>
    <row r="4309">
      <c r="F4309" s="116" t="str">
        <f t="shared" si="1"/>
        <v/>
      </c>
      <c r="P4309" s="52"/>
    </row>
    <row r="4310">
      <c r="F4310" s="116" t="str">
        <f t="shared" si="1"/>
        <v/>
      </c>
      <c r="P4310" s="52"/>
    </row>
    <row r="4311">
      <c r="F4311" s="116" t="str">
        <f t="shared" si="1"/>
        <v/>
      </c>
      <c r="P4311" s="52"/>
    </row>
    <row r="4312">
      <c r="F4312" s="116" t="str">
        <f t="shared" si="1"/>
        <v/>
      </c>
      <c r="P4312" s="52"/>
    </row>
    <row r="4313">
      <c r="F4313" s="116" t="str">
        <f t="shared" si="1"/>
        <v/>
      </c>
      <c r="P4313" s="52"/>
    </row>
    <row r="4314">
      <c r="F4314" s="116" t="str">
        <f t="shared" si="1"/>
        <v/>
      </c>
      <c r="P4314" s="52"/>
    </row>
    <row r="4315">
      <c r="F4315" s="116" t="str">
        <f t="shared" si="1"/>
        <v/>
      </c>
      <c r="P4315" s="52"/>
    </row>
    <row r="4316">
      <c r="F4316" s="116" t="str">
        <f t="shared" si="1"/>
        <v/>
      </c>
      <c r="P4316" s="52"/>
    </row>
    <row r="4317">
      <c r="F4317" s="116" t="str">
        <f t="shared" si="1"/>
        <v/>
      </c>
      <c r="P4317" s="52"/>
    </row>
    <row r="4318">
      <c r="F4318" s="116" t="str">
        <f t="shared" si="1"/>
        <v/>
      </c>
      <c r="P4318" s="52"/>
    </row>
    <row r="4319">
      <c r="F4319" s="116" t="str">
        <f t="shared" si="1"/>
        <v/>
      </c>
      <c r="P4319" s="52"/>
    </row>
    <row r="4320">
      <c r="F4320" s="116" t="str">
        <f t="shared" si="1"/>
        <v/>
      </c>
      <c r="P4320" s="52"/>
    </row>
    <row r="4321">
      <c r="F4321" s="116" t="str">
        <f t="shared" si="1"/>
        <v/>
      </c>
      <c r="P4321" s="52"/>
    </row>
    <row r="4322">
      <c r="F4322" s="116" t="str">
        <f t="shared" si="1"/>
        <v/>
      </c>
      <c r="P4322" s="52"/>
    </row>
    <row r="4323">
      <c r="F4323" s="116" t="str">
        <f t="shared" si="1"/>
        <v/>
      </c>
      <c r="P4323" s="52"/>
    </row>
    <row r="4324">
      <c r="F4324" s="116" t="str">
        <f t="shared" si="1"/>
        <v/>
      </c>
      <c r="P4324" s="52"/>
    </row>
    <row r="4325">
      <c r="F4325" s="116" t="str">
        <f t="shared" si="1"/>
        <v/>
      </c>
      <c r="P4325" s="52"/>
    </row>
    <row r="4326">
      <c r="F4326" s="116" t="str">
        <f t="shared" si="1"/>
        <v/>
      </c>
      <c r="P4326" s="52"/>
    </row>
    <row r="4327">
      <c r="F4327" s="116" t="str">
        <f t="shared" si="1"/>
        <v/>
      </c>
      <c r="P4327" s="52"/>
    </row>
    <row r="4328">
      <c r="F4328" s="116" t="str">
        <f t="shared" si="1"/>
        <v/>
      </c>
      <c r="P4328" s="52"/>
    </row>
    <row r="4329">
      <c r="F4329" s="116" t="str">
        <f t="shared" si="1"/>
        <v/>
      </c>
      <c r="P4329" s="52"/>
    </row>
    <row r="4330">
      <c r="F4330" s="116" t="str">
        <f t="shared" si="1"/>
        <v/>
      </c>
      <c r="P4330" s="52"/>
    </row>
    <row r="4331">
      <c r="F4331" s="116" t="str">
        <f t="shared" si="1"/>
        <v/>
      </c>
      <c r="P4331" s="52"/>
    </row>
    <row r="4332">
      <c r="F4332" s="116" t="str">
        <f t="shared" si="1"/>
        <v/>
      </c>
      <c r="P4332" s="52"/>
    </row>
    <row r="4333">
      <c r="F4333" s="116" t="str">
        <f t="shared" si="1"/>
        <v/>
      </c>
      <c r="P4333" s="52"/>
    </row>
    <row r="4334">
      <c r="F4334" s="116" t="str">
        <f t="shared" si="1"/>
        <v/>
      </c>
      <c r="P4334" s="52"/>
    </row>
    <row r="4335">
      <c r="F4335" s="116" t="str">
        <f t="shared" si="1"/>
        <v/>
      </c>
      <c r="P4335" s="52"/>
    </row>
    <row r="4336">
      <c r="F4336" s="116" t="str">
        <f t="shared" si="1"/>
        <v/>
      </c>
      <c r="P4336" s="52"/>
    </row>
    <row r="4337">
      <c r="F4337" s="116" t="str">
        <f t="shared" si="1"/>
        <v/>
      </c>
      <c r="P4337" s="52"/>
    </row>
    <row r="4338">
      <c r="F4338" s="116" t="str">
        <f t="shared" si="1"/>
        <v/>
      </c>
      <c r="P4338" s="52"/>
    </row>
    <row r="4339">
      <c r="F4339" s="116" t="str">
        <f t="shared" si="1"/>
        <v/>
      </c>
      <c r="P4339" s="52"/>
    </row>
    <row r="4340">
      <c r="F4340" s="116" t="str">
        <f t="shared" si="1"/>
        <v/>
      </c>
      <c r="P4340" s="52"/>
    </row>
    <row r="4341">
      <c r="F4341" s="116" t="str">
        <f t="shared" si="1"/>
        <v/>
      </c>
      <c r="P4341" s="52"/>
    </row>
    <row r="4342">
      <c r="F4342" s="116" t="str">
        <f t="shared" si="1"/>
        <v/>
      </c>
      <c r="P4342" s="52"/>
    </row>
    <row r="4343">
      <c r="F4343" s="116" t="str">
        <f t="shared" si="1"/>
        <v/>
      </c>
      <c r="P4343" s="52"/>
    </row>
    <row r="4344">
      <c r="F4344" s="116" t="str">
        <f t="shared" si="1"/>
        <v/>
      </c>
      <c r="P4344" s="52"/>
    </row>
    <row r="4345">
      <c r="F4345" s="116" t="str">
        <f t="shared" si="1"/>
        <v/>
      </c>
      <c r="P4345" s="52"/>
    </row>
    <row r="4346">
      <c r="F4346" s="116" t="str">
        <f t="shared" si="1"/>
        <v/>
      </c>
      <c r="P4346" s="52"/>
    </row>
    <row r="4347">
      <c r="F4347" s="116" t="str">
        <f t="shared" si="1"/>
        <v/>
      </c>
      <c r="P4347" s="52"/>
    </row>
    <row r="4348">
      <c r="F4348" s="116" t="str">
        <f t="shared" si="1"/>
        <v/>
      </c>
      <c r="P4348" s="52"/>
    </row>
    <row r="4349">
      <c r="F4349" s="116" t="str">
        <f t="shared" si="1"/>
        <v/>
      </c>
      <c r="P4349" s="52"/>
    </row>
    <row r="4350">
      <c r="F4350" s="116" t="str">
        <f t="shared" si="1"/>
        <v/>
      </c>
      <c r="P4350" s="52"/>
    </row>
    <row r="4351">
      <c r="F4351" s="116" t="str">
        <f t="shared" si="1"/>
        <v/>
      </c>
      <c r="P4351" s="52"/>
    </row>
    <row r="4352">
      <c r="F4352" s="116" t="str">
        <f t="shared" si="1"/>
        <v/>
      </c>
      <c r="P4352" s="52"/>
    </row>
    <row r="4353">
      <c r="F4353" s="116" t="str">
        <f t="shared" si="1"/>
        <v/>
      </c>
      <c r="P4353" s="52"/>
    </row>
    <row r="4354">
      <c r="F4354" s="116" t="str">
        <f t="shared" si="1"/>
        <v/>
      </c>
      <c r="P4354" s="52"/>
    </row>
    <row r="4355">
      <c r="F4355" s="116" t="str">
        <f t="shared" si="1"/>
        <v/>
      </c>
      <c r="P4355" s="52"/>
    </row>
    <row r="4356">
      <c r="F4356" s="116" t="str">
        <f t="shared" si="1"/>
        <v/>
      </c>
      <c r="P4356" s="52"/>
    </row>
    <row r="4357">
      <c r="F4357" s="116" t="str">
        <f t="shared" si="1"/>
        <v/>
      </c>
      <c r="P4357" s="52"/>
    </row>
    <row r="4358">
      <c r="F4358" s="116" t="str">
        <f t="shared" si="1"/>
        <v/>
      </c>
      <c r="P4358" s="52"/>
    </row>
    <row r="4359">
      <c r="F4359" s="116" t="str">
        <f t="shared" si="1"/>
        <v/>
      </c>
      <c r="P4359" s="52"/>
    </row>
    <row r="4360">
      <c r="F4360" s="116" t="str">
        <f t="shared" si="1"/>
        <v/>
      </c>
      <c r="P4360" s="52"/>
    </row>
    <row r="4361">
      <c r="F4361" s="116" t="str">
        <f t="shared" si="1"/>
        <v/>
      </c>
      <c r="P4361" s="52"/>
    </row>
    <row r="4362">
      <c r="F4362" s="116" t="str">
        <f t="shared" si="1"/>
        <v/>
      </c>
      <c r="P4362" s="52"/>
    </row>
    <row r="4363">
      <c r="F4363" s="116" t="str">
        <f t="shared" si="1"/>
        <v/>
      </c>
      <c r="P4363" s="52"/>
    </row>
    <row r="4364">
      <c r="F4364" s="116" t="str">
        <f t="shared" si="1"/>
        <v/>
      </c>
      <c r="P4364" s="52"/>
    </row>
    <row r="4365">
      <c r="F4365" s="116" t="str">
        <f t="shared" si="1"/>
        <v/>
      </c>
      <c r="P4365" s="52"/>
    </row>
    <row r="4366">
      <c r="F4366" s="116" t="str">
        <f t="shared" si="1"/>
        <v/>
      </c>
      <c r="P4366" s="52"/>
    </row>
    <row r="4367">
      <c r="F4367" s="116" t="str">
        <f t="shared" si="1"/>
        <v/>
      </c>
      <c r="P4367" s="52"/>
    </row>
    <row r="4368">
      <c r="F4368" s="116" t="str">
        <f t="shared" si="1"/>
        <v/>
      </c>
      <c r="P4368" s="52"/>
    </row>
    <row r="4369">
      <c r="F4369" s="116" t="str">
        <f t="shared" si="1"/>
        <v/>
      </c>
      <c r="P4369" s="52"/>
    </row>
    <row r="4370">
      <c r="F4370" s="116" t="str">
        <f t="shared" si="1"/>
        <v/>
      </c>
      <c r="P4370" s="52"/>
    </row>
    <row r="4371">
      <c r="F4371" s="116" t="str">
        <f t="shared" si="1"/>
        <v/>
      </c>
      <c r="P4371" s="52"/>
    </row>
    <row r="4372">
      <c r="F4372" s="116" t="str">
        <f t="shared" si="1"/>
        <v/>
      </c>
      <c r="P4372" s="52"/>
    </row>
    <row r="4373">
      <c r="F4373" s="116" t="str">
        <f t="shared" si="1"/>
        <v/>
      </c>
      <c r="P4373" s="52"/>
    </row>
    <row r="4374">
      <c r="F4374" s="116" t="str">
        <f t="shared" si="1"/>
        <v/>
      </c>
      <c r="P4374" s="52"/>
    </row>
    <row r="4375">
      <c r="F4375" s="116" t="str">
        <f t="shared" si="1"/>
        <v/>
      </c>
      <c r="P4375" s="52"/>
    </row>
    <row r="4376">
      <c r="F4376" s="116" t="str">
        <f t="shared" si="1"/>
        <v/>
      </c>
      <c r="P4376" s="52"/>
    </row>
    <row r="4377">
      <c r="F4377" s="116" t="str">
        <f t="shared" si="1"/>
        <v/>
      </c>
      <c r="P4377" s="52"/>
    </row>
    <row r="4378">
      <c r="F4378" s="116" t="str">
        <f t="shared" si="1"/>
        <v/>
      </c>
      <c r="P4378" s="52"/>
    </row>
    <row r="4379">
      <c r="F4379" s="116" t="str">
        <f t="shared" si="1"/>
        <v/>
      </c>
      <c r="P4379" s="52"/>
    </row>
    <row r="4380">
      <c r="F4380" s="116" t="str">
        <f t="shared" si="1"/>
        <v/>
      </c>
      <c r="P4380" s="52"/>
    </row>
    <row r="4381">
      <c r="F4381" s="116" t="str">
        <f t="shared" si="1"/>
        <v/>
      </c>
      <c r="P4381" s="52"/>
    </row>
    <row r="4382">
      <c r="F4382" s="116" t="str">
        <f t="shared" si="1"/>
        <v/>
      </c>
      <c r="P4382" s="52"/>
    </row>
    <row r="4383">
      <c r="F4383" s="116" t="str">
        <f t="shared" si="1"/>
        <v/>
      </c>
      <c r="P4383" s="52"/>
    </row>
    <row r="4384">
      <c r="F4384" s="116" t="str">
        <f t="shared" si="1"/>
        <v/>
      </c>
      <c r="P4384" s="52"/>
    </row>
    <row r="4385">
      <c r="F4385" s="116" t="str">
        <f t="shared" si="1"/>
        <v/>
      </c>
      <c r="P4385" s="52"/>
    </row>
    <row r="4386">
      <c r="F4386" s="116" t="str">
        <f t="shared" si="1"/>
        <v/>
      </c>
      <c r="P4386" s="52"/>
    </row>
    <row r="4387">
      <c r="F4387" s="116" t="str">
        <f t="shared" si="1"/>
        <v/>
      </c>
      <c r="P4387" s="52"/>
    </row>
    <row r="4388">
      <c r="F4388" s="116" t="str">
        <f t="shared" si="1"/>
        <v/>
      </c>
      <c r="P4388" s="52"/>
    </row>
    <row r="4389">
      <c r="F4389" s="116" t="str">
        <f t="shared" si="1"/>
        <v/>
      </c>
      <c r="P4389" s="52"/>
    </row>
    <row r="4390">
      <c r="F4390" s="116" t="str">
        <f t="shared" si="1"/>
        <v/>
      </c>
      <c r="P4390" s="52"/>
    </row>
    <row r="4391">
      <c r="F4391" s="116" t="str">
        <f t="shared" si="1"/>
        <v/>
      </c>
      <c r="P4391" s="52"/>
    </row>
    <row r="4392">
      <c r="F4392" s="116" t="str">
        <f t="shared" si="1"/>
        <v/>
      </c>
      <c r="P4392" s="52"/>
    </row>
    <row r="4393">
      <c r="F4393" s="116" t="str">
        <f t="shared" si="1"/>
        <v/>
      </c>
      <c r="P4393" s="52"/>
    </row>
    <row r="4394">
      <c r="F4394" s="116" t="str">
        <f t="shared" si="1"/>
        <v/>
      </c>
      <c r="P4394" s="52"/>
    </row>
    <row r="4395">
      <c r="F4395" s="116" t="str">
        <f t="shared" si="1"/>
        <v/>
      </c>
      <c r="P4395" s="52"/>
    </row>
    <row r="4396">
      <c r="F4396" s="116" t="str">
        <f t="shared" si="1"/>
        <v/>
      </c>
      <c r="P4396" s="52"/>
    </row>
    <row r="4397">
      <c r="F4397" s="116" t="str">
        <f t="shared" si="1"/>
        <v/>
      </c>
      <c r="P4397" s="52"/>
    </row>
    <row r="4398">
      <c r="F4398" s="116" t="str">
        <f t="shared" si="1"/>
        <v/>
      </c>
      <c r="P4398" s="52"/>
    </row>
    <row r="4399">
      <c r="F4399" s="116" t="str">
        <f t="shared" si="1"/>
        <v/>
      </c>
      <c r="P4399" s="52"/>
    </row>
    <row r="4400">
      <c r="F4400" s="116" t="str">
        <f t="shared" si="1"/>
        <v/>
      </c>
      <c r="P4400" s="52"/>
    </row>
    <row r="4401">
      <c r="F4401" s="116" t="str">
        <f t="shared" si="1"/>
        <v/>
      </c>
      <c r="P4401" s="52"/>
    </row>
    <row r="4402">
      <c r="F4402" s="116" t="str">
        <f t="shared" si="1"/>
        <v/>
      </c>
      <c r="P4402" s="52"/>
    </row>
    <row r="4403">
      <c r="F4403" s="116" t="str">
        <f t="shared" si="1"/>
        <v/>
      </c>
      <c r="P4403" s="52"/>
    </row>
    <row r="4404">
      <c r="F4404" s="116" t="str">
        <f t="shared" si="1"/>
        <v/>
      </c>
      <c r="P4404" s="52"/>
    </row>
    <row r="4405">
      <c r="F4405" s="116" t="str">
        <f t="shared" si="1"/>
        <v/>
      </c>
      <c r="P4405" s="52"/>
    </row>
    <row r="4406">
      <c r="F4406" s="116" t="str">
        <f t="shared" si="1"/>
        <v/>
      </c>
      <c r="P4406" s="52"/>
    </row>
    <row r="4407">
      <c r="F4407" s="116" t="str">
        <f t="shared" si="1"/>
        <v/>
      </c>
      <c r="P4407" s="52"/>
    </row>
    <row r="4408">
      <c r="F4408" s="116" t="str">
        <f t="shared" si="1"/>
        <v/>
      </c>
      <c r="P4408" s="52"/>
    </row>
    <row r="4409">
      <c r="F4409" s="116" t="str">
        <f t="shared" si="1"/>
        <v/>
      </c>
      <c r="P4409" s="52"/>
    </row>
    <row r="4410">
      <c r="F4410" s="116" t="str">
        <f t="shared" si="1"/>
        <v/>
      </c>
      <c r="P4410" s="52"/>
    </row>
    <row r="4411">
      <c r="F4411" s="116" t="str">
        <f t="shared" si="1"/>
        <v/>
      </c>
      <c r="P4411" s="52"/>
    </row>
    <row r="4412">
      <c r="F4412" s="116" t="str">
        <f t="shared" si="1"/>
        <v/>
      </c>
      <c r="P4412" s="52"/>
    </row>
    <row r="4413">
      <c r="F4413" s="116" t="str">
        <f t="shared" si="1"/>
        <v/>
      </c>
      <c r="P4413" s="52"/>
    </row>
    <row r="4414">
      <c r="F4414" s="116" t="str">
        <f t="shared" si="1"/>
        <v/>
      </c>
      <c r="P4414" s="52"/>
    </row>
    <row r="4415">
      <c r="F4415" s="116" t="str">
        <f t="shared" si="1"/>
        <v/>
      </c>
      <c r="P4415" s="52"/>
    </row>
    <row r="4416">
      <c r="F4416" s="116" t="str">
        <f t="shared" si="1"/>
        <v/>
      </c>
      <c r="P4416" s="52"/>
    </row>
    <row r="4417">
      <c r="F4417" s="116" t="str">
        <f t="shared" si="1"/>
        <v/>
      </c>
      <c r="P4417" s="52"/>
    </row>
    <row r="4418">
      <c r="F4418" s="116" t="str">
        <f t="shared" si="1"/>
        <v/>
      </c>
      <c r="P4418" s="52"/>
    </row>
    <row r="4419">
      <c r="F4419" s="116" t="str">
        <f t="shared" si="1"/>
        <v/>
      </c>
      <c r="P4419" s="52"/>
    </row>
    <row r="4420">
      <c r="F4420" s="116" t="str">
        <f t="shared" si="1"/>
        <v/>
      </c>
      <c r="P4420" s="52"/>
    </row>
    <row r="4421">
      <c r="F4421" s="116" t="str">
        <f t="shared" si="1"/>
        <v/>
      </c>
      <c r="P4421" s="52"/>
    </row>
    <row r="4422">
      <c r="F4422" s="116" t="str">
        <f t="shared" si="1"/>
        <v/>
      </c>
      <c r="P4422" s="52"/>
    </row>
    <row r="4423">
      <c r="F4423" s="116" t="str">
        <f t="shared" si="1"/>
        <v/>
      </c>
      <c r="P4423" s="52"/>
    </row>
    <row r="4424">
      <c r="F4424" s="116" t="str">
        <f t="shared" si="1"/>
        <v/>
      </c>
      <c r="P4424" s="52"/>
    </row>
    <row r="4425">
      <c r="F4425" s="116" t="str">
        <f t="shared" si="1"/>
        <v/>
      </c>
      <c r="P4425" s="52"/>
    </row>
    <row r="4426">
      <c r="F4426" s="116" t="str">
        <f t="shared" si="1"/>
        <v/>
      </c>
      <c r="P4426" s="52"/>
    </row>
    <row r="4427">
      <c r="F4427" s="116" t="str">
        <f t="shared" si="1"/>
        <v/>
      </c>
      <c r="P4427" s="52"/>
    </row>
    <row r="4428">
      <c r="F4428" s="116" t="str">
        <f t="shared" si="1"/>
        <v/>
      </c>
      <c r="P4428" s="52"/>
    </row>
    <row r="4429">
      <c r="F4429" s="116" t="str">
        <f t="shared" si="1"/>
        <v/>
      </c>
      <c r="P4429" s="52"/>
    </row>
    <row r="4430">
      <c r="F4430" s="116" t="str">
        <f t="shared" si="1"/>
        <v/>
      </c>
      <c r="P4430" s="52"/>
    </row>
    <row r="4431">
      <c r="F4431" s="116" t="str">
        <f t="shared" si="1"/>
        <v/>
      </c>
      <c r="P4431" s="52"/>
    </row>
    <row r="4432">
      <c r="F4432" s="116" t="str">
        <f t="shared" si="1"/>
        <v/>
      </c>
      <c r="P4432" s="52"/>
    </row>
    <row r="4433">
      <c r="F4433" s="116" t="str">
        <f t="shared" si="1"/>
        <v/>
      </c>
      <c r="P4433" s="52"/>
    </row>
    <row r="4434">
      <c r="F4434" s="116" t="str">
        <f t="shared" si="1"/>
        <v/>
      </c>
      <c r="P4434" s="52"/>
    </row>
    <row r="4435">
      <c r="F4435" s="116" t="str">
        <f t="shared" si="1"/>
        <v/>
      </c>
      <c r="P4435" s="52"/>
    </row>
    <row r="4436">
      <c r="F4436" s="116" t="str">
        <f t="shared" si="1"/>
        <v/>
      </c>
      <c r="P4436" s="52"/>
    </row>
    <row r="4437">
      <c r="F4437" s="116" t="str">
        <f t="shared" si="1"/>
        <v/>
      </c>
      <c r="P4437" s="52"/>
    </row>
    <row r="4438">
      <c r="F4438" s="116" t="str">
        <f t="shared" si="1"/>
        <v/>
      </c>
      <c r="P4438" s="52"/>
    </row>
    <row r="4439">
      <c r="F4439" s="116" t="str">
        <f t="shared" si="1"/>
        <v/>
      </c>
      <c r="P4439" s="52"/>
    </row>
    <row r="4440">
      <c r="F4440" s="116" t="str">
        <f t="shared" si="1"/>
        <v/>
      </c>
      <c r="P4440" s="52"/>
    </row>
    <row r="4441">
      <c r="F4441" s="116" t="str">
        <f t="shared" si="1"/>
        <v/>
      </c>
      <c r="P4441" s="52"/>
    </row>
    <row r="4442">
      <c r="F4442" s="116" t="str">
        <f t="shared" si="1"/>
        <v/>
      </c>
      <c r="P4442" s="52"/>
    </row>
    <row r="4443">
      <c r="F4443" s="116" t="str">
        <f t="shared" si="1"/>
        <v/>
      </c>
      <c r="P4443" s="52"/>
    </row>
    <row r="4444">
      <c r="F4444" s="116" t="str">
        <f t="shared" si="1"/>
        <v/>
      </c>
      <c r="P4444" s="52"/>
    </row>
    <row r="4445">
      <c r="F4445" s="116" t="str">
        <f t="shared" si="1"/>
        <v/>
      </c>
      <c r="P4445" s="52"/>
    </row>
    <row r="4446">
      <c r="F4446" s="116" t="str">
        <f t="shared" si="1"/>
        <v/>
      </c>
      <c r="P4446" s="52"/>
    </row>
    <row r="4447">
      <c r="F4447" s="116" t="str">
        <f t="shared" si="1"/>
        <v/>
      </c>
      <c r="P4447" s="52"/>
    </row>
    <row r="4448">
      <c r="F4448" s="116" t="str">
        <f t="shared" si="1"/>
        <v/>
      </c>
      <c r="P4448" s="52"/>
    </row>
    <row r="4449">
      <c r="F4449" s="116" t="str">
        <f t="shared" si="1"/>
        <v/>
      </c>
      <c r="P4449" s="52"/>
    </row>
    <row r="4450">
      <c r="F4450" s="116" t="str">
        <f t="shared" si="1"/>
        <v/>
      </c>
      <c r="P4450" s="52"/>
    </row>
    <row r="4451">
      <c r="F4451" s="116" t="str">
        <f t="shared" si="1"/>
        <v/>
      </c>
      <c r="P4451" s="52"/>
    </row>
    <row r="4452">
      <c r="F4452" s="116" t="str">
        <f t="shared" si="1"/>
        <v/>
      </c>
      <c r="P4452" s="52"/>
    </row>
    <row r="4453">
      <c r="F4453" s="116" t="str">
        <f t="shared" si="1"/>
        <v/>
      </c>
      <c r="P4453" s="52"/>
    </row>
    <row r="4454">
      <c r="F4454" s="116" t="str">
        <f t="shared" si="1"/>
        <v/>
      </c>
      <c r="P4454" s="52"/>
    </row>
    <row r="4455">
      <c r="F4455" s="116" t="str">
        <f t="shared" si="1"/>
        <v/>
      </c>
      <c r="P4455" s="52"/>
    </row>
    <row r="4456">
      <c r="F4456" s="116" t="str">
        <f t="shared" si="1"/>
        <v/>
      </c>
      <c r="P4456" s="52"/>
    </row>
    <row r="4457">
      <c r="F4457" s="116" t="str">
        <f t="shared" si="1"/>
        <v/>
      </c>
      <c r="P4457" s="52"/>
    </row>
    <row r="4458">
      <c r="F4458" s="116" t="str">
        <f t="shared" si="1"/>
        <v/>
      </c>
      <c r="P4458" s="52"/>
    </row>
    <row r="4459">
      <c r="F4459" s="116" t="str">
        <f t="shared" si="1"/>
        <v/>
      </c>
      <c r="P4459" s="52"/>
    </row>
    <row r="4460">
      <c r="F4460" s="116" t="str">
        <f t="shared" si="1"/>
        <v/>
      </c>
      <c r="P4460" s="52"/>
    </row>
    <row r="4461">
      <c r="F4461" s="116" t="str">
        <f t="shared" si="1"/>
        <v/>
      </c>
      <c r="P4461" s="52"/>
    </row>
    <row r="4462">
      <c r="F4462" s="116" t="str">
        <f t="shared" si="1"/>
        <v/>
      </c>
      <c r="P4462" s="52"/>
    </row>
    <row r="4463">
      <c r="F4463" s="116" t="str">
        <f t="shared" si="1"/>
        <v/>
      </c>
      <c r="P4463" s="52"/>
    </row>
    <row r="4464">
      <c r="F4464" s="116" t="str">
        <f t="shared" si="1"/>
        <v/>
      </c>
      <c r="P4464" s="52"/>
    </row>
    <row r="4465">
      <c r="F4465" s="116" t="str">
        <f t="shared" si="1"/>
        <v/>
      </c>
      <c r="P4465" s="52"/>
    </row>
    <row r="4466">
      <c r="F4466" s="116" t="str">
        <f t="shared" si="1"/>
        <v/>
      </c>
      <c r="P4466" s="52"/>
    </row>
    <row r="4467">
      <c r="F4467" s="116" t="str">
        <f t="shared" si="1"/>
        <v/>
      </c>
      <c r="P4467" s="52"/>
    </row>
    <row r="4468">
      <c r="F4468" s="116" t="str">
        <f t="shared" si="1"/>
        <v/>
      </c>
      <c r="P4468" s="52"/>
    </row>
    <row r="4469">
      <c r="F4469" s="116" t="str">
        <f t="shared" si="1"/>
        <v/>
      </c>
      <c r="P4469" s="52"/>
    </row>
    <row r="4470">
      <c r="F4470" s="116" t="str">
        <f t="shared" si="1"/>
        <v/>
      </c>
      <c r="P4470" s="52"/>
    </row>
    <row r="4471">
      <c r="F4471" s="116" t="str">
        <f t="shared" si="1"/>
        <v/>
      </c>
      <c r="P4471" s="52"/>
    </row>
    <row r="4472">
      <c r="F4472" s="116" t="str">
        <f t="shared" si="1"/>
        <v/>
      </c>
      <c r="P4472" s="52"/>
    </row>
    <row r="4473">
      <c r="F4473" s="116" t="str">
        <f t="shared" si="1"/>
        <v/>
      </c>
      <c r="P4473" s="52"/>
    </row>
    <row r="4474">
      <c r="F4474" s="116" t="str">
        <f t="shared" si="1"/>
        <v/>
      </c>
      <c r="P4474" s="52"/>
    </row>
    <row r="4475">
      <c r="F4475" s="116" t="str">
        <f t="shared" si="1"/>
        <v/>
      </c>
      <c r="P4475" s="52"/>
    </row>
    <row r="4476">
      <c r="F4476" s="116" t="str">
        <f t="shared" si="1"/>
        <v/>
      </c>
      <c r="P4476" s="52"/>
    </row>
    <row r="4477">
      <c r="F4477" s="116" t="str">
        <f t="shared" si="1"/>
        <v/>
      </c>
      <c r="P4477" s="52"/>
    </row>
    <row r="4478">
      <c r="F4478" s="116" t="str">
        <f t="shared" si="1"/>
        <v/>
      </c>
      <c r="P4478" s="52"/>
    </row>
    <row r="4479">
      <c r="F4479" s="116" t="str">
        <f t="shared" si="1"/>
        <v/>
      </c>
      <c r="P4479" s="52"/>
    </row>
    <row r="4480">
      <c r="F4480" s="116" t="str">
        <f t="shared" si="1"/>
        <v/>
      </c>
      <c r="P4480" s="52"/>
    </row>
    <row r="4481">
      <c r="F4481" s="116" t="str">
        <f t="shared" si="1"/>
        <v/>
      </c>
      <c r="P4481" s="52"/>
    </row>
    <row r="4482">
      <c r="F4482" s="116" t="str">
        <f t="shared" si="1"/>
        <v/>
      </c>
      <c r="P4482" s="52"/>
    </row>
    <row r="4483">
      <c r="F4483" s="116" t="str">
        <f t="shared" si="1"/>
        <v/>
      </c>
      <c r="P4483" s="52"/>
    </row>
    <row r="4484">
      <c r="F4484" s="116" t="str">
        <f t="shared" si="1"/>
        <v/>
      </c>
      <c r="P4484" s="52"/>
    </row>
    <row r="4485">
      <c r="F4485" s="116" t="str">
        <f t="shared" si="1"/>
        <v/>
      </c>
      <c r="P4485" s="52"/>
    </row>
    <row r="4486">
      <c r="F4486" s="116" t="str">
        <f t="shared" si="1"/>
        <v/>
      </c>
      <c r="P4486" s="52"/>
    </row>
    <row r="4487">
      <c r="F4487" s="116" t="str">
        <f t="shared" si="1"/>
        <v/>
      </c>
      <c r="P4487" s="52"/>
    </row>
    <row r="4488">
      <c r="F4488" s="116" t="str">
        <f t="shared" si="1"/>
        <v/>
      </c>
      <c r="P4488" s="52"/>
    </row>
    <row r="4489">
      <c r="F4489" s="116" t="str">
        <f t="shared" si="1"/>
        <v/>
      </c>
      <c r="P4489" s="52"/>
    </row>
    <row r="4490">
      <c r="F4490" s="116" t="str">
        <f t="shared" si="1"/>
        <v/>
      </c>
      <c r="P4490" s="52"/>
    </row>
    <row r="4491">
      <c r="F4491" s="116" t="str">
        <f t="shared" si="1"/>
        <v/>
      </c>
      <c r="P4491" s="52"/>
    </row>
    <row r="4492">
      <c r="F4492" s="116" t="str">
        <f t="shared" si="1"/>
        <v/>
      </c>
      <c r="P4492" s="52"/>
    </row>
    <row r="4493">
      <c r="F4493" s="116" t="str">
        <f t="shared" si="1"/>
        <v/>
      </c>
      <c r="P4493" s="52"/>
    </row>
    <row r="4494">
      <c r="F4494" s="116" t="str">
        <f t="shared" si="1"/>
        <v/>
      </c>
      <c r="P4494" s="52"/>
    </row>
    <row r="4495">
      <c r="F4495" s="116" t="str">
        <f t="shared" si="1"/>
        <v/>
      </c>
      <c r="P4495" s="52"/>
    </row>
    <row r="4496">
      <c r="F4496" s="116" t="str">
        <f t="shared" si="1"/>
        <v/>
      </c>
      <c r="P4496" s="52"/>
    </row>
    <row r="4497">
      <c r="F4497" s="116" t="str">
        <f t="shared" si="1"/>
        <v/>
      </c>
      <c r="P4497" s="52"/>
    </row>
    <row r="4498">
      <c r="F4498" s="116" t="str">
        <f t="shared" si="1"/>
        <v/>
      </c>
      <c r="P4498" s="52"/>
    </row>
    <row r="4499">
      <c r="F4499" s="116" t="str">
        <f t="shared" si="1"/>
        <v/>
      </c>
      <c r="P4499" s="52"/>
    </row>
    <row r="4500">
      <c r="F4500" s="116" t="str">
        <f t="shared" si="1"/>
        <v/>
      </c>
      <c r="P4500" s="52"/>
    </row>
    <row r="4501">
      <c r="F4501" s="116" t="str">
        <f t="shared" si="1"/>
        <v/>
      </c>
      <c r="P4501" s="52"/>
    </row>
    <row r="4502">
      <c r="F4502" s="116" t="str">
        <f t="shared" si="1"/>
        <v/>
      </c>
      <c r="P4502" s="52"/>
    </row>
    <row r="4503">
      <c r="F4503" s="116" t="str">
        <f t="shared" si="1"/>
        <v/>
      </c>
      <c r="P4503" s="52"/>
    </row>
    <row r="4504">
      <c r="F4504" s="116" t="str">
        <f t="shared" si="1"/>
        <v/>
      </c>
      <c r="P4504" s="52"/>
    </row>
    <row r="4505">
      <c r="F4505" s="116" t="str">
        <f t="shared" si="1"/>
        <v/>
      </c>
      <c r="P4505" s="52"/>
    </row>
    <row r="4506">
      <c r="F4506" s="116" t="str">
        <f t="shared" si="1"/>
        <v/>
      </c>
      <c r="P4506" s="52"/>
    </row>
    <row r="4507">
      <c r="F4507" s="116" t="str">
        <f t="shared" si="1"/>
        <v/>
      </c>
      <c r="P4507" s="52"/>
    </row>
    <row r="4508">
      <c r="F4508" s="116" t="str">
        <f t="shared" si="1"/>
        <v/>
      </c>
      <c r="P4508" s="52"/>
    </row>
    <row r="4509">
      <c r="F4509" s="116" t="str">
        <f t="shared" si="1"/>
        <v/>
      </c>
      <c r="P4509" s="52"/>
    </row>
    <row r="4510">
      <c r="F4510" s="116" t="str">
        <f t="shared" si="1"/>
        <v/>
      </c>
      <c r="P4510" s="52"/>
    </row>
    <row r="4511">
      <c r="F4511" s="116" t="str">
        <f t="shared" si="1"/>
        <v/>
      </c>
      <c r="P4511" s="52"/>
    </row>
    <row r="4512">
      <c r="F4512" s="116" t="str">
        <f t="shared" si="1"/>
        <v/>
      </c>
      <c r="P4512" s="52"/>
    </row>
    <row r="4513">
      <c r="F4513" s="116" t="str">
        <f t="shared" si="1"/>
        <v/>
      </c>
      <c r="P4513" s="52"/>
    </row>
    <row r="4514">
      <c r="F4514" s="116" t="str">
        <f t="shared" si="1"/>
        <v/>
      </c>
      <c r="P4514" s="52"/>
    </row>
    <row r="4515">
      <c r="F4515" s="116" t="str">
        <f t="shared" si="1"/>
        <v/>
      </c>
      <c r="P4515" s="52"/>
    </row>
    <row r="4516">
      <c r="F4516" s="116" t="str">
        <f t="shared" si="1"/>
        <v/>
      </c>
      <c r="P4516" s="52"/>
    </row>
    <row r="4517">
      <c r="F4517" s="116" t="str">
        <f t="shared" si="1"/>
        <v/>
      </c>
      <c r="P4517" s="52"/>
    </row>
    <row r="4518">
      <c r="F4518" s="116" t="str">
        <f t="shared" si="1"/>
        <v/>
      </c>
      <c r="P4518" s="52"/>
    </row>
    <row r="4519">
      <c r="F4519" s="116" t="str">
        <f t="shared" si="1"/>
        <v/>
      </c>
      <c r="P4519" s="52"/>
    </row>
    <row r="4520">
      <c r="F4520" s="116" t="str">
        <f t="shared" si="1"/>
        <v/>
      </c>
      <c r="P4520" s="52"/>
    </row>
    <row r="4521">
      <c r="F4521" s="116" t="str">
        <f t="shared" si="1"/>
        <v/>
      </c>
      <c r="P4521" s="52"/>
    </row>
    <row r="4522">
      <c r="F4522" s="116" t="str">
        <f t="shared" si="1"/>
        <v/>
      </c>
      <c r="P4522" s="52"/>
    </row>
    <row r="4523">
      <c r="F4523" s="116" t="str">
        <f t="shared" si="1"/>
        <v/>
      </c>
      <c r="P4523" s="52"/>
    </row>
    <row r="4524">
      <c r="F4524" s="116" t="str">
        <f t="shared" si="1"/>
        <v/>
      </c>
      <c r="P4524" s="52"/>
    </row>
    <row r="4525">
      <c r="F4525" s="116" t="str">
        <f t="shared" si="1"/>
        <v/>
      </c>
      <c r="P4525" s="52"/>
    </row>
    <row r="4526">
      <c r="F4526" s="116" t="str">
        <f t="shared" si="1"/>
        <v/>
      </c>
      <c r="P4526" s="52"/>
    </row>
    <row r="4527">
      <c r="F4527" s="116" t="str">
        <f t="shared" si="1"/>
        <v/>
      </c>
      <c r="P4527" s="52"/>
    </row>
    <row r="4528">
      <c r="F4528" s="116" t="str">
        <f t="shared" si="1"/>
        <v/>
      </c>
      <c r="P4528" s="52"/>
    </row>
    <row r="4529">
      <c r="F4529" s="116" t="str">
        <f t="shared" si="1"/>
        <v/>
      </c>
      <c r="P4529" s="52"/>
    </row>
    <row r="4530">
      <c r="F4530" s="116" t="str">
        <f t="shared" si="1"/>
        <v/>
      </c>
      <c r="P4530" s="52"/>
    </row>
    <row r="4531">
      <c r="F4531" s="116" t="str">
        <f t="shared" si="1"/>
        <v/>
      </c>
      <c r="P4531" s="52"/>
    </row>
    <row r="4532">
      <c r="F4532" s="116" t="str">
        <f t="shared" si="1"/>
        <v/>
      </c>
      <c r="P4532" s="52"/>
    </row>
    <row r="4533">
      <c r="F4533" s="116" t="str">
        <f t="shared" si="1"/>
        <v/>
      </c>
      <c r="P4533" s="52"/>
    </row>
    <row r="4534">
      <c r="F4534" s="116" t="str">
        <f t="shared" si="1"/>
        <v/>
      </c>
      <c r="P4534" s="52"/>
    </row>
    <row r="4535">
      <c r="F4535" s="116" t="str">
        <f t="shared" si="1"/>
        <v/>
      </c>
      <c r="P4535" s="52"/>
    </row>
    <row r="4536">
      <c r="F4536" s="116" t="str">
        <f t="shared" si="1"/>
        <v/>
      </c>
      <c r="P4536" s="52"/>
    </row>
    <row r="4537">
      <c r="F4537" s="116" t="str">
        <f t="shared" si="1"/>
        <v/>
      </c>
      <c r="P4537" s="52"/>
    </row>
    <row r="4538">
      <c r="F4538" s="116" t="str">
        <f t="shared" si="1"/>
        <v/>
      </c>
      <c r="P4538" s="52"/>
    </row>
    <row r="4539">
      <c r="F4539" s="116" t="str">
        <f t="shared" si="1"/>
        <v/>
      </c>
      <c r="P4539" s="52"/>
    </row>
    <row r="4540">
      <c r="F4540" s="116" t="str">
        <f t="shared" si="1"/>
        <v/>
      </c>
      <c r="P4540" s="52"/>
    </row>
    <row r="4541">
      <c r="F4541" s="116" t="str">
        <f t="shared" si="1"/>
        <v/>
      </c>
      <c r="P4541" s="52"/>
    </row>
    <row r="4542">
      <c r="F4542" s="116" t="str">
        <f t="shared" si="1"/>
        <v/>
      </c>
      <c r="P4542" s="52"/>
    </row>
    <row r="4543">
      <c r="F4543" s="116" t="str">
        <f t="shared" si="1"/>
        <v/>
      </c>
      <c r="P4543" s="52"/>
    </row>
    <row r="4544">
      <c r="F4544" s="116" t="str">
        <f t="shared" si="1"/>
        <v/>
      </c>
      <c r="P4544" s="52"/>
    </row>
    <row r="4545">
      <c r="F4545" s="116" t="str">
        <f t="shared" si="1"/>
        <v/>
      </c>
      <c r="P4545" s="52"/>
    </row>
    <row r="4546">
      <c r="F4546" s="116" t="str">
        <f t="shared" si="1"/>
        <v/>
      </c>
      <c r="P4546" s="52"/>
    </row>
    <row r="4547">
      <c r="F4547" s="116" t="str">
        <f t="shared" si="1"/>
        <v/>
      </c>
      <c r="P4547" s="52"/>
    </row>
    <row r="4548">
      <c r="F4548" s="116" t="str">
        <f t="shared" si="1"/>
        <v/>
      </c>
      <c r="P4548" s="52"/>
    </row>
    <row r="4549">
      <c r="F4549" s="116" t="str">
        <f t="shared" si="1"/>
        <v/>
      </c>
      <c r="P4549" s="52"/>
    </row>
    <row r="4550">
      <c r="F4550" s="116" t="str">
        <f t="shared" si="1"/>
        <v/>
      </c>
      <c r="P4550" s="52"/>
    </row>
    <row r="4551">
      <c r="F4551" s="116" t="str">
        <f t="shared" si="1"/>
        <v/>
      </c>
      <c r="P4551" s="52"/>
    </row>
    <row r="4552">
      <c r="F4552" s="116" t="str">
        <f t="shared" si="1"/>
        <v/>
      </c>
      <c r="P4552" s="52"/>
    </row>
    <row r="4553">
      <c r="F4553" s="116" t="str">
        <f t="shared" si="1"/>
        <v/>
      </c>
      <c r="P4553" s="52"/>
    </row>
    <row r="4554">
      <c r="F4554" s="116" t="str">
        <f t="shared" si="1"/>
        <v/>
      </c>
      <c r="P4554" s="52"/>
    </row>
    <row r="4555">
      <c r="F4555" s="116" t="str">
        <f t="shared" si="1"/>
        <v/>
      </c>
      <c r="P4555" s="52"/>
    </row>
    <row r="4556">
      <c r="F4556" s="116" t="str">
        <f t="shared" si="1"/>
        <v/>
      </c>
      <c r="P4556" s="52"/>
    </row>
    <row r="4557">
      <c r="F4557" s="116" t="str">
        <f t="shared" si="1"/>
        <v/>
      </c>
      <c r="P4557" s="52"/>
    </row>
    <row r="4558">
      <c r="F4558" s="116" t="str">
        <f t="shared" si="1"/>
        <v/>
      </c>
      <c r="P4558" s="52"/>
    </row>
    <row r="4559">
      <c r="F4559" s="116" t="str">
        <f t="shared" si="1"/>
        <v/>
      </c>
      <c r="P4559" s="52"/>
    </row>
    <row r="4560">
      <c r="F4560" s="116" t="str">
        <f t="shared" si="1"/>
        <v/>
      </c>
      <c r="P4560" s="52"/>
    </row>
    <row r="4561">
      <c r="F4561" s="116" t="str">
        <f t="shared" si="1"/>
        <v/>
      </c>
      <c r="P4561" s="52"/>
    </row>
    <row r="4562">
      <c r="F4562" s="116" t="str">
        <f t="shared" si="1"/>
        <v/>
      </c>
      <c r="P4562" s="52"/>
    </row>
    <row r="4563">
      <c r="F4563" s="116" t="str">
        <f t="shared" si="1"/>
        <v/>
      </c>
      <c r="P4563" s="52"/>
    </row>
    <row r="4564">
      <c r="F4564" s="116" t="str">
        <f t="shared" si="1"/>
        <v/>
      </c>
      <c r="P4564" s="52"/>
    </row>
    <row r="4565">
      <c r="F4565" s="116" t="str">
        <f t="shared" si="1"/>
        <v/>
      </c>
      <c r="P4565" s="52"/>
    </row>
    <row r="4566">
      <c r="F4566" s="116" t="str">
        <f t="shared" si="1"/>
        <v/>
      </c>
      <c r="P4566" s="52"/>
    </row>
    <row r="4567">
      <c r="F4567" s="116" t="str">
        <f t="shared" si="1"/>
        <v/>
      </c>
      <c r="P4567" s="52"/>
    </row>
    <row r="4568">
      <c r="F4568" s="116" t="str">
        <f t="shared" si="1"/>
        <v/>
      </c>
      <c r="P4568" s="52"/>
    </row>
    <row r="4569">
      <c r="F4569" s="116" t="str">
        <f t="shared" si="1"/>
        <v/>
      </c>
      <c r="P4569" s="52"/>
    </row>
    <row r="4570">
      <c r="F4570" s="116" t="str">
        <f t="shared" si="1"/>
        <v/>
      </c>
      <c r="P4570" s="52"/>
    </row>
    <row r="4571">
      <c r="F4571" s="116" t="str">
        <f t="shared" si="1"/>
        <v/>
      </c>
      <c r="P4571" s="52"/>
    </row>
    <row r="4572">
      <c r="F4572" s="116" t="str">
        <f t="shared" si="1"/>
        <v/>
      </c>
      <c r="P4572" s="52"/>
    </row>
    <row r="4573">
      <c r="F4573" s="116" t="str">
        <f t="shared" si="1"/>
        <v/>
      </c>
      <c r="P4573" s="52"/>
    </row>
    <row r="4574">
      <c r="F4574" s="116" t="str">
        <f t="shared" si="1"/>
        <v/>
      </c>
      <c r="P4574" s="52"/>
    </row>
    <row r="4575">
      <c r="F4575" s="116" t="str">
        <f t="shared" si="1"/>
        <v/>
      </c>
      <c r="P4575" s="52"/>
    </row>
    <row r="4576">
      <c r="F4576" s="116" t="str">
        <f t="shared" si="1"/>
        <v/>
      </c>
      <c r="P4576" s="52"/>
    </row>
    <row r="4577">
      <c r="F4577" s="116" t="str">
        <f t="shared" si="1"/>
        <v/>
      </c>
      <c r="P4577" s="52"/>
    </row>
    <row r="4578">
      <c r="F4578" s="116" t="str">
        <f t="shared" si="1"/>
        <v/>
      </c>
      <c r="P4578" s="52"/>
    </row>
    <row r="4579">
      <c r="F4579" s="116" t="str">
        <f t="shared" si="1"/>
        <v/>
      </c>
      <c r="P4579" s="52"/>
    </row>
    <row r="4580">
      <c r="F4580" s="116" t="str">
        <f t="shared" si="1"/>
        <v/>
      </c>
      <c r="P4580" s="52"/>
    </row>
    <row r="4581">
      <c r="F4581" s="116" t="str">
        <f t="shared" si="1"/>
        <v/>
      </c>
      <c r="P4581" s="52"/>
    </row>
    <row r="4582">
      <c r="F4582" s="116" t="str">
        <f t="shared" si="1"/>
        <v/>
      </c>
      <c r="P4582" s="52"/>
    </row>
    <row r="4583">
      <c r="F4583" s="116" t="str">
        <f t="shared" si="1"/>
        <v/>
      </c>
      <c r="P4583" s="52"/>
    </row>
    <row r="4584">
      <c r="F4584" s="116" t="str">
        <f t="shared" si="1"/>
        <v/>
      </c>
      <c r="P4584" s="52"/>
    </row>
    <row r="4585">
      <c r="F4585" s="116" t="str">
        <f t="shared" si="1"/>
        <v/>
      </c>
      <c r="P4585" s="52"/>
    </row>
    <row r="4586">
      <c r="F4586" s="116" t="str">
        <f t="shared" si="1"/>
        <v/>
      </c>
      <c r="P4586" s="52"/>
    </row>
    <row r="4587">
      <c r="F4587" s="116" t="str">
        <f t="shared" si="1"/>
        <v/>
      </c>
      <c r="P4587" s="52"/>
    </row>
    <row r="4588">
      <c r="F4588" s="116" t="str">
        <f t="shared" si="1"/>
        <v/>
      </c>
      <c r="P4588" s="52"/>
    </row>
    <row r="4589">
      <c r="F4589" s="116" t="str">
        <f t="shared" si="1"/>
        <v/>
      </c>
      <c r="P4589" s="52"/>
    </row>
    <row r="4590">
      <c r="F4590" s="116" t="str">
        <f t="shared" si="1"/>
        <v/>
      </c>
      <c r="P4590" s="52"/>
    </row>
    <row r="4591">
      <c r="F4591" s="116" t="str">
        <f t="shared" si="1"/>
        <v/>
      </c>
      <c r="P4591" s="52"/>
    </row>
    <row r="4592">
      <c r="F4592" s="116" t="str">
        <f t="shared" si="1"/>
        <v/>
      </c>
      <c r="P4592" s="52"/>
    </row>
    <row r="4593">
      <c r="F4593" s="116" t="str">
        <f t="shared" si="1"/>
        <v/>
      </c>
      <c r="P4593" s="52"/>
    </row>
    <row r="4594">
      <c r="F4594" s="116" t="str">
        <f t="shared" si="1"/>
        <v/>
      </c>
      <c r="P4594" s="52"/>
    </row>
    <row r="4595">
      <c r="F4595" s="116" t="str">
        <f t="shared" si="1"/>
        <v/>
      </c>
      <c r="P4595" s="52"/>
    </row>
    <row r="4596">
      <c r="F4596" s="116" t="str">
        <f t="shared" si="1"/>
        <v/>
      </c>
      <c r="P4596" s="52"/>
    </row>
    <row r="4597">
      <c r="F4597" s="116" t="str">
        <f t="shared" si="1"/>
        <v/>
      </c>
      <c r="P4597" s="52"/>
    </row>
    <row r="4598">
      <c r="F4598" s="116" t="str">
        <f t="shared" si="1"/>
        <v/>
      </c>
      <c r="P4598" s="52"/>
    </row>
    <row r="4599">
      <c r="F4599" s="116" t="str">
        <f t="shared" si="1"/>
        <v/>
      </c>
      <c r="P4599" s="52"/>
    </row>
    <row r="4600">
      <c r="F4600" s="116" t="str">
        <f t="shared" si="1"/>
        <v/>
      </c>
      <c r="P4600" s="52"/>
    </row>
    <row r="4601">
      <c r="F4601" s="116" t="str">
        <f t="shared" si="1"/>
        <v/>
      </c>
      <c r="P4601" s="52"/>
    </row>
    <row r="4602">
      <c r="F4602" s="116" t="str">
        <f t="shared" si="1"/>
        <v/>
      </c>
      <c r="P4602" s="52"/>
    </row>
    <row r="4603">
      <c r="F4603" s="116" t="str">
        <f t="shared" si="1"/>
        <v/>
      </c>
      <c r="P4603" s="52"/>
    </row>
    <row r="4604">
      <c r="F4604" s="116" t="str">
        <f t="shared" si="1"/>
        <v/>
      </c>
      <c r="P4604" s="52"/>
    </row>
    <row r="4605">
      <c r="F4605" s="116" t="str">
        <f t="shared" si="1"/>
        <v/>
      </c>
      <c r="P4605" s="52"/>
    </row>
    <row r="4606">
      <c r="F4606" s="116" t="str">
        <f t="shared" si="1"/>
        <v/>
      </c>
      <c r="P4606" s="52"/>
    </row>
    <row r="4607">
      <c r="F4607" s="116" t="str">
        <f t="shared" si="1"/>
        <v/>
      </c>
      <c r="P4607" s="52"/>
    </row>
    <row r="4608">
      <c r="F4608" s="116" t="str">
        <f t="shared" si="1"/>
        <v/>
      </c>
      <c r="P4608" s="52"/>
    </row>
    <row r="4609">
      <c r="F4609" s="116" t="str">
        <f t="shared" si="1"/>
        <v/>
      </c>
      <c r="P4609" s="52"/>
    </row>
    <row r="4610">
      <c r="F4610" s="116" t="str">
        <f t="shared" si="1"/>
        <v/>
      </c>
      <c r="P4610" s="52"/>
    </row>
    <row r="4611">
      <c r="F4611" s="116" t="str">
        <f t="shared" si="1"/>
        <v/>
      </c>
      <c r="P4611" s="52"/>
    </row>
    <row r="4612">
      <c r="F4612" s="116" t="str">
        <f t="shared" si="1"/>
        <v/>
      </c>
      <c r="P4612" s="52"/>
    </row>
    <row r="4613">
      <c r="F4613" s="116" t="str">
        <f t="shared" si="1"/>
        <v/>
      </c>
      <c r="P4613" s="52"/>
    </row>
    <row r="4614">
      <c r="F4614" s="116" t="str">
        <f t="shared" si="1"/>
        <v/>
      </c>
      <c r="P4614" s="52"/>
    </row>
    <row r="4615">
      <c r="F4615" s="116" t="str">
        <f t="shared" si="1"/>
        <v/>
      </c>
      <c r="P4615" s="52"/>
    </row>
    <row r="4616">
      <c r="F4616" s="116" t="str">
        <f t="shared" si="1"/>
        <v/>
      </c>
      <c r="P4616" s="52"/>
    </row>
    <row r="4617">
      <c r="F4617" s="116" t="str">
        <f t="shared" si="1"/>
        <v/>
      </c>
      <c r="P4617" s="52"/>
    </row>
    <row r="4618">
      <c r="F4618" s="116" t="str">
        <f t="shared" si="1"/>
        <v/>
      </c>
      <c r="P4618" s="52"/>
    </row>
    <row r="4619">
      <c r="F4619" s="116" t="str">
        <f t="shared" si="1"/>
        <v/>
      </c>
      <c r="P4619" s="52"/>
    </row>
    <row r="4620">
      <c r="F4620" s="116" t="str">
        <f t="shared" si="1"/>
        <v/>
      </c>
      <c r="P4620" s="52"/>
    </row>
    <row r="4621">
      <c r="F4621" s="116" t="str">
        <f t="shared" si="1"/>
        <v/>
      </c>
      <c r="P4621" s="52"/>
    </row>
    <row r="4622">
      <c r="F4622" s="116" t="str">
        <f t="shared" si="1"/>
        <v/>
      </c>
      <c r="P4622" s="52"/>
    </row>
    <row r="4623">
      <c r="F4623" s="116" t="str">
        <f t="shared" si="1"/>
        <v/>
      </c>
      <c r="P4623" s="52"/>
    </row>
    <row r="4624">
      <c r="F4624" s="116" t="str">
        <f t="shared" si="1"/>
        <v/>
      </c>
      <c r="P4624" s="52"/>
    </row>
    <row r="4625">
      <c r="F4625" s="116" t="str">
        <f t="shared" si="1"/>
        <v/>
      </c>
      <c r="P4625" s="52"/>
    </row>
    <row r="4626">
      <c r="F4626" s="116" t="str">
        <f t="shared" si="1"/>
        <v/>
      </c>
      <c r="P4626" s="52"/>
    </row>
    <row r="4627">
      <c r="F4627" s="116" t="str">
        <f t="shared" si="1"/>
        <v/>
      </c>
      <c r="P4627" s="52"/>
    </row>
    <row r="4628">
      <c r="F4628" s="116" t="str">
        <f t="shared" si="1"/>
        <v/>
      </c>
      <c r="P4628" s="52"/>
    </row>
    <row r="4629">
      <c r="F4629" s="116" t="str">
        <f t="shared" si="1"/>
        <v/>
      </c>
      <c r="P4629" s="52"/>
    </row>
    <row r="4630">
      <c r="F4630" s="116" t="str">
        <f t="shared" si="1"/>
        <v/>
      </c>
      <c r="P4630" s="52"/>
    </row>
    <row r="4631">
      <c r="F4631" s="116" t="str">
        <f t="shared" si="1"/>
        <v/>
      </c>
      <c r="P4631" s="52"/>
    </row>
    <row r="4632">
      <c r="F4632" s="116" t="str">
        <f t="shared" si="1"/>
        <v/>
      </c>
      <c r="P4632" s="52"/>
    </row>
    <row r="4633">
      <c r="F4633" s="116" t="str">
        <f t="shared" si="1"/>
        <v/>
      </c>
      <c r="P4633" s="52"/>
    </row>
    <row r="4634">
      <c r="F4634" s="116" t="str">
        <f t="shared" si="1"/>
        <v/>
      </c>
      <c r="P4634" s="52"/>
    </row>
    <row r="4635">
      <c r="F4635" s="116" t="str">
        <f t="shared" si="1"/>
        <v/>
      </c>
      <c r="P4635" s="52"/>
    </row>
    <row r="4636">
      <c r="F4636" s="116" t="str">
        <f t="shared" si="1"/>
        <v/>
      </c>
      <c r="P4636" s="52"/>
    </row>
    <row r="4637">
      <c r="F4637" s="116" t="str">
        <f t="shared" si="1"/>
        <v/>
      </c>
      <c r="P4637" s="52"/>
    </row>
    <row r="4638">
      <c r="F4638" s="116" t="str">
        <f t="shared" si="1"/>
        <v/>
      </c>
      <c r="P4638" s="52"/>
    </row>
    <row r="4639">
      <c r="F4639" s="116" t="str">
        <f t="shared" si="1"/>
        <v/>
      </c>
      <c r="P4639" s="52"/>
    </row>
    <row r="4640">
      <c r="F4640" s="116" t="str">
        <f t="shared" si="1"/>
        <v/>
      </c>
      <c r="P4640" s="52"/>
    </row>
    <row r="4641">
      <c r="F4641" s="116" t="str">
        <f t="shared" si="1"/>
        <v/>
      </c>
      <c r="P4641" s="52"/>
    </row>
    <row r="4642">
      <c r="F4642" s="116" t="str">
        <f t="shared" si="1"/>
        <v/>
      </c>
      <c r="P4642" s="52"/>
    </row>
    <row r="4643">
      <c r="F4643" s="116" t="str">
        <f t="shared" si="1"/>
        <v/>
      </c>
      <c r="P4643" s="52"/>
    </row>
    <row r="4644">
      <c r="F4644" s="116" t="str">
        <f t="shared" si="1"/>
        <v/>
      </c>
      <c r="P4644" s="52"/>
    </row>
    <row r="4645">
      <c r="F4645" s="116" t="str">
        <f t="shared" si="1"/>
        <v/>
      </c>
      <c r="P4645" s="52"/>
    </row>
    <row r="4646">
      <c r="F4646" s="116" t="str">
        <f t="shared" si="1"/>
        <v/>
      </c>
      <c r="P4646" s="52"/>
    </row>
    <row r="4647">
      <c r="F4647" s="116" t="str">
        <f t="shared" si="1"/>
        <v/>
      </c>
      <c r="P4647" s="52"/>
    </row>
    <row r="4648">
      <c r="F4648" s="116" t="str">
        <f t="shared" si="1"/>
        <v/>
      </c>
      <c r="P4648" s="52"/>
    </row>
    <row r="4649">
      <c r="F4649" s="116" t="str">
        <f t="shared" si="1"/>
        <v/>
      </c>
      <c r="P4649" s="52"/>
    </row>
    <row r="4650">
      <c r="F4650" s="116" t="str">
        <f t="shared" si="1"/>
        <v/>
      </c>
      <c r="P4650" s="52"/>
    </row>
    <row r="4651">
      <c r="F4651" s="116" t="str">
        <f t="shared" si="1"/>
        <v/>
      </c>
      <c r="P4651" s="52"/>
    </row>
    <row r="4652">
      <c r="F4652" s="116" t="str">
        <f t="shared" si="1"/>
        <v/>
      </c>
      <c r="P4652" s="52"/>
    </row>
    <row r="4653">
      <c r="F4653" s="116" t="str">
        <f t="shared" si="1"/>
        <v/>
      </c>
      <c r="P4653" s="52"/>
    </row>
    <row r="4654">
      <c r="F4654" s="116" t="str">
        <f t="shared" si="1"/>
        <v/>
      </c>
      <c r="P4654" s="52"/>
    </row>
    <row r="4655">
      <c r="F4655" s="116" t="str">
        <f t="shared" si="1"/>
        <v/>
      </c>
      <c r="P4655" s="52"/>
    </row>
    <row r="4656">
      <c r="F4656" s="116" t="str">
        <f t="shared" si="1"/>
        <v/>
      </c>
      <c r="P4656" s="52"/>
    </row>
    <row r="4657">
      <c r="F4657" s="116" t="str">
        <f t="shared" si="1"/>
        <v/>
      </c>
      <c r="P4657" s="52"/>
    </row>
    <row r="4658">
      <c r="F4658" s="116" t="str">
        <f t="shared" si="1"/>
        <v/>
      </c>
      <c r="P4658" s="52"/>
    </row>
    <row r="4659">
      <c r="F4659" s="116" t="str">
        <f t="shared" si="1"/>
        <v/>
      </c>
      <c r="P4659" s="52"/>
    </row>
    <row r="4660">
      <c r="F4660" s="116" t="str">
        <f t="shared" si="1"/>
        <v/>
      </c>
      <c r="P4660" s="52"/>
    </row>
    <row r="4661">
      <c r="F4661" s="116" t="str">
        <f t="shared" si="1"/>
        <v/>
      </c>
      <c r="P4661" s="52"/>
    </row>
    <row r="4662">
      <c r="F4662" s="116" t="str">
        <f t="shared" si="1"/>
        <v/>
      </c>
      <c r="P4662" s="52"/>
    </row>
    <row r="4663">
      <c r="F4663" s="116" t="str">
        <f t="shared" si="1"/>
        <v/>
      </c>
      <c r="P4663" s="52"/>
    </row>
    <row r="4664">
      <c r="F4664" s="116" t="str">
        <f t="shared" si="1"/>
        <v/>
      </c>
      <c r="P4664" s="52"/>
    </row>
    <row r="4665">
      <c r="F4665" s="116" t="str">
        <f t="shared" si="1"/>
        <v/>
      </c>
      <c r="P4665" s="52"/>
    </row>
    <row r="4666">
      <c r="F4666" s="116" t="str">
        <f t="shared" si="1"/>
        <v/>
      </c>
      <c r="P4666" s="52"/>
    </row>
    <row r="4667">
      <c r="F4667" s="116" t="str">
        <f t="shared" si="1"/>
        <v/>
      </c>
      <c r="P4667" s="52"/>
    </row>
    <row r="4668">
      <c r="F4668" s="116" t="str">
        <f t="shared" si="1"/>
        <v/>
      </c>
      <c r="P4668" s="52"/>
    </row>
    <row r="4669">
      <c r="F4669" s="116" t="str">
        <f t="shared" si="1"/>
        <v/>
      </c>
      <c r="P4669" s="52"/>
    </row>
    <row r="4670">
      <c r="F4670" s="116" t="str">
        <f t="shared" si="1"/>
        <v/>
      </c>
      <c r="P4670" s="52"/>
    </row>
    <row r="4671">
      <c r="F4671" s="116" t="str">
        <f t="shared" si="1"/>
        <v/>
      </c>
      <c r="P4671" s="52"/>
    </row>
    <row r="4672">
      <c r="F4672" s="116" t="str">
        <f t="shared" si="1"/>
        <v/>
      </c>
      <c r="P4672" s="52"/>
    </row>
    <row r="4673">
      <c r="F4673" s="116" t="str">
        <f t="shared" si="1"/>
        <v/>
      </c>
      <c r="P4673" s="52"/>
    </row>
    <row r="4674">
      <c r="F4674" s="116" t="str">
        <f t="shared" si="1"/>
        <v/>
      </c>
      <c r="P4674" s="52"/>
    </row>
    <row r="4675">
      <c r="F4675" s="116" t="str">
        <f t="shared" si="1"/>
        <v/>
      </c>
      <c r="P4675" s="52"/>
    </row>
    <row r="4676">
      <c r="F4676" s="116" t="str">
        <f t="shared" si="1"/>
        <v/>
      </c>
      <c r="P4676" s="52"/>
    </row>
    <row r="4677">
      <c r="F4677" s="116" t="str">
        <f t="shared" si="1"/>
        <v/>
      </c>
      <c r="P4677" s="52"/>
    </row>
    <row r="4678">
      <c r="F4678" s="116" t="str">
        <f t="shared" si="1"/>
        <v/>
      </c>
      <c r="P4678" s="52"/>
    </row>
    <row r="4679">
      <c r="F4679" s="116" t="str">
        <f t="shared" si="1"/>
        <v/>
      </c>
      <c r="P4679" s="52"/>
    </row>
    <row r="4680">
      <c r="F4680" s="116" t="str">
        <f t="shared" si="1"/>
        <v/>
      </c>
      <c r="P4680" s="52"/>
    </row>
    <row r="4681">
      <c r="F4681" s="116" t="str">
        <f t="shared" si="1"/>
        <v/>
      </c>
      <c r="P4681" s="52"/>
    </row>
    <row r="4682">
      <c r="F4682" s="116" t="str">
        <f t="shared" si="1"/>
        <v/>
      </c>
      <c r="P4682" s="52"/>
    </row>
    <row r="4683">
      <c r="F4683" s="116" t="str">
        <f t="shared" si="1"/>
        <v/>
      </c>
      <c r="P4683" s="52"/>
    </row>
    <row r="4684">
      <c r="F4684" s="116" t="str">
        <f t="shared" si="1"/>
        <v/>
      </c>
      <c r="P4684" s="52"/>
    </row>
    <row r="4685">
      <c r="F4685" s="116" t="str">
        <f t="shared" si="1"/>
        <v/>
      </c>
      <c r="P4685" s="52"/>
    </row>
    <row r="4686">
      <c r="F4686" s="116" t="str">
        <f t="shared" si="1"/>
        <v/>
      </c>
      <c r="P4686" s="52"/>
    </row>
    <row r="4687">
      <c r="F4687" s="116" t="str">
        <f t="shared" si="1"/>
        <v/>
      </c>
      <c r="P4687" s="52"/>
    </row>
    <row r="4688">
      <c r="F4688" s="116" t="str">
        <f t="shared" si="1"/>
        <v/>
      </c>
      <c r="P4688" s="52"/>
    </row>
    <row r="4689">
      <c r="F4689" s="116" t="str">
        <f t="shared" si="1"/>
        <v/>
      </c>
      <c r="P4689" s="52"/>
    </row>
    <row r="4690">
      <c r="F4690" s="116" t="str">
        <f t="shared" si="1"/>
        <v/>
      </c>
      <c r="P4690" s="52"/>
    </row>
    <row r="4691">
      <c r="F4691" s="116" t="str">
        <f t="shared" si="1"/>
        <v/>
      </c>
      <c r="P4691" s="52"/>
    </row>
    <row r="4692">
      <c r="F4692" s="116" t="str">
        <f t="shared" si="1"/>
        <v/>
      </c>
      <c r="P4692" s="52"/>
    </row>
    <row r="4693">
      <c r="F4693" s="116" t="str">
        <f t="shared" si="1"/>
        <v/>
      </c>
      <c r="P4693" s="52"/>
    </row>
    <row r="4694">
      <c r="F4694" s="116" t="str">
        <f t="shared" si="1"/>
        <v/>
      </c>
      <c r="P4694" s="52"/>
    </row>
    <row r="4695">
      <c r="F4695" s="116" t="str">
        <f t="shared" si="1"/>
        <v/>
      </c>
      <c r="P4695" s="52"/>
    </row>
    <row r="4696">
      <c r="F4696" s="116" t="str">
        <f t="shared" si="1"/>
        <v/>
      </c>
      <c r="P4696" s="52"/>
    </row>
    <row r="4697">
      <c r="F4697" s="116" t="str">
        <f t="shared" si="1"/>
        <v/>
      </c>
      <c r="P4697" s="52"/>
    </row>
    <row r="4698">
      <c r="F4698" s="116" t="str">
        <f t="shared" si="1"/>
        <v/>
      </c>
      <c r="P4698" s="52"/>
    </row>
    <row r="4699">
      <c r="F4699" s="116" t="str">
        <f t="shared" si="1"/>
        <v/>
      </c>
      <c r="P4699" s="52"/>
    </row>
    <row r="4700">
      <c r="F4700" s="116" t="str">
        <f t="shared" si="1"/>
        <v/>
      </c>
      <c r="P4700" s="52"/>
    </row>
    <row r="4701">
      <c r="F4701" s="116" t="str">
        <f t="shared" si="1"/>
        <v/>
      </c>
      <c r="P4701" s="52"/>
    </row>
    <row r="4702">
      <c r="F4702" s="116" t="str">
        <f t="shared" si="1"/>
        <v/>
      </c>
      <c r="P4702" s="52"/>
    </row>
    <row r="4703">
      <c r="F4703" s="116" t="str">
        <f t="shared" si="1"/>
        <v/>
      </c>
      <c r="P4703" s="52"/>
    </row>
    <row r="4704">
      <c r="F4704" s="116" t="str">
        <f t="shared" si="1"/>
        <v/>
      </c>
      <c r="P4704" s="52"/>
    </row>
    <row r="4705">
      <c r="F4705" s="116" t="str">
        <f t="shared" si="1"/>
        <v/>
      </c>
      <c r="P4705" s="52"/>
    </row>
    <row r="4706">
      <c r="F4706" s="116" t="str">
        <f t="shared" si="1"/>
        <v/>
      </c>
      <c r="P4706" s="52"/>
    </row>
    <row r="4707">
      <c r="F4707" s="116" t="str">
        <f t="shared" si="1"/>
        <v/>
      </c>
      <c r="P4707" s="52"/>
    </row>
    <row r="4708">
      <c r="F4708" s="116" t="str">
        <f t="shared" si="1"/>
        <v/>
      </c>
      <c r="P4708" s="52"/>
    </row>
    <row r="4709">
      <c r="F4709" s="116" t="str">
        <f t="shared" si="1"/>
        <v/>
      </c>
      <c r="P4709" s="52"/>
    </row>
    <row r="4710">
      <c r="F4710" s="116" t="str">
        <f t="shared" si="1"/>
        <v/>
      </c>
      <c r="P4710" s="52"/>
    </row>
    <row r="4711">
      <c r="F4711" s="116" t="str">
        <f t="shared" si="1"/>
        <v/>
      </c>
      <c r="P4711" s="52"/>
    </row>
    <row r="4712">
      <c r="F4712" s="116" t="str">
        <f t="shared" si="1"/>
        <v/>
      </c>
      <c r="P4712" s="52"/>
    </row>
    <row r="4713">
      <c r="F4713" s="116" t="str">
        <f t="shared" si="1"/>
        <v/>
      </c>
      <c r="P4713" s="52"/>
    </row>
    <row r="4714">
      <c r="F4714" s="116" t="str">
        <f t="shared" si="1"/>
        <v/>
      </c>
      <c r="P4714" s="52"/>
    </row>
    <row r="4715">
      <c r="F4715" s="116" t="str">
        <f t="shared" si="1"/>
        <v/>
      </c>
      <c r="P4715" s="52"/>
    </row>
    <row r="4716">
      <c r="F4716" s="116" t="str">
        <f t="shared" si="1"/>
        <v/>
      </c>
      <c r="P4716" s="52"/>
    </row>
    <row r="4717">
      <c r="F4717" s="116" t="str">
        <f t="shared" si="1"/>
        <v/>
      </c>
      <c r="P4717" s="52"/>
    </row>
    <row r="4718">
      <c r="F4718" s="116" t="str">
        <f t="shared" si="1"/>
        <v/>
      </c>
      <c r="P4718" s="52"/>
    </row>
    <row r="4719">
      <c r="F4719" s="116" t="str">
        <f t="shared" si="1"/>
        <v/>
      </c>
      <c r="P4719" s="52"/>
    </row>
    <row r="4720">
      <c r="F4720" s="116" t="str">
        <f t="shared" si="1"/>
        <v/>
      </c>
      <c r="P4720" s="52"/>
    </row>
    <row r="4721">
      <c r="F4721" s="116" t="str">
        <f t="shared" si="1"/>
        <v/>
      </c>
      <c r="P4721" s="52"/>
    </row>
    <row r="4722">
      <c r="F4722" s="116" t="str">
        <f t="shared" si="1"/>
        <v/>
      </c>
      <c r="P4722" s="52"/>
    </row>
    <row r="4723">
      <c r="F4723" s="116" t="str">
        <f t="shared" si="1"/>
        <v/>
      </c>
      <c r="P4723" s="52"/>
    </row>
    <row r="4724">
      <c r="F4724" s="116" t="str">
        <f t="shared" si="1"/>
        <v/>
      </c>
      <c r="P4724" s="52"/>
    </row>
    <row r="4725">
      <c r="F4725" s="116" t="str">
        <f t="shared" si="1"/>
        <v/>
      </c>
      <c r="P4725" s="52"/>
    </row>
    <row r="4726">
      <c r="F4726" s="116" t="str">
        <f t="shared" si="1"/>
        <v/>
      </c>
      <c r="P4726" s="52"/>
    </row>
    <row r="4727">
      <c r="F4727" s="116" t="str">
        <f t="shared" si="1"/>
        <v/>
      </c>
      <c r="P4727" s="52"/>
    </row>
    <row r="4728">
      <c r="F4728" s="116" t="str">
        <f t="shared" si="1"/>
        <v/>
      </c>
      <c r="P4728" s="52"/>
    </row>
    <row r="4729">
      <c r="F4729" s="116" t="str">
        <f t="shared" si="1"/>
        <v/>
      </c>
      <c r="P4729" s="52"/>
    </row>
    <row r="4730">
      <c r="F4730" s="116" t="str">
        <f t="shared" si="1"/>
        <v/>
      </c>
      <c r="P4730" s="52"/>
    </row>
    <row r="4731">
      <c r="F4731" s="116" t="str">
        <f t="shared" si="1"/>
        <v/>
      </c>
      <c r="P4731" s="52"/>
    </row>
    <row r="4732">
      <c r="F4732" s="116" t="str">
        <f t="shared" si="1"/>
        <v/>
      </c>
      <c r="P4732" s="52"/>
    </row>
    <row r="4733">
      <c r="F4733" s="116" t="str">
        <f t="shared" si="1"/>
        <v/>
      </c>
      <c r="P4733" s="52"/>
    </row>
    <row r="4734">
      <c r="F4734" s="116" t="str">
        <f t="shared" si="1"/>
        <v/>
      </c>
      <c r="P4734" s="52"/>
    </row>
    <row r="4735">
      <c r="F4735" s="116" t="str">
        <f t="shared" si="1"/>
        <v/>
      </c>
      <c r="P4735" s="52"/>
    </row>
    <row r="4736">
      <c r="F4736" s="116" t="str">
        <f t="shared" si="1"/>
        <v/>
      </c>
      <c r="P4736" s="52"/>
    </row>
    <row r="4737">
      <c r="F4737" s="116" t="str">
        <f t="shared" si="1"/>
        <v/>
      </c>
      <c r="P4737" s="52"/>
    </row>
    <row r="4738">
      <c r="F4738" s="116" t="str">
        <f t="shared" si="1"/>
        <v/>
      </c>
      <c r="P4738" s="52"/>
    </row>
    <row r="4739">
      <c r="F4739" s="116" t="str">
        <f t="shared" si="1"/>
        <v/>
      </c>
      <c r="P4739" s="52"/>
    </row>
    <row r="4740">
      <c r="F4740" s="116" t="str">
        <f t="shared" si="1"/>
        <v/>
      </c>
      <c r="P4740" s="52"/>
    </row>
    <row r="4741">
      <c r="F4741" s="116" t="str">
        <f t="shared" si="1"/>
        <v/>
      </c>
      <c r="P4741" s="52"/>
    </row>
    <row r="4742">
      <c r="F4742" s="116" t="str">
        <f t="shared" si="1"/>
        <v/>
      </c>
      <c r="P4742" s="52"/>
    </row>
    <row r="4743">
      <c r="F4743" s="116" t="str">
        <f t="shared" si="1"/>
        <v/>
      </c>
      <c r="P4743" s="52"/>
    </row>
    <row r="4744">
      <c r="F4744" s="116" t="str">
        <f t="shared" si="1"/>
        <v/>
      </c>
      <c r="P4744" s="52"/>
    </row>
    <row r="4745">
      <c r="F4745" s="116" t="str">
        <f t="shared" si="1"/>
        <v/>
      </c>
      <c r="P4745" s="52"/>
    </row>
    <row r="4746">
      <c r="F4746" s="116" t="str">
        <f t="shared" si="1"/>
        <v/>
      </c>
      <c r="P4746" s="52"/>
    </row>
    <row r="4747">
      <c r="F4747" s="116" t="str">
        <f t="shared" si="1"/>
        <v/>
      </c>
      <c r="P4747" s="52"/>
    </row>
    <row r="4748">
      <c r="F4748" s="116" t="str">
        <f t="shared" si="1"/>
        <v/>
      </c>
      <c r="P4748" s="52"/>
    </row>
    <row r="4749">
      <c r="F4749" s="116" t="str">
        <f t="shared" si="1"/>
        <v/>
      </c>
      <c r="P4749" s="52"/>
    </row>
    <row r="4750">
      <c r="F4750" s="116" t="str">
        <f t="shared" si="1"/>
        <v/>
      </c>
      <c r="P4750" s="52"/>
    </row>
    <row r="4751">
      <c r="F4751" s="116" t="str">
        <f t="shared" si="1"/>
        <v/>
      </c>
      <c r="P4751" s="52"/>
    </row>
    <row r="4752">
      <c r="F4752" s="116" t="str">
        <f t="shared" si="1"/>
        <v/>
      </c>
      <c r="P4752" s="52"/>
    </row>
    <row r="4753">
      <c r="F4753" s="116" t="str">
        <f t="shared" si="1"/>
        <v/>
      </c>
      <c r="P4753" s="52"/>
    </row>
    <row r="4754">
      <c r="F4754" s="116" t="str">
        <f t="shared" si="1"/>
        <v/>
      </c>
      <c r="P4754" s="52"/>
    </row>
    <row r="4755">
      <c r="F4755" s="116" t="str">
        <f t="shared" si="1"/>
        <v/>
      </c>
      <c r="P4755" s="52"/>
    </row>
    <row r="4756">
      <c r="F4756" s="116" t="str">
        <f t="shared" si="1"/>
        <v/>
      </c>
      <c r="P4756" s="52"/>
    </row>
    <row r="4757">
      <c r="F4757" s="116" t="str">
        <f t="shared" si="1"/>
        <v/>
      </c>
      <c r="P4757" s="52"/>
    </row>
    <row r="4758">
      <c r="F4758" s="116" t="str">
        <f t="shared" si="1"/>
        <v/>
      </c>
      <c r="P4758" s="52"/>
    </row>
    <row r="4759">
      <c r="F4759" s="116" t="str">
        <f t="shared" si="1"/>
        <v/>
      </c>
      <c r="P4759" s="52"/>
    </row>
    <row r="4760">
      <c r="F4760" s="116" t="str">
        <f t="shared" si="1"/>
        <v/>
      </c>
      <c r="P4760" s="52"/>
    </row>
    <row r="4761">
      <c r="F4761" s="116" t="str">
        <f t="shared" si="1"/>
        <v/>
      </c>
      <c r="P4761" s="52"/>
    </row>
    <row r="4762">
      <c r="F4762" s="116" t="str">
        <f t="shared" si="1"/>
        <v/>
      </c>
      <c r="P4762" s="52"/>
    </row>
    <row r="4763">
      <c r="F4763" s="116" t="str">
        <f t="shared" si="1"/>
        <v/>
      </c>
      <c r="P4763" s="52"/>
    </row>
    <row r="4764">
      <c r="F4764" s="116" t="str">
        <f t="shared" si="1"/>
        <v/>
      </c>
      <c r="P4764" s="52"/>
    </row>
    <row r="4765">
      <c r="F4765" s="116" t="str">
        <f t="shared" si="1"/>
        <v/>
      </c>
      <c r="P4765" s="52"/>
    </row>
    <row r="4766">
      <c r="F4766" s="116" t="str">
        <f t="shared" si="1"/>
        <v/>
      </c>
      <c r="P4766" s="52"/>
    </row>
    <row r="4767">
      <c r="F4767" s="116" t="str">
        <f t="shared" si="1"/>
        <v/>
      </c>
      <c r="P4767" s="52"/>
    </row>
    <row r="4768">
      <c r="F4768" s="116" t="str">
        <f t="shared" si="1"/>
        <v/>
      </c>
      <c r="P4768" s="52"/>
    </row>
    <row r="4769">
      <c r="F4769" s="116" t="str">
        <f t="shared" si="1"/>
        <v/>
      </c>
      <c r="P4769" s="52"/>
    </row>
    <row r="4770">
      <c r="F4770" s="116" t="str">
        <f t="shared" si="1"/>
        <v/>
      </c>
      <c r="P4770" s="52"/>
    </row>
    <row r="4771">
      <c r="F4771" s="116" t="str">
        <f t="shared" si="1"/>
        <v/>
      </c>
      <c r="P4771" s="52"/>
    </row>
    <row r="4772">
      <c r="F4772" s="116" t="str">
        <f t="shared" si="1"/>
        <v/>
      </c>
      <c r="P4772" s="52"/>
    </row>
    <row r="4773">
      <c r="F4773" s="116" t="str">
        <f t="shared" si="1"/>
        <v/>
      </c>
      <c r="P4773" s="52"/>
    </row>
    <row r="4774">
      <c r="F4774" s="116" t="str">
        <f t="shared" si="1"/>
        <v/>
      </c>
      <c r="P4774" s="52"/>
    </row>
    <row r="4775">
      <c r="F4775" s="116" t="str">
        <f t="shared" si="1"/>
        <v/>
      </c>
      <c r="P4775" s="52"/>
    </row>
    <row r="4776">
      <c r="F4776" s="116" t="str">
        <f t="shared" si="1"/>
        <v/>
      </c>
      <c r="P4776" s="52"/>
    </row>
    <row r="4777">
      <c r="F4777" s="116" t="str">
        <f t="shared" si="1"/>
        <v/>
      </c>
      <c r="P4777" s="52"/>
    </row>
    <row r="4778">
      <c r="F4778" s="116" t="str">
        <f t="shared" si="1"/>
        <v/>
      </c>
      <c r="P4778" s="52"/>
    </row>
    <row r="4779">
      <c r="F4779" s="116" t="str">
        <f t="shared" si="1"/>
        <v/>
      </c>
      <c r="P4779" s="52"/>
    </row>
    <row r="4780">
      <c r="F4780" s="116" t="str">
        <f t="shared" si="1"/>
        <v/>
      </c>
      <c r="P4780" s="52"/>
    </row>
    <row r="4781">
      <c r="F4781" s="116" t="str">
        <f t="shared" si="1"/>
        <v/>
      </c>
      <c r="P4781" s="52"/>
    </row>
    <row r="4782">
      <c r="F4782" s="116" t="str">
        <f t="shared" si="1"/>
        <v/>
      </c>
      <c r="P4782" s="52"/>
    </row>
    <row r="4783">
      <c r="F4783" s="116" t="str">
        <f t="shared" si="1"/>
        <v/>
      </c>
      <c r="P4783" s="52"/>
    </row>
    <row r="4784">
      <c r="F4784" s="116" t="str">
        <f t="shared" si="1"/>
        <v/>
      </c>
      <c r="P4784" s="52"/>
    </row>
    <row r="4785">
      <c r="F4785" s="116" t="str">
        <f t="shared" si="1"/>
        <v/>
      </c>
      <c r="P4785" s="52"/>
    </row>
    <row r="4786">
      <c r="F4786" s="116" t="str">
        <f t="shared" si="1"/>
        <v/>
      </c>
      <c r="P4786" s="52"/>
    </row>
    <row r="4787">
      <c r="F4787" s="116" t="str">
        <f t="shared" si="1"/>
        <v/>
      </c>
      <c r="P4787" s="52"/>
    </row>
    <row r="4788">
      <c r="F4788" s="116" t="str">
        <f t="shared" si="1"/>
        <v/>
      </c>
      <c r="P4788" s="52"/>
    </row>
    <row r="4789">
      <c r="F4789" s="116" t="str">
        <f t="shared" si="1"/>
        <v/>
      </c>
      <c r="P4789" s="52"/>
    </row>
    <row r="4790">
      <c r="F4790" s="116" t="str">
        <f t="shared" si="1"/>
        <v/>
      </c>
      <c r="P4790" s="52"/>
    </row>
    <row r="4791">
      <c r="F4791" s="116" t="str">
        <f t="shared" si="1"/>
        <v/>
      </c>
      <c r="P4791" s="52"/>
    </row>
    <row r="4792">
      <c r="F4792" s="116" t="str">
        <f t="shared" si="1"/>
        <v/>
      </c>
      <c r="P4792" s="52"/>
    </row>
    <row r="4793">
      <c r="F4793" s="116" t="str">
        <f t="shared" si="1"/>
        <v/>
      </c>
      <c r="P4793" s="52"/>
    </row>
    <row r="4794">
      <c r="F4794" s="116" t="str">
        <f t="shared" si="1"/>
        <v/>
      </c>
      <c r="P4794" s="52"/>
    </row>
    <row r="4795">
      <c r="F4795" s="116" t="str">
        <f t="shared" si="1"/>
        <v/>
      </c>
      <c r="P4795" s="52"/>
    </row>
    <row r="4796">
      <c r="F4796" s="116" t="str">
        <f t="shared" si="1"/>
        <v/>
      </c>
      <c r="P4796" s="52"/>
    </row>
    <row r="4797">
      <c r="F4797" s="116" t="str">
        <f t="shared" si="1"/>
        <v/>
      </c>
      <c r="P4797" s="52"/>
    </row>
    <row r="4798">
      <c r="F4798" s="116" t="str">
        <f t="shared" si="1"/>
        <v/>
      </c>
      <c r="P4798" s="52"/>
    </row>
    <row r="4799">
      <c r="F4799" s="116" t="str">
        <f t="shared" si="1"/>
        <v/>
      </c>
      <c r="P4799" s="52"/>
    </row>
    <row r="4800">
      <c r="F4800" s="116" t="str">
        <f t="shared" si="1"/>
        <v/>
      </c>
      <c r="P4800" s="52"/>
    </row>
    <row r="4801">
      <c r="F4801" s="116" t="str">
        <f t="shared" si="1"/>
        <v/>
      </c>
      <c r="P4801" s="52"/>
    </row>
    <row r="4802">
      <c r="F4802" s="116" t="str">
        <f t="shared" si="1"/>
        <v/>
      </c>
      <c r="P4802" s="52"/>
    </row>
    <row r="4803">
      <c r="F4803" s="116" t="str">
        <f t="shared" si="1"/>
        <v/>
      </c>
      <c r="P4803" s="52"/>
    </row>
    <row r="4804">
      <c r="F4804" s="116" t="str">
        <f t="shared" si="1"/>
        <v/>
      </c>
      <c r="P4804" s="52"/>
    </row>
    <row r="4805">
      <c r="F4805" s="116" t="str">
        <f t="shared" si="1"/>
        <v/>
      </c>
      <c r="P4805" s="52"/>
    </row>
    <row r="4806">
      <c r="F4806" s="116" t="str">
        <f t="shared" si="1"/>
        <v/>
      </c>
      <c r="P4806" s="52"/>
    </row>
    <row r="4807">
      <c r="F4807" s="116" t="str">
        <f t="shared" si="1"/>
        <v/>
      </c>
      <c r="P4807" s="52"/>
    </row>
    <row r="4808">
      <c r="F4808" s="116" t="str">
        <f t="shared" si="1"/>
        <v/>
      </c>
      <c r="P4808" s="52"/>
    </row>
    <row r="4809">
      <c r="F4809" s="116" t="str">
        <f t="shared" si="1"/>
        <v/>
      </c>
      <c r="P4809" s="52"/>
    </row>
    <row r="4810">
      <c r="F4810" s="116" t="str">
        <f t="shared" si="1"/>
        <v/>
      </c>
      <c r="P4810" s="52"/>
    </row>
    <row r="4811">
      <c r="F4811" s="116" t="str">
        <f t="shared" si="1"/>
        <v/>
      </c>
      <c r="P4811" s="52"/>
    </row>
    <row r="4812">
      <c r="F4812" s="116" t="str">
        <f t="shared" si="1"/>
        <v/>
      </c>
      <c r="P4812" s="52"/>
    </row>
    <row r="4813">
      <c r="F4813" s="116" t="str">
        <f t="shared" si="1"/>
        <v/>
      </c>
      <c r="P4813" s="52"/>
    </row>
    <row r="4814">
      <c r="F4814" s="116" t="str">
        <f t="shared" si="1"/>
        <v/>
      </c>
      <c r="P4814" s="52"/>
    </row>
    <row r="4815">
      <c r="F4815" s="116" t="str">
        <f t="shared" si="1"/>
        <v/>
      </c>
      <c r="P4815" s="52"/>
    </row>
    <row r="4816">
      <c r="F4816" s="116" t="str">
        <f t="shared" si="1"/>
        <v/>
      </c>
      <c r="P4816" s="52"/>
    </row>
    <row r="4817">
      <c r="F4817" s="116" t="str">
        <f t="shared" si="1"/>
        <v/>
      </c>
      <c r="P4817" s="52"/>
    </row>
    <row r="4818">
      <c r="F4818" s="116" t="str">
        <f t="shared" si="1"/>
        <v/>
      </c>
      <c r="P4818" s="52"/>
    </row>
    <row r="4819">
      <c r="F4819" s="116" t="str">
        <f t="shared" si="1"/>
        <v/>
      </c>
      <c r="P4819" s="52"/>
    </row>
    <row r="4820">
      <c r="F4820" s="116" t="str">
        <f t="shared" si="1"/>
        <v/>
      </c>
      <c r="P4820" s="52"/>
    </row>
    <row r="4821">
      <c r="F4821" s="116" t="str">
        <f t="shared" si="1"/>
        <v/>
      </c>
      <c r="P4821" s="52"/>
    </row>
    <row r="4822">
      <c r="F4822" s="116" t="str">
        <f t="shared" si="1"/>
        <v/>
      </c>
      <c r="P4822" s="52"/>
    </row>
    <row r="4823">
      <c r="F4823" s="116" t="str">
        <f t="shared" si="1"/>
        <v/>
      </c>
      <c r="P4823" s="52"/>
    </row>
    <row r="4824">
      <c r="F4824" s="116" t="str">
        <f t="shared" si="1"/>
        <v/>
      </c>
      <c r="P4824" s="52"/>
    </row>
    <row r="4825">
      <c r="F4825" s="116" t="str">
        <f t="shared" si="1"/>
        <v/>
      </c>
      <c r="P4825" s="52"/>
    </row>
    <row r="4826">
      <c r="F4826" s="116" t="str">
        <f t="shared" si="1"/>
        <v/>
      </c>
      <c r="P4826" s="52"/>
    </row>
    <row r="4827">
      <c r="F4827" s="116" t="str">
        <f t="shared" si="1"/>
        <v/>
      </c>
      <c r="P4827" s="52"/>
    </row>
    <row r="4828">
      <c r="F4828" s="116" t="str">
        <f t="shared" si="1"/>
        <v/>
      </c>
      <c r="P4828" s="52"/>
    </row>
    <row r="4829">
      <c r="F4829" s="116" t="str">
        <f t="shared" si="1"/>
        <v/>
      </c>
      <c r="P4829" s="52"/>
    </row>
    <row r="4830">
      <c r="F4830" s="116" t="str">
        <f t="shared" si="1"/>
        <v/>
      </c>
      <c r="P4830" s="52"/>
    </row>
    <row r="4831">
      <c r="F4831" s="116" t="str">
        <f t="shared" si="1"/>
        <v/>
      </c>
      <c r="P4831" s="52"/>
    </row>
    <row r="4832">
      <c r="F4832" s="116" t="str">
        <f t="shared" si="1"/>
        <v/>
      </c>
      <c r="P4832" s="52"/>
    </row>
    <row r="4833">
      <c r="F4833" s="116" t="str">
        <f t="shared" si="1"/>
        <v/>
      </c>
      <c r="P4833" s="52"/>
    </row>
    <row r="4834">
      <c r="F4834" s="116" t="str">
        <f t="shared" si="1"/>
        <v/>
      </c>
      <c r="P4834" s="52"/>
    </row>
    <row r="4835">
      <c r="F4835" s="116" t="str">
        <f t="shared" si="1"/>
        <v/>
      </c>
      <c r="P4835" s="52"/>
    </row>
    <row r="4836">
      <c r="F4836" s="116" t="str">
        <f t="shared" si="1"/>
        <v/>
      </c>
      <c r="P4836" s="52"/>
    </row>
    <row r="4837">
      <c r="F4837" s="116" t="str">
        <f t="shared" si="1"/>
        <v/>
      </c>
      <c r="P4837" s="52"/>
    </row>
    <row r="4838">
      <c r="F4838" s="116" t="str">
        <f t="shared" si="1"/>
        <v/>
      </c>
      <c r="P4838" s="52"/>
    </row>
    <row r="4839">
      <c r="F4839" s="116" t="str">
        <f t="shared" si="1"/>
        <v/>
      </c>
      <c r="P4839" s="52"/>
    </row>
    <row r="4840">
      <c r="F4840" s="116" t="str">
        <f t="shared" si="1"/>
        <v/>
      </c>
      <c r="P4840" s="52"/>
    </row>
    <row r="4841">
      <c r="F4841" s="116" t="str">
        <f t="shared" si="1"/>
        <v/>
      </c>
      <c r="P4841" s="52"/>
    </row>
    <row r="4842">
      <c r="F4842" s="116" t="str">
        <f t="shared" si="1"/>
        <v/>
      </c>
      <c r="P4842" s="52"/>
    </row>
    <row r="4843">
      <c r="F4843" s="116" t="str">
        <f t="shared" si="1"/>
        <v/>
      </c>
      <c r="P4843" s="52"/>
    </row>
    <row r="4844">
      <c r="F4844" s="116" t="str">
        <f t="shared" si="1"/>
        <v/>
      </c>
      <c r="P4844" s="52"/>
    </row>
    <row r="4845">
      <c r="F4845" s="116" t="str">
        <f t="shared" si="1"/>
        <v/>
      </c>
      <c r="P4845" s="52"/>
    </row>
    <row r="4846">
      <c r="F4846" s="116" t="str">
        <f t="shared" si="1"/>
        <v/>
      </c>
      <c r="P4846" s="52"/>
    </row>
    <row r="4847">
      <c r="F4847" s="116" t="str">
        <f t="shared" si="1"/>
        <v/>
      </c>
      <c r="P4847" s="52"/>
    </row>
    <row r="4848">
      <c r="F4848" s="116" t="str">
        <f t="shared" si="1"/>
        <v/>
      </c>
      <c r="P4848" s="52"/>
    </row>
    <row r="4849">
      <c r="F4849" s="116" t="str">
        <f t="shared" si="1"/>
        <v/>
      </c>
      <c r="P4849" s="52"/>
    </row>
    <row r="4850">
      <c r="F4850" s="116" t="str">
        <f t="shared" si="1"/>
        <v/>
      </c>
      <c r="P4850" s="52"/>
    </row>
    <row r="4851">
      <c r="F4851" s="116" t="str">
        <f t="shared" si="1"/>
        <v/>
      </c>
      <c r="P4851" s="52"/>
    </row>
    <row r="4852">
      <c r="F4852" s="116" t="str">
        <f t="shared" si="1"/>
        <v/>
      </c>
      <c r="P4852" s="52"/>
    </row>
    <row r="4853">
      <c r="F4853" s="116" t="str">
        <f t="shared" si="1"/>
        <v/>
      </c>
      <c r="P4853" s="52"/>
    </row>
    <row r="4854">
      <c r="F4854" s="116" t="str">
        <f t="shared" si="1"/>
        <v/>
      </c>
      <c r="P4854" s="52"/>
    </row>
    <row r="4855">
      <c r="F4855" s="116" t="str">
        <f t="shared" si="1"/>
        <v/>
      </c>
      <c r="P4855" s="52"/>
    </row>
    <row r="4856">
      <c r="F4856" s="116" t="str">
        <f t="shared" si="1"/>
        <v/>
      </c>
      <c r="P4856" s="52"/>
    </row>
    <row r="4857">
      <c r="F4857" s="116" t="str">
        <f t="shared" si="1"/>
        <v/>
      </c>
      <c r="P4857" s="52"/>
    </row>
    <row r="4858">
      <c r="F4858" s="116" t="str">
        <f t="shared" si="1"/>
        <v/>
      </c>
      <c r="P4858" s="52"/>
    </row>
    <row r="4859">
      <c r="F4859" s="116" t="str">
        <f t="shared" si="1"/>
        <v/>
      </c>
      <c r="P4859" s="52"/>
    </row>
    <row r="4860">
      <c r="F4860" s="116" t="str">
        <f t="shared" si="1"/>
        <v/>
      </c>
      <c r="P4860" s="52"/>
    </row>
    <row r="4861">
      <c r="F4861" s="116" t="str">
        <f t="shared" si="1"/>
        <v/>
      </c>
      <c r="P4861" s="52"/>
    </row>
    <row r="4862">
      <c r="F4862" s="116" t="str">
        <f t="shared" si="1"/>
        <v/>
      </c>
      <c r="P4862" s="52"/>
    </row>
    <row r="4863">
      <c r="F4863" s="116" t="str">
        <f t="shared" si="1"/>
        <v/>
      </c>
      <c r="P4863" s="52"/>
    </row>
    <row r="4864">
      <c r="F4864" s="116" t="str">
        <f t="shared" si="1"/>
        <v/>
      </c>
      <c r="P4864" s="52"/>
    </row>
    <row r="4865">
      <c r="F4865" s="116" t="str">
        <f t="shared" si="1"/>
        <v/>
      </c>
      <c r="P4865" s="52"/>
    </row>
    <row r="4866">
      <c r="F4866" s="116" t="str">
        <f t="shared" si="1"/>
        <v/>
      </c>
      <c r="P4866" s="52"/>
    </row>
    <row r="4867">
      <c r="F4867" s="116" t="str">
        <f t="shared" si="1"/>
        <v/>
      </c>
      <c r="P4867" s="52"/>
    </row>
    <row r="4868">
      <c r="F4868" s="116" t="str">
        <f t="shared" si="1"/>
        <v/>
      </c>
      <c r="P4868" s="52"/>
    </row>
    <row r="4869">
      <c r="F4869" s="116" t="str">
        <f t="shared" si="1"/>
        <v/>
      </c>
      <c r="P4869" s="52"/>
    </row>
    <row r="4870">
      <c r="F4870" s="116" t="str">
        <f t="shared" si="1"/>
        <v/>
      </c>
      <c r="P4870" s="52"/>
    </row>
    <row r="4871">
      <c r="F4871" s="116" t="str">
        <f t="shared" si="1"/>
        <v/>
      </c>
      <c r="P4871" s="52"/>
    </row>
    <row r="4872">
      <c r="F4872" s="116" t="str">
        <f t="shared" si="1"/>
        <v/>
      </c>
      <c r="P4872" s="52"/>
    </row>
    <row r="4873">
      <c r="F4873" s="116" t="str">
        <f t="shared" si="1"/>
        <v/>
      </c>
      <c r="P4873" s="52"/>
    </row>
    <row r="4874">
      <c r="F4874" s="116" t="str">
        <f t="shared" si="1"/>
        <v/>
      </c>
      <c r="P4874" s="52"/>
    </row>
    <row r="4875">
      <c r="F4875" s="116" t="str">
        <f t="shared" si="1"/>
        <v/>
      </c>
      <c r="P4875" s="52"/>
    </row>
    <row r="4876">
      <c r="F4876" s="116" t="str">
        <f t="shared" si="1"/>
        <v/>
      </c>
      <c r="P4876" s="52"/>
    </row>
    <row r="4877">
      <c r="F4877" s="116" t="str">
        <f t="shared" si="1"/>
        <v/>
      </c>
      <c r="P4877" s="52"/>
    </row>
    <row r="4878">
      <c r="F4878" s="116" t="str">
        <f t="shared" si="1"/>
        <v/>
      </c>
      <c r="P4878" s="52"/>
    </row>
    <row r="4879">
      <c r="F4879" s="116" t="str">
        <f t="shared" si="1"/>
        <v/>
      </c>
      <c r="P4879" s="52"/>
    </row>
    <row r="4880">
      <c r="F4880" s="116" t="str">
        <f t="shared" si="1"/>
        <v/>
      </c>
      <c r="P4880" s="52"/>
    </row>
    <row r="4881">
      <c r="F4881" s="116" t="str">
        <f t="shared" si="1"/>
        <v/>
      </c>
      <c r="P4881" s="52"/>
    </row>
    <row r="4882">
      <c r="F4882" s="116" t="str">
        <f t="shared" si="1"/>
        <v/>
      </c>
      <c r="P4882" s="52"/>
    </row>
    <row r="4883">
      <c r="F4883" s="116" t="str">
        <f t="shared" si="1"/>
        <v/>
      </c>
      <c r="P4883" s="52"/>
    </row>
    <row r="4884">
      <c r="F4884" s="116" t="str">
        <f t="shared" si="1"/>
        <v/>
      </c>
      <c r="P4884" s="52"/>
    </row>
    <row r="4885">
      <c r="F4885" s="116" t="str">
        <f t="shared" si="1"/>
        <v/>
      </c>
      <c r="P4885" s="52"/>
    </row>
    <row r="4886">
      <c r="F4886" s="116" t="str">
        <f t="shared" si="1"/>
        <v/>
      </c>
      <c r="P4886" s="52"/>
    </row>
    <row r="4887">
      <c r="F4887" s="116" t="str">
        <f t="shared" si="1"/>
        <v/>
      </c>
      <c r="P4887" s="52"/>
    </row>
    <row r="4888">
      <c r="F4888" s="116" t="str">
        <f t="shared" si="1"/>
        <v/>
      </c>
      <c r="P4888" s="52"/>
    </row>
    <row r="4889">
      <c r="F4889" s="116" t="str">
        <f t="shared" si="1"/>
        <v/>
      </c>
      <c r="P4889" s="52"/>
    </row>
    <row r="4890">
      <c r="F4890" s="116" t="str">
        <f t="shared" si="1"/>
        <v/>
      </c>
      <c r="P4890" s="52"/>
    </row>
    <row r="4891">
      <c r="F4891" s="116" t="str">
        <f t="shared" si="1"/>
        <v/>
      </c>
      <c r="P4891" s="52"/>
    </row>
    <row r="4892">
      <c r="F4892" s="116" t="str">
        <f t="shared" si="1"/>
        <v/>
      </c>
      <c r="P4892" s="52"/>
    </row>
    <row r="4893">
      <c r="F4893" s="116" t="str">
        <f t="shared" si="1"/>
        <v/>
      </c>
      <c r="P4893" s="52"/>
    </row>
    <row r="4894">
      <c r="F4894" s="116" t="str">
        <f t="shared" si="1"/>
        <v/>
      </c>
      <c r="P4894" s="52"/>
    </row>
    <row r="4895">
      <c r="F4895" s="116" t="str">
        <f t="shared" si="1"/>
        <v/>
      </c>
      <c r="P4895" s="52"/>
    </row>
    <row r="4896">
      <c r="F4896" s="116" t="str">
        <f t="shared" si="1"/>
        <v/>
      </c>
      <c r="P4896" s="52"/>
    </row>
    <row r="4897">
      <c r="F4897" s="116" t="str">
        <f t="shared" si="1"/>
        <v/>
      </c>
      <c r="P4897" s="52"/>
    </row>
    <row r="4898">
      <c r="F4898" s="116" t="str">
        <f t="shared" si="1"/>
        <v/>
      </c>
      <c r="P4898" s="52"/>
    </row>
    <row r="4899">
      <c r="F4899" s="116" t="str">
        <f t="shared" si="1"/>
        <v/>
      </c>
      <c r="P4899" s="52"/>
    </row>
    <row r="4900">
      <c r="F4900" s="116" t="str">
        <f t="shared" si="1"/>
        <v/>
      </c>
      <c r="P4900" s="52"/>
    </row>
    <row r="4901">
      <c r="F4901" s="116" t="str">
        <f t="shared" si="1"/>
        <v/>
      </c>
      <c r="P4901" s="52"/>
    </row>
    <row r="4902">
      <c r="F4902" s="116" t="str">
        <f t="shared" si="1"/>
        <v/>
      </c>
      <c r="P4902" s="52"/>
    </row>
    <row r="4903">
      <c r="F4903" s="116" t="str">
        <f t="shared" si="1"/>
        <v/>
      </c>
      <c r="P4903" s="52"/>
    </row>
    <row r="4904">
      <c r="F4904" s="116" t="str">
        <f t="shared" si="1"/>
        <v/>
      </c>
      <c r="P4904" s="52"/>
    </row>
    <row r="4905">
      <c r="F4905" s="116" t="str">
        <f t="shared" si="1"/>
        <v/>
      </c>
      <c r="P4905" s="52"/>
    </row>
    <row r="4906">
      <c r="F4906" s="116" t="str">
        <f t="shared" si="1"/>
        <v/>
      </c>
      <c r="P4906" s="52"/>
    </row>
    <row r="4907">
      <c r="F4907" s="116" t="str">
        <f t="shared" si="1"/>
        <v/>
      </c>
      <c r="P4907" s="52"/>
    </row>
    <row r="4908">
      <c r="F4908" s="116" t="str">
        <f t="shared" si="1"/>
        <v/>
      </c>
      <c r="P4908" s="52"/>
    </row>
    <row r="4909">
      <c r="F4909" s="116" t="str">
        <f t="shared" si="1"/>
        <v/>
      </c>
      <c r="P4909" s="52"/>
    </row>
    <row r="4910">
      <c r="F4910" s="116" t="str">
        <f t="shared" si="1"/>
        <v/>
      </c>
      <c r="P4910" s="52"/>
    </row>
    <row r="4911">
      <c r="F4911" s="116" t="str">
        <f t="shared" si="1"/>
        <v/>
      </c>
      <c r="P4911" s="52"/>
    </row>
    <row r="4912">
      <c r="F4912" s="116" t="str">
        <f t="shared" si="1"/>
        <v/>
      </c>
      <c r="P4912" s="52"/>
    </row>
    <row r="4913">
      <c r="F4913" s="116" t="str">
        <f t="shared" si="1"/>
        <v/>
      </c>
      <c r="P4913" s="52"/>
    </row>
    <row r="4914">
      <c r="F4914" s="116" t="str">
        <f t="shared" si="1"/>
        <v/>
      </c>
      <c r="P4914" s="52"/>
    </row>
    <row r="4915">
      <c r="F4915" s="116" t="str">
        <f t="shared" si="1"/>
        <v/>
      </c>
      <c r="P4915" s="52"/>
    </row>
    <row r="4916">
      <c r="F4916" s="116" t="str">
        <f t="shared" si="1"/>
        <v/>
      </c>
      <c r="P4916" s="52"/>
    </row>
    <row r="4917">
      <c r="F4917" s="116" t="str">
        <f t="shared" si="1"/>
        <v/>
      </c>
      <c r="P4917" s="52"/>
    </row>
    <row r="4918">
      <c r="F4918" s="116" t="str">
        <f t="shared" si="1"/>
        <v/>
      </c>
      <c r="P4918" s="52"/>
    </row>
    <row r="4919">
      <c r="F4919" s="116" t="str">
        <f t="shared" si="1"/>
        <v/>
      </c>
      <c r="P4919" s="52"/>
    </row>
    <row r="4920">
      <c r="F4920" s="116" t="str">
        <f t="shared" si="1"/>
        <v/>
      </c>
      <c r="P4920" s="52"/>
    </row>
    <row r="4921">
      <c r="F4921" s="116" t="str">
        <f t="shared" si="1"/>
        <v/>
      </c>
      <c r="P4921" s="52"/>
    </row>
    <row r="4922">
      <c r="F4922" s="116" t="str">
        <f t="shared" si="1"/>
        <v/>
      </c>
      <c r="P4922" s="52"/>
    </row>
    <row r="4923">
      <c r="F4923" s="116" t="str">
        <f t="shared" si="1"/>
        <v/>
      </c>
      <c r="P4923" s="52"/>
    </row>
    <row r="4924">
      <c r="F4924" s="116" t="str">
        <f t="shared" si="1"/>
        <v/>
      </c>
      <c r="P4924" s="52"/>
    </row>
    <row r="4925">
      <c r="F4925" s="116" t="str">
        <f t="shared" si="1"/>
        <v/>
      </c>
      <c r="P4925" s="52"/>
    </row>
    <row r="4926">
      <c r="F4926" s="116" t="str">
        <f t="shared" si="1"/>
        <v/>
      </c>
      <c r="P4926" s="52"/>
    </row>
    <row r="4927">
      <c r="F4927" s="116" t="str">
        <f t="shared" si="1"/>
        <v/>
      </c>
      <c r="P4927" s="52"/>
    </row>
    <row r="4928">
      <c r="F4928" s="116" t="str">
        <f t="shared" si="1"/>
        <v/>
      </c>
      <c r="P4928" s="52"/>
    </row>
    <row r="4929">
      <c r="F4929" s="116" t="str">
        <f t="shared" si="1"/>
        <v/>
      </c>
      <c r="P4929" s="52"/>
    </row>
    <row r="4930">
      <c r="F4930" s="116" t="str">
        <f t="shared" si="1"/>
        <v/>
      </c>
      <c r="P4930" s="52"/>
    </row>
    <row r="4931">
      <c r="F4931" s="116" t="str">
        <f t="shared" si="1"/>
        <v/>
      </c>
      <c r="P4931" s="52"/>
    </row>
    <row r="4932">
      <c r="F4932" s="116" t="str">
        <f t="shared" si="1"/>
        <v/>
      </c>
      <c r="P4932" s="52"/>
    </row>
    <row r="4933">
      <c r="F4933" s="116" t="str">
        <f t="shared" si="1"/>
        <v/>
      </c>
      <c r="P4933" s="52"/>
    </row>
    <row r="4934">
      <c r="F4934" s="116" t="str">
        <f t="shared" si="1"/>
        <v/>
      </c>
      <c r="P4934" s="52"/>
    </row>
    <row r="4935">
      <c r="F4935" s="116" t="str">
        <f t="shared" si="1"/>
        <v/>
      </c>
      <c r="P4935" s="52"/>
    </row>
    <row r="4936">
      <c r="F4936" s="116" t="str">
        <f t="shared" si="1"/>
        <v/>
      </c>
      <c r="P4936" s="52"/>
    </row>
    <row r="4937">
      <c r="F4937" s="116" t="str">
        <f t="shared" si="1"/>
        <v/>
      </c>
      <c r="P4937" s="52"/>
    </row>
    <row r="4938">
      <c r="F4938" s="116" t="str">
        <f t="shared" si="1"/>
        <v/>
      </c>
      <c r="P4938" s="52"/>
    </row>
    <row r="4939">
      <c r="F4939" s="116" t="str">
        <f t="shared" si="1"/>
        <v/>
      </c>
      <c r="P4939" s="52"/>
    </row>
    <row r="4940">
      <c r="F4940" s="116" t="str">
        <f t="shared" si="1"/>
        <v/>
      </c>
      <c r="P4940" s="52"/>
    </row>
    <row r="4941">
      <c r="F4941" s="116" t="str">
        <f t="shared" si="1"/>
        <v/>
      </c>
      <c r="P4941" s="52"/>
    </row>
    <row r="4942">
      <c r="F4942" s="116" t="str">
        <f t="shared" si="1"/>
        <v/>
      </c>
      <c r="P4942" s="52"/>
    </row>
    <row r="4943">
      <c r="F4943" s="116" t="str">
        <f t="shared" si="1"/>
        <v/>
      </c>
      <c r="P4943" s="52"/>
    </row>
    <row r="4944">
      <c r="F4944" s="116" t="str">
        <f t="shared" si="1"/>
        <v/>
      </c>
      <c r="P4944" s="52"/>
    </row>
    <row r="4945">
      <c r="F4945" s="116" t="str">
        <f t="shared" si="1"/>
        <v/>
      </c>
      <c r="P4945" s="52"/>
    </row>
    <row r="4946">
      <c r="F4946" s="116" t="str">
        <f t="shared" si="1"/>
        <v/>
      </c>
      <c r="P4946" s="52"/>
    </row>
    <row r="4947">
      <c r="F4947" s="116" t="str">
        <f t="shared" si="1"/>
        <v/>
      </c>
      <c r="P4947" s="52"/>
    </row>
    <row r="4948">
      <c r="F4948" s="116" t="str">
        <f t="shared" si="1"/>
        <v/>
      </c>
      <c r="P4948" s="52"/>
    </row>
    <row r="4949">
      <c r="F4949" s="116" t="str">
        <f t="shared" si="1"/>
        <v/>
      </c>
      <c r="P4949" s="52"/>
    </row>
    <row r="4950">
      <c r="F4950" s="116" t="str">
        <f t="shared" si="1"/>
        <v/>
      </c>
      <c r="P4950" s="52"/>
    </row>
    <row r="4951">
      <c r="F4951" s="116" t="str">
        <f t="shared" si="1"/>
        <v/>
      </c>
      <c r="P4951" s="52"/>
    </row>
    <row r="4952">
      <c r="F4952" s="116" t="str">
        <f t="shared" si="1"/>
        <v/>
      </c>
      <c r="P4952" s="52"/>
    </row>
    <row r="4953">
      <c r="F4953" s="116" t="str">
        <f t="shared" si="1"/>
        <v/>
      </c>
      <c r="P4953" s="52"/>
    </row>
    <row r="4954">
      <c r="F4954" s="116" t="str">
        <f t="shared" si="1"/>
        <v/>
      </c>
      <c r="P4954" s="52"/>
    </row>
    <row r="4955">
      <c r="F4955" s="116" t="str">
        <f t="shared" si="1"/>
        <v/>
      </c>
      <c r="P4955" s="52"/>
    </row>
    <row r="4956">
      <c r="F4956" s="116" t="str">
        <f t="shared" si="1"/>
        <v/>
      </c>
      <c r="P4956" s="52"/>
    </row>
    <row r="4957">
      <c r="F4957" s="116" t="str">
        <f t="shared" si="1"/>
        <v/>
      </c>
      <c r="P4957" s="52"/>
    </row>
    <row r="4958">
      <c r="F4958" s="116" t="str">
        <f t="shared" si="1"/>
        <v/>
      </c>
      <c r="P4958" s="52"/>
    </row>
    <row r="4959">
      <c r="F4959" s="116" t="str">
        <f t="shared" si="1"/>
        <v/>
      </c>
      <c r="P4959" s="52"/>
    </row>
    <row r="4960">
      <c r="F4960" s="116" t="str">
        <f t="shared" si="1"/>
        <v/>
      </c>
      <c r="P4960" s="52"/>
    </row>
    <row r="4961">
      <c r="F4961" s="116" t="str">
        <f t="shared" si="1"/>
        <v/>
      </c>
      <c r="P4961" s="52"/>
    </row>
    <row r="4962">
      <c r="F4962" s="116" t="str">
        <f t="shared" si="1"/>
        <v/>
      </c>
      <c r="P4962" s="52"/>
    </row>
    <row r="4963">
      <c r="F4963" s="116" t="str">
        <f t="shared" si="1"/>
        <v/>
      </c>
      <c r="P4963" s="52"/>
    </row>
    <row r="4964">
      <c r="F4964" s="116" t="str">
        <f t="shared" si="1"/>
        <v/>
      </c>
      <c r="P4964" s="52"/>
    </row>
    <row r="4965">
      <c r="F4965" s="116" t="str">
        <f t="shared" si="1"/>
        <v/>
      </c>
      <c r="P4965" s="52"/>
    </row>
    <row r="4966">
      <c r="F4966" s="116" t="str">
        <f t="shared" si="1"/>
        <v/>
      </c>
      <c r="P4966" s="52"/>
    </row>
    <row r="4967">
      <c r="F4967" s="116" t="str">
        <f t="shared" si="1"/>
        <v/>
      </c>
      <c r="P4967" s="52"/>
    </row>
    <row r="4968">
      <c r="F4968" s="116" t="str">
        <f t="shared" si="1"/>
        <v/>
      </c>
      <c r="P4968" s="52"/>
    </row>
    <row r="4969">
      <c r="F4969" s="116" t="str">
        <f t="shared" si="1"/>
        <v/>
      </c>
      <c r="P4969" s="52"/>
    </row>
    <row r="4970">
      <c r="F4970" s="116" t="str">
        <f t="shared" si="1"/>
        <v/>
      </c>
      <c r="P4970" s="52"/>
    </row>
    <row r="4971">
      <c r="F4971" s="116" t="str">
        <f t="shared" si="1"/>
        <v/>
      </c>
      <c r="P4971" s="52"/>
    </row>
    <row r="4972">
      <c r="F4972" s="116" t="str">
        <f t="shared" si="1"/>
        <v/>
      </c>
      <c r="P4972" s="52"/>
    </row>
    <row r="4973">
      <c r="F4973" s="116" t="str">
        <f t="shared" si="1"/>
        <v/>
      </c>
      <c r="P4973" s="52"/>
    </row>
    <row r="4974">
      <c r="F4974" s="116" t="str">
        <f t="shared" si="1"/>
        <v/>
      </c>
      <c r="P4974" s="52"/>
    </row>
    <row r="4975">
      <c r="F4975" s="116" t="str">
        <f t="shared" si="1"/>
        <v/>
      </c>
      <c r="P4975" s="52"/>
    </row>
    <row r="4976">
      <c r="F4976" s="116" t="str">
        <f t="shared" si="1"/>
        <v/>
      </c>
      <c r="P4976" s="52"/>
    </row>
    <row r="4977">
      <c r="F4977" s="116" t="str">
        <f t="shared" si="1"/>
        <v/>
      </c>
      <c r="P4977" s="52"/>
    </row>
    <row r="4978">
      <c r="F4978" s="116" t="str">
        <f t="shared" si="1"/>
        <v/>
      </c>
      <c r="P4978" s="52"/>
    </row>
    <row r="4979">
      <c r="F4979" s="116" t="str">
        <f t="shared" si="1"/>
        <v/>
      </c>
      <c r="P4979" s="52"/>
    </row>
    <row r="4980">
      <c r="F4980" s="116" t="str">
        <f t="shared" si="1"/>
        <v/>
      </c>
      <c r="P4980" s="52"/>
    </row>
    <row r="4981">
      <c r="F4981" s="116" t="str">
        <f t="shared" si="1"/>
        <v/>
      </c>
      <c r="P4981" s="52"/>
    </row>
    <row r="4982">
      <c r="F4982" s="116" t="str">
        <f t="shared" si="1"/>
        <v/>
      </c>
      <c r="P4982" s="52"/>
    </row>
    <row r="4983">
      <c r="F4983" s="116" t="str">
        <f t="shared" si="1"/>
        <v/>
      </c>
      <c r="P4983" s="52"/>
    </row>
    <row r="4984">
      <c r="F4984" s="116" t="str">
        <f t="shared" si="1"/>
        <v/>
      </c>
      <c r="P4984" s="52"/>
    </row>
    <row r="4985">
      <c r="F4985" s="116" t="str">
        <f t="shared" si="1"/>
        <v/>
      </c>
      <c r="P4985" s="52"/>
    </row>
    <row r="4986">
      <c r="F4986" s="116" t="str">
        <f t="shared" si="1"/>
        <v/>
      </c>
      <c r="P4986" s="52"/>
    </row>
    <row r="4987">
      <c r="F4987" s="116" t="str">
        <f t="shared" si="1"/>
        <v/>
      </c>
      <c r="P4987" s="52"/>
    </row>
    <row r="4988">
      <c r="F4988" s="116" t="str">
        <f t="shared" si="1"/>
        <v/>
      </c>
      <c r="P4988" s="52"/>
    </row>
    <row r="4989">
      <c r="F4989" s="116" t="str">
        <f t="shared" si="1"/>
        <v/>
      </c>
      <c r="P4989" s="52"/>
    </row>
    <row r="4990">
      <c r="F4990" s="116" t="str">
        <f t="shared" si="1"/>
        <v/>
      </c>
      <c r="P4990" s="52"/>
    </row>
    <row r="4991">
      <c r="F4991" s="116" t="str">
        <f t="shared" si="1"/>
        <v/>
      </c>
      <c r="P4991" s="52"/>
    </row>
    <row r="4992">
      <c r="F4992" s="116" t="str">
        <f t="shared" si="1"/>
        <v/>
      </c>
      <c r="P4992" s="52"/>
    </row>
    <row r="4993">
      <c r="F4993" s="116" t="str">
        <f t="shared" si="1"/>
        <v/>
      </c>
      <c r="P4993" s="52"/>
    </row>
    <row r="4994">
      <c r="F4994" s="116" t="str">
        <f t="shared" si="1"/>
        <v/>
      </c>
      <c r="P4994" s="52"/>
    </row>
    <row r="4995">
      <c r="F4995" s="116" t="str">
        <f t="shared" si="1"/>
        <v/>
      </c>
      <c r="P4995" s="52"/>
    </row>
    <row r="4996">
      <c r="F4996" s="116" t="str">
        <f t="shared" si="1"/>
        <v/>
      </c>
      <c r="P4996" s="52"/>
    </row>
    <row r="4997">
      <c r="F4997" s="116" t="str">
        <f t="shared" si="1"/>
        <v/>
      </c>
      <c r="P4997" s="52"/>
    </row>
    <row r="4998">
      <c r="F4998" s="116" t="str">
        <f t="shared" si="1"/>
        <v/>
      </c>
      <c r="P4998" s="52"/>
    </row>
    <row r="4999">
      <c r="F4999" s="116" t="str">
        <f t="shared" si="1"/>
        <v/>
      </c>
      <c r="P4999" s="52"/>
    </row>
    <row r="5000">
      <c r="F5000" s="116" t="str">
        <f t="shared" si="1"/>
        <v/>
      </c>
      <c r="P5000" s="52"/>
    </row>
    <row r="5001">
      <c r="F5001" s="116" t="str">
        <f t="shared" si="1"/>
        <v/>
      </c>
      <c r="P5001" s="52"/>
    </row>
    <row r="5002">
      <c r="F5002" s="116" t="str">
        <f t="shared" si="1"/>
        <v/>
      </c>
      <c r="P5002" s="52"/>
    </row>
    <row r="5003">
      <c r="F5003" s="116" t="str">
        <f t="shared" si="1"/>
        <v/>
      </c>
      <c r="P5003" s="52"/>
    </row>
    <row r="5004">
      <c r="F5004" s="116" t="str">
        <f t="shared" si="1"/>
        <v/>
      </c>
      <c r="P5004" s="52"/>
    </row>
    <row r="5005">
      <c r="F5005" s="116" t="str">
        <f t="shared" si="1"/>
        <v/>
      </c>
      <c r="P5005" s="52"/>
    </row>
    <row r="5006">
      <c r="F5006" s="116" t="str">
        <f t="shared" si="1"/>
        <v/>
      </c>
      <c r="P5006" s="52"/>
    </row>
    <row r="5007">
      <c r="F5007" s="116" t="str">
        <f t="shared" si="1"/>
        <v/>
      </c>
      <c r="P5007" s="52"/>
    </row>
    <row r="5008">
      <c r="F5008" s="116" t="str">
        <f t="shared" si="1"/>
        <v/>
      </c>
      <c r="P5008" s="52"/>
    </row>
    <row r="5009">
      <c r="F5009" s="116" t="str">
        <f t="shared" si="1"/>
        <v/>
      </c>
      <c r="P5009" s="52"/>
    </row>
    <row r="5010">
      <c r="F5010" s="116" t="str">
        <f t="shared" si="1"/>
        <v/>
      </c>
      <c r="P5010" s="52"/>
    </row>
    <row r="5011">
      <c r="F5011" s="116" t="str">
        <f t="shared" si="1"/>
        <v/>
      </c>
      <c r="P5011" s="52"/>
    </row>
    <row r="5012">
      <c r="F5012" s="116" t="str">
        <f t="shared" si="1"/>
        <v/>
      </c>
      <c r="P5012" s="52"/>
    </row>
    <row r="5013">
      <c r="F5013" s="116" t="str">
        <f t="shared" si="1"/>
        <v/>
      </c>
      <c r="P5013" s="52"/>
    </row>
    <row r="5014">
      <c r="F5014" s="116" t="str">
        <f t="shared" si="1"/>
        <v/>
      </c>
      <c r="P5014" s="52"/>
    </row>
    <row r="5015">
      <c r="F5015" s="116" t="str">
        <f t="shared" si="1"/>
        <v/>
      </c>
      <c r="P5015" s="52"/>
    </row>
    <row r="5016">
      <c r="F5016" s="116" t="str">
        <f t="shared" si="1"/>
        <v/>
      </c>
      <c r="P5016" s="52"/>
    </row>
    <row r="5017">
      <c r="F5017" s="116" t="str">
        <f t="shared" si="1"/>
        <v/>
      </c>
      <c r="P5017" s="52"/>
    </row>
    <row r="5018">
      <c r="F5018" s="116" t="str">
        <f t="shared" si="1"/>
        <v/>
      </c>
      <c r="P5018" s="52"/>
    </row>
    <row r="5019">
      <c r="F5019" s="116" t="str">
        <f t="shared" si="1"/>
        <v/>
      </c>
      <c r="P5019" s="52"/>
    </row>
    <row r="5020">
      <c r="F5020" s="116" t="str">
        <f t="shared" si="1"/>
        <v/>
      </c>
      <c r="P5020" s="52"/>
    </row>
    <row r="5021">
      <c r="F5021" s="116" t="str">
        <f t="shared" si="1"/>
        <v/>
      </c>
      <c r="P5021" s="52"/>
    </row>
    <row r="5022">
      <c r="F5022" s="116" t="str">
        <f t="shared" si="1"/>
        <v/>
      </c>
      <c r="P5022" s="52"/>
    </row>
    <row r="5023">
      <c r="F5023" s="116" t="str">
        <f t="shared" si="1"/>
        <v/>
      </c>
      <c r="P5023" s="52"/>
    </row>
    <row r="5024">
      <c r="F5024" s="116" t="str">
        <f t="shared" si="1"/>
        <v/>
      </c>
      <c r="P5024" s="52"/>
    </row>
    <row r="5025">
      <c r="F5025" s="116" t="str">
        <f t="shared" si="1"/>
        <v/>
      </c>
      <c r="P5025" s="52"/>
    </row>
    <row r="5026">
      <c r="F5026" s="116" t="str">
        <f t="shared" si="1"/>
        <v/>
      </c>
      <c r="P5026" s="52"/>
    </row>
    <row r="5027">
      <c r="F5027" s="116" t="str">
        <f t="shared" si="1"/>
        <v/>
      </c>
      <c r="P5027" s="52"/>
    </row>
    <row r="5028">
      <c r="F5028" s="116" t="str">
        <f t="shared" si="1"/>
        <v/>
      </c>
      <c r="P5028" s="52"/>
    </row>
    <row r="5029">
      <c r="F5029" s="116" t="str">
        <f t="shared" si="1"/>
        <v/>
      </c>
      <c r="P5029" s="52"/>
    </row>
    <row r="5030">
      <c r="F5030" s="116" t="str">
        <f t="shared" si="1"/>
        <v/>
      </c>
      <c r="P5030" s="52"/>
    </row>
    <row r="5031">
      <c r="F5031" s="116" t="str">
        <f t="shared" si="1"/>
        <v/>
      </c>
      <c r="P5031" s="52"/>
    </row>
    <row r="5032">
      <c r="F5032" s="116" t="str">
        <f t="shared" si="1"/>
        <v/>
      </c>
      <c r="P5032" s="52"/>
    </row>
    <row r="5033">
      <c r="F5033" s="116" t="str">
        <f t="shared" si="1"/>
        <v/>
      </c>
      <c r="P5033" s="52"/>
    </row>
    <row r="5034">
      <c r="F5034" s="116" t="str">
        <f t="shared" si="1"/>
        <v/>
      </c>
      <c r="P5034" s="52"/>
    </row>
    <row r="5035">
      <c r="F5035" s="116" t="str">
        <f t="shared" si="1"/>
        <v/>
      </c>
      <c r="P5035" s="52"/>
    </row>
    <row r="5036">
      <c r="F5036" s="116" t="str">
        <f t="shared" si="1"/>
        <v/>
      </c>
      <c r="P5036" s="52"/>
    </row>
    <row r="5037">
      <c r="F5037" s="116" t="str">
        <f t="shared" si="1"/>
        <v/>
      </c>
      <c r="P5037" s="52"/>
    </row>
    <row r="5038">
      <c r="F5038" s="116" t="str">
        <f t="shared" si="1"/>
        <v/>
      </c>
      <c r="P5038" s="52"/>
    </row>
    <row r="5039">
      <c r="F5039" s="116" t="str">
        <f t="shared" si="1"/>
        <v/>
      </c>
      <c r="P5039" s="52"/>
    </row>
    <row r="5040">
      <c r="F5040" s="116" t="str">
        <f t="shared" si="1"/>
        <v/>
      </c>
      <c r="P5040" s="52"/>
    </row>
    <row r="5041">
      <c r="F5041" s="116" t="str">
        <f t="shared" si="1"/>
        <v/>
      </c>
      <c r="P5041" s="52"/>
    </row>
    <row r="5042">
      <c r="F5042" s="116" t="str">
        <f t="shared" si="1"/>
        <v/>
      </c>
      <c r="P5042" s="52"/>
    </row>
    <row r="5043">
      <c r="F5043" s="116" t="str">
        <f t="shared" si="1"/>
        <v/>
      </c>
      <c r="P5043" s="52"/>
    </row>
    <row r="5044">
      <c r="F5044" s="116" t="str">
        <f t="shared" si="1"/>
        <v/>
      </c>
      <c r="P5044" s="52"/>
    </row>
    <row r="5045">
      <c r="F5045" s="116" t="str">
        <f t="shared" si="1"/>
        <v/>
      </c>
      <c r="P5045" s="52"/>
    </row>
    <row r="5046">
      <c r="F5046" s="116" t="str">
        <f t="shared" si="1"/>
        <v/>
      </c>
      <c r="P5046" s="52"/>
    </row>
    <row r="5047">
      <c r="F5047" s="116" t="str">
        <f t="shared" si="1"/>
        <v/>
      </c>
      <c r="P5047" s="52"/>
    </row>
    <row r="5048">
      <c r="F5048" s="116" t="str">
        <f t="shared" si="1"/>
        <v/>
      </c>
      <c r="P5048" s="52"/>
    </row>
    <row r="5049">
      <c r="F5049" s="116" t="str">
        <f t="shared" si="1"/>
        <v/>
      </c>
      <c r="P5049" s="52"/>
    </row>
    <row r="5050">
      <c r="F5050" s="116" t="str">
        <f t="shared" si="1"/>
        <v/>
      </c>
      <c r="P5050" s="52"/>
    </row>
    <row r="5051">
      <c r="F5051" s="116" t="str">
        <f t="shared" si="1"/>
        <v/>
      </c>
      <c r="P5051" s="52"/>
    </row>
    <row r="5052">
      <c r="F5052" s="116" t="str">
        <f t="shared" si="1"/>
        <v/>
      </c>
      <c r="P5052" s="52"/>
    </row>
    <row r="5053">
      <c r="F5053" s="116" t="str">
        <f t="shared" si="1"/>
        <v/>
      </c>
      <c r="P5053" s="52"/>
    </row>
    <row r="5054">
      <c r="F5054" s="116" t="str">
        <f t="shared" si="1"/>
        <v/>
      </c>
      <c r="P5054" s="52"/>
    </row>
    <row r="5055">
      <c r="F5055" s="116" t="str">
        <f t="shared" si="1"/>
        <v/>
      </c>
      <c r="P5055" s="52"/>
    </row>
    <row r="5056">
      <c r="F5056" s="116" t="str">
        <f t="shared" si="1"/>
        <v/>
      </c>
      <c r="P5056" s="52"/>
    </row>
    <row r="5057">
      <c r="F5057" s="116" t="str">
        <f t="shared" si="1"/>
        <v/>
      </c>
      <c r="P5057" s="52"/>
    </row>
    <row r="5058">
      <c r="F5058" s="116" t="str">
        <f t="shared" si="1"/>
        <v/>
      </c>
      <c r="P5058" s="52"/>
    </row>
    <row r="5059">
      <c r="F5059" s="116" t="str">
        <f t="shared" si="1"/>
        <v/>
      </c>
      <c r="P5059" s="52"/>
    </row>
    <row r="5060">
      <c r="F5060" s="116" t="str">
        <f t="shared" si="1"/>
        <v/>
      </c>
      <c r="P5060" s="52"/>
    </row>
    <row r="5061">
      <c r="F5061" s="116" t="str">
        <f t="shared" si="1"/>
        <v/>
      </c>
      <c r="P5061" s="52"/>
    </row>
    <row r="5062">
      <c r="F5062" s="116" t="str">
        <f t="shared" si="1"/>
        <v/>
      </c>
      <c r="P5062" s="52"/>
    </row>
    <row r="5063">
      <c r="F5063" s="116" t="str">
        <f t="shared" si="1"/>
        <v/>
      </c>
      <c r="P5063" s="52"/>
    </row>
    <row r="5064">
      <c r="F5064" s="116" t="str">
        <f t="shared" si="1"/>
        <v/>
      </c>
      <c r="P5064" s="52"/>
    </row>
    <row r="5065">
      <c r="F5065" s="116" t="str">
        <f t="shared" si="1"/>
        <v/>
      </c>
      <c r="P5065" s="52"/>
    </row>
    <row r="5066">
      <c r="F5066" s="116" t="str">
        <f t="shared" si="1"/>
        <v/>
      </c>
      <c r="P5066" s="52"/>
    </row>
    <row r="5067">
      <c r="F5067" s="116" t="str">
        <f t="shared" si="1"/>
        <v/>
      </c>
      <c r="P5067" s="52"/>
    </row>
    <row r="5068">
      <c r="F5068" s="116" t="str">
        <f t="shared" si="1"/>
        <v/>
      </c>
      <c r="P5068" s="52"/>
    </row>
    <row r="5069">
      <c r="F5069" s="116" t="str">
        <f t="shared" si="1"/>
        <v/>
      </c>
      <c r="P5069" s="52"/>
    </row>
    <row r="5070">
      <c r="F5070" s="116" t="str">
        <f t="shared" si="1"/>
        <v/>
      </c>
      <c r="P5070" s="52"/>
    </row>
    <row r="5071">
      <c r="F5071" s="116" t="str">
        <f t="shared" si="1"/>
        <v/>
      </c>
      <c r="P5071" s="52"/>
    </row>
    <row r="5072">
      <c r="F5072" s="116" t="str">
        <f t="shared" si="1"/>
        <v/>
      </c>
      <c r="P5072" s="52"/>
    </row>
    <row r="5073">
      <c r="F5073" s="116" t="str">
        <f t="shared" si="1"/>
        <v/>
      </c>
      <c r="P5073" s="52"/>
    </row>
    <row r="5074">
      <c r="F5074" s="116" t="str">
        <f t="shared" si="1"/>
        <v/>
      </c>
      <c r="P5074" s="52"/>
    </row>
    <row r="5075">
      <c r="F5075" s="116" t="str">
        <f t="shared" si="1"/>
        <v/>
      </c>
      <c r="P5075" s="52"/>
    </row>
    <row r="5076">
      <c r="F5076" s="116" t="str">
        <f t="shared" si="1"/>
        <v/>
      </c>
      <c r="P5076" s="52"/>
    </row>
    <row r="5077">
      <c r="F5077" s="116" t="str">
        <f t="shared" si="1"/>
        <v/>
      </c>
      <c r="P5077" s="52"/>
    </row>
    <row r="5078">
      <c r="F5078" s="116" t="str">
        <f t="shared" si="1"/>
        <v/>
      </c>
      <c r="P5078" s="52"/>
    </row>
    <row r="5079">
      <c r="F5079" s="116" t="str">
        <f t="shared" si="1"/>
        <v/>
      </c>
      <c r="P5079" s="52"/>
    </row>
    <row r="5080">
      <c r="F5080" s="116" t="str">
        <f t="shared" si="1"/>
        <v/>
      </c>
      <c r="P5080" s="52"/>
    </row>
    <row r="5081">
      <c r="F5081" s="116" t="str">
        <f t="shared" si="1"/>
        <v/>
      </c>
      <c r="P5081" s="52"/>
    </row>
    <row r="5082">
      <c r="F5082" s="116" t="str">
        <f t="shared" si="1"/>
        <v/>
      </c>
      <c r="P5082" s="52"/>
    </row>
    <row r="5083">
      <c r="F5083" s="116" t="str">
        <f t="shared" si="1"/>
        <v/>
      </c>
      <c r="P5083" s="52"/>
    </row>
    <row r="5084">
      <c r="F5084" s="116" t="str">
        <f t="shared" si="1"/>
        <v/>
      </c>
      <c r="P5084" s="52"/>
    </row>
    <row r="5085">
      <c r="F5085" s="116" t="str">
        <f t="shared" si="1"/>
        <v/>
      </c>
      <c r="P5085" s="52"/>
    </row>
    <row r="5086">
      <c r="F5086" s="116" t="str">
        <f t="shared" si="1"/>
        <v/>
      </c>
      <c r="P5086" s="52"/>
    </row>
    <row r="5087">
      <c r="F5087" s="116" t="str">
        <f t="shared" si="1"/>
        <v/>
      </c>
      <c r="P5087" s="52"/>
    </row>
    <row r="5088">
      <c r="F5088" s="116" t="str">
        <f t="shared" si="1"/>
        <v/>
      </c>
      <c r="P5088" s="52"/>
    </row>
    <row r="5089">
      <c r="F5089" s="116" t="str">
        <f t="shared" si="1"/>
        <v/>
      </c>
      <c r="P5089" s="52"/>
    </row>
    <row r="5090">
      <c r="F5090" s="116" t="str">
        <f t="shared" si="1"/>
        <v/>
      </c>
      <c r="P5090" s="52"/>
    </row>
    <row r="5091">
      <c r="F5091" s="116" t="str">
        <f t="shared" si="1"/>
        <v/>
      </c>
      <c r="P5091" s="52"/>
    </row>
    <row r="5092">
      <c r="F5092" s="116" t="str">
        <f t="shared" si="1"/>
        <v/>
      </c>
      <c r="P5092" s="52"/>
    </row>
    <row r="5093">
      <c r="F5093" s="116" t="str">
        <f t="shared" si="1"/>
        <v/>
      </c>
      <c r="P5093" s="52"/>
    </row>
    <row r="5094">
      <c r="F5094" s="116" t="str">
        <f t="shared" si="1"/>
        <v/>
      </c>
      <c r="P5094" s="52"/>
    </row>
    <row r="5095">
      <c r="F5095" s="116" t="str">
        <f t="shared" si="1"/>
        <v/>
      </c>
      <c r="P5095" s="52"/>
    </row>
    <row r="5096">
      <c r="F5096" s="116" t="str">
        <f t="shared" si="1"/>
        <v/>
      </c>
      <c r="P5096" s="52"/>
    </row>
    <row r="5097">
      <c r="F5097" s="116" t="str">
        <f t="shared" si="1"/>
        <v/>
      </c>
      <c r="P5097" s="52"/>
    </row>
    <row r="5098">
      <c r="F5098" s="116" t="str">
        <f t="shared" si="1"/>
        <v/>
      </c>
      <c r="P5098" s="52"/>
    </row>
    <row r="5099">
      <c r="F5099" s="116" t="str">
        <f t="shared" si="1"/>
        <v/>
      </c>
      <c r="P5099" s="52"/>
    </row>
    <row r="5100">
      <c r="F5100" s="116" t="str">
        <f t="shared" si="1"/>
        <v/>
      </c>
      <c r="P5100" s="52"/>
    </row>
    <row r="5101">
      <c r="F5101" s="116" t="str">
        <f t="shared" si="1"/>
        <v/>
      </c>
      <c r="P5101" s="52"/>
    </row>
    <row r="5102">
      <c r="F5102" s="116" t="str">
        <f t="shared" si="1"/>
        <v/>
      </c>
      <c r="P5102" s="52"/>
    </row>
    <row r="5103">
      <c r="F5103" s="116" t="str">
        <f t="shared" si="1"/>
        <v/>
      </c>
      <c r="P5103" s="52"/>
    </row>
    <row r="5104">
      <c r="F5104" s="116" t="str">
        <f t="shared" si="1"/>
        <v/>
      </c>
      <c r="P5104" s="52"/>
    </row>
    <row r="5105">
      <c r="F5105" s="116" t="str">
        <f t="shared" si="1"/>
        <v/>
      </c>
      <c r="P5105" s="52"/>
    </row>
    <row r="5106">
      <c r="F5106" s="116" t="str">
        <f t="shared" si="1"/>
        <v/>
      </c>
      <c r="P5106" s="52"/>
    </row>
    <row r="5107">
      <c r="F5107" s="116" t="str">
        <f t="shared" si="1"/>
        <v/>
      </c>
      <c r="P5107" s="52"/>
    </row>
    <row r="5108">
      <c r="F5108" s="116" t="str">
        <f t="shared" si="1"/>
        <v/>
      </c>
      <c r="P5108" s="52"/>
    </row>
    <row r="5109">
      <c r="F5109" s="116" t="str">
        <f t="shared" si="1"/>
        <v/>
      </c>
      <c r="P5109" s="52"/>
    </row>
    <row r="5110">
      <c r="F5110" s="116" t="str">
        <f t="shared" si="1"/>
        <v/>
      </c>
      <c r="P5110" s="52"/>
    </row>
    <row r="5111">
      <c r="F5111" s="116" t="str">
        <f t="shared" si="1"/>
        <v/>
      </c>
      <c r="P5111" s="52"/>
    </row>
    <row r="5112">
      <c r="F5112" s="116" t="str">
        <f t="shared" si="1"/>
        <v/>
      </c>
      <c r="P5112" s="52"/>
    </row>
    <row r="5113">
      <c r="F5113" s="116" t="str">
        <f t="shared" si="1"/>
        <v/>
      </c>
      <c r="P5113" s="52"/>
    </row>
    <row r="5114">
      <c r="F5114" s="116" t="str">
        <f t="shared" si="1"/>
        <v/>
      </c>
      <c r="P5114" s="52"/>
    </row>
    <row r="5115">
      <c r="F5115" s="116" t="str">
        <f t="shared" si="1"/>
        <v/>
      </c>
      <c r="P5115" s="52"/>
    </row>
    <row r="5116">
      <c r="F5116" s="116" t="str">
        <f t="shared" si="1"/>
        <v/>
      </c>
      <c r="P5116" s="52"/>
    </row>
    <row r="5117">
      <c r="F5117" s="116" t="str">
        <f t="shared" si="1"/>
        <v/>
      </c>
      <c r="P5117" s="52"/>
    </row>
    <row r="5118">
      <c r="F5118" s="116" t="str">
        <f t="shared" si="1"/>
        <v/>
      </c>
      <c r="P5118" s="52"/>
    </row>
    <row r="5119">
      <c r="F5119" s="116" t="str">
        <f t="shared" si="1"/>
        <v/>
      </c>
      <c r="P5119" s="52"/>
    </row>
    <row r="5120">
      <c r="F5120" s="116" t="str">
        <f t="shared" si="1"/>
        <v/>
      </c>
      <c r="P5120" s="52"/>
    </row>
    <row r="5121">
      <c r="F5121" s="116" t="str">
        <f t="shared" si="1"/>
        <v/>
      </c>
      <c r="P5121" s="52"/>
    </row>
    <row r="5122">
      <c r="F5122" s="116" t="str">
        <f t="shared" si="1"/>
        <v/>
      </c>
      <c r="P5122" s="52"/>
    </row>
    <row r="5123">
      <c r="F5123" s="116" t="str">
        <f t="shared" si="1"/>
        <v/>
      </c>
      <c r="P5123" s="52"/>
    </row>
    <row r="5124">
      <c r="F5124" s="116" t="str">
        <f t="shared" si="1"/>
        <v/>
      </c>
      <c r="P5124" s="52"/>
    </row>
    <row r="5125">
      <c r="F5125" s="116" t="str">
        <f t="shared" si="1"/>
        <v/>
      </c>
      <c r="P5125" s="52"/>
    </row>
    <row r="5126">
      <c r="F5126" s="116" t="str">
        <f t="shared" si="1"/>
        <v/>
      </c>
      <c r="P5126" s="52"/>
    </row>
    <row r="5127">
      <c r="F5127" s="116" t="str">
        <f t="shared" si="1"/>
        <v/>
      </c>
      <c r="P5127" s="52"/>
    </row>
    <row r="5128">
      <c r="F5128" s="116" t="str">
        <f t="shared" si="1"/>
        <v/>
      </c>
      <c r="P5128" s="52"/>
    </row>
    <row r="5129">
      <c r="F5129" s="116" t="str">
        <f t="shared" si="1"/>
        <v/>
      </c>
      <c r="P5129" s="52"/>
    </row>
    <row r="5130">
      <c r="F5130" s="116" t="str">
        <f t="shared" si="1"/>
        <v/>
      </c>
      <c r="P5130" s="52"/>
    </row>
    <row r="5131">
      <c r="F5131" s="116" t="str">
        <f t="shared" si="1"/>
        <v/>
      </c>
      <c r="P5131" s="52"/>
    </row>
    <row r="5132">
      <c r="F5132" s="116" t="str">
        <f t="shared" si="1"/>
        <v/>
      </c>
      <c r="P5132" s="52"/>
    </row>
    <row r="5133">
      <c r="F5133" s="116" t="str">
        <f t="shared" si="1"/>
        <v/>
      </c>
      <c r="P5133" s="52"/>
    </row>
    <row r="5134">
      <c r="F5134" s="116" t="str">
        <f t="shared" si="1"/>
        <v/>
      </c>
      <c r="P5134" s="52"/>
    </row>
    <row r="5135">
      <c r="F5135" s="116" t="str">
        <f t="shared" si="1"/>
        <v/>
      </c>
      <c r="P5135" s="52"/>
    </row>
    <row r="5136">
      <c r="F5136" s="116" t="str">
        <f t="shared" si="1"/>
        <v/>
      </c>
      <c r="P5136" s="52"/>
    </row>
    <row r="5137">
      <c r="F5137" s="116" t="str">
        <f t="shared" si="1"/>
        <v/>
      </c>
      <c r="P5137" s="52"/>
    </row>
    <row r="5138">
      <c r="F5138" s="116" t="str">
        <f t="shared" si="1"/>
        <v/>
      </c>
      <c r="P5138" s="52"/>
    </row>
    <row r="5139">
      <c r="F5139" s="116" t="str">
        <f t="shared" si="1"/>
        <v/>
      </c>
      <c r="P5139" s="52"/>
    </row>
    <row r="5140">
      <c r="F5140" s="116" t="str">
        <f t="shared" si="1"/>
        <v/>
      </c>
      <c r="P5140" s="52"/>
    </row>
    <row r="5141">
      <c r="F5141" s="116" t="str">
        <f t="shared" si="1"/>
        <v/>
      </c>
      <c r="P5141" s="52"/>
    </row>
    <row r="5142">
      <c r="F5142" s="116" t="str">
        <f t="shared" si="1"/>
        <v/>
      </c>
      <c r="P5142" s="52"/>
    </row>
    <row r="5143">
      <c r="F5143" s="116" t="str">
        <f t="shared" si="1"/>
        <v/>
      </c>
      <c r="P5143" s="52"/>
    </row>
    <row r="5144">
      <c r="F5144" s="116" t="str">
        <f t="shared" si="1"/>
        <v/>
      </c>
      <c r="P5144" s="52"/>
    </row>
    <row r="5145">
      <c r="F5145" s="116" t="str">
        <f t="shared" si="1"/>
        <v/>
      </c>
      <c r="P5145" s="52"/>
    </row>
    <row r="5146">
      <c r="F5146" s="116" t="str">
        <f t="shared" si="1"/>
        <v/>
      </c>
      <c r="P5146" s="52"/>
    </row>
    <row r="5147">
      <c r="F5147" s="116" t="str">
        <f t="shared" si="1"/>
        <v/>
      </c>
      <c r="P5147" s="52"/>
    </row>
    <row r="5148">
      <c r="F5148" s="116" t="str">
        <f t="shared" si="1"/>
        <v/>
      </c>
      <c r="P5148" s="52"/>
    </row>
    <row r="5149">
      <c r="F5149" s="116" t="str">
        <f t="shared" si="1"/>
        <v/>
      </c>
      <c r="P5149" s="52"/>
    </row>
    <row r="5150">
      <c r="F5150" s="116" t="str">
        <f t="shared" si="1"/>
        <v/>
      </c>
      <c r="P5150" s="52"/>
    </row>
    <row r="5151">
      <c r="F5151" s="116" t="str">
        <f t="shared" si="1"/>
        <v/>
      </c>
      <c r="P5151" s="52"/>
    </row>
    <row r="5152">
      <c r="F5152" s="116" t="str">
        <f t="shared" si="1"/>
        <v/>
      </c>
      <c r="P5152" s="52"/>
    </row>
    <row r="5153">
      <c r="F5153" s="116" t="str">
        <f t="shared" si="1"/>
        <v/>
      </c>
      <c r="P5153" s="52"/>
    </row>
    <row r="5154">
      <c r="F5154" s="116" t="str">
        <f t="shared" si="1"/>
        <v/>
      </c>
      <c r="P5154" s="52"/>
    </row>
    <row r="5155">
      <c r="F5155" s="116" t="str">
        <f t="shared" si="1"/>
        <v/>
      </c>
      <c r="P5155" s="52"/>
    </row>
    <row r="5156">
      <c r="F5156" s="116" t="str">
        <f t="shared" si="1"/>
        <v/>
      </c>
      <c r="P5156" s="52"/>
    </row>
    <row r="5157">
      <c r="F5157" s="116" t="str">
        <f t="shared" si="1"/>
        <v/>
      </c>
      <c r="P5157" s="52"/>
    </row>
    <row r="5158">
      <c r="F5158" s="116" t="str">
        <f t="shared" si="1"/>
        <v/>
      </c>
      <c r="P5158" s="52"/>
    </row>
    <row r="5159">
      <c r="F5159" s="116" t="str">
        <f t="shared" si="1"/>
        <v/>
      </c>
      <c r="P5159" s="52"/>
    </row>
    <row r="5160">
      <c r="F5160" s="116" t="str">
        <f t="shared" si="1"/>
        <v/>
      </c>
      <c r="P5160" s="52"/>
    </row>
    <row r="5161">
      <c r="F5161" s="116" t="str">
        <f t="shared" si="1"/>
        <v/>
      </c>
      <c r="P5161" s="52"/>
    </row>
    <row r="5162">
      <c r="F5162" s="116" t="str">
        <f t="shared" si="1"/>
        <v/>
      </c>
      <c r="P5162" s="52"/>
    </row>
    <row r="5163">
      <c r="F5163" s="116" t="str">
        <f t="shared" si="1"/>
        <v/>
      </c>
      <c r="P5163" s="52"/>
    </row>
    <row r="5164">
      <c r="F5164" s="116" t="str">
        <f t="shared" si="1"/>
        <v/>
      </c>
      <c r="P5164" s="52"/>
    </row>
    <row r="5165">
      <c r="F5165" s="116" t="str">
        <f t="shared" si="1"/>
        <v/>
      </c>
      <c r="P5165" s="52"/>
    </row>
    <row r="5166">
      <c r="F5166" s="116" t="str">
        <f t="shared" si="1"/>
        <v/>
      </c>
      <c r="P5166" s="52"/>
    </row>
    <row r="5167">
      <c r="F5167" s="116" t="str">
        <f t="shared" si="1"/>
        <v/>
      </c>
      <c r="P5167" s="52"/>
    </row>
    <row r="5168">
      <c r="F5168" s="116" t="str">
        <f t="shared" si="1"/>
        <v/>
      </c>
      <c r="P5168" s="52"/>
    </row>
    <row r="5169">
      <c r="F5169" s="116" t="str">
        <f t="shared" si="1"/>
        <v/>
      </c>
      <c r="P5169" s="52"/>
    </row>
    <row r="5170">
      <c r="F5170" s="116" t="str">
        <f t="shared" si="1"/>
        <v/>
      </c>
      <c r="P5170" s="52"/>
    </row>
    <row r="5171">
      <c r="F5171" s="116" t="str">
        <f t="shared" si="1"/>
        <v/>
      </c>
      <c r="P5171" s="52"/>
    </row>
    <row r="5172">
      <c r="F5172" s="116" t="str">
        <f t="shared" si="1"/>
        <v/>
      </c>
      <c r="P5172" s="52"/>
    </row>
    <row r="5173">
      <c r="F5173" s="116" t="str">
        <f t="shared" si="1"/>
        <v/>
      </c>
      <c r="P5173" s="52"/>
    </row>
    <row r="5174">
      <c r="F5174" s="116" t="str">
        <f t="shared" si="1"/>
        <v/>
      </c>
      <c r="P5174" s="52"/>
    </row>
    <row r="5175">
      <c r="F5175" s="116" t="str">
        <f t="shared" si="1"/>
        <v/>
      </c>
      <c r="P5175" s="52"/>
    </row>
    <row r="5176">
      <c r="F5176" s="116" t="str">
        <f t="shared" si="1"/>
        <v/>
      </c>
      <c r="P5176" s="52"/>
    </row>
    <row r="5177">
      <c r="F5177" s="116" t="str">
        <f t="shared" si="1"/>
        <v/>
      </c>
      <c r="P5177" s="52"/>
    </row>
    <row r="5178">
      <c r="F5178" s="116" t="str">
        <f t="shared" si="1"/>
        <v/>
      </c>
      <c r="P5178" s="52"/>
    </row>
    <row r="5179">
      <c r="F5179" s="116" t="str">
        <f t="shared" si="1"/>
        <v/>
      </c>
      <c r="P5179" s="52"/>
    </row>
    <row r="5180">
      <c r="F5180" s="116" t="str">
        <f t="shared" si="1"/>
        <v/>
      </c>
      <c r="P5180" s="52"/>
    </row>
    <row r="5181">
      <c r="F5181" s="116" t="str">
        <f t="shared" si="1"/>
        <v/>
      </c>
      <c r="P5181" s="52"/>
    </row>
    <row r="5182">
      <c r="F5182" s="116" t="str">
        <f t="shared" si="1"/>
        <v/>
      </c>
      <c r="P5182" s="52"/>
    </row>
    <row r="5183">
      <c r="F5183" s="116" t="str">
        <f t="shared" si="1"/>
        <v/>
      </c>
      <c r="P5183" s="52"/>
    </row>
    <row r="5184">
      <c r="F5184" s="116" t="str">
        <f t="shared" si="1"/>
        <v/>
      </c>
      <c r="P5184" s="52"/>
    </row>
    <row r="5185">
      <c r="F5185" s="116" t="str">
        <f t="shared" si="1"/>
        <v/>
      </c>
      <c r="P5185" s="52"/>
    </row>
    <row r="5186">
      <c r="F5186" s="116" t="str">
        <f t="shared" si="1"/>
        <v/>
      </c>
      <c r="P5186" s="52"/>
    </row>
    <row r="5187">
      <c r="F5187" s="116" t="str">
        <f t="shared" si="1"/>
        <v/>
      </c>
      <c r="P5187" s="52"/>
    </row>
    <row r="5188">
      <c r="F5188" s="116" t="str">
        <f t="shared" si="1"/>
        <v/>
      </c>
      <c r="P5188" s="52"/>
    </row>
    <row r="5189">
      <c r="F5189" s="116" t="str">
        <f t="shared" si="1"/>
        <v/>
      </c>
      <c r="P5189" s="52"/>
    </row>
    <row r="5190">
      <c r="F5190" s="116" t="str">
        <f t="shared" si="1"/>
        <v/>
      </c>
      <c r="P5190" s="52"/>
    </row>
    <row r="5191">
      <c r="F5191" s="116" t="str">
        <f t="shared" si="1"/>
        <v/>
      </c>
      <c r="P5191" s="52"/>
    </row>
    <row r="5192">
      <c r="F5192" s="116" t="str">
        <f t="shared" si="1"/>
        <v/>
      </c>
      <c r="P5192" s="52"/>
    </row>
    <row r="5193">
      <c r="F5193" s="116" t="str">
        <f t="shared" si="1"/>
        <v/>
      </c>
      <c r="P5193" s="52"/>
    </row>
    <row r="5194">
      <c r="F5194" s="116" t="str">
        <f t="shared" si="1"/>
        <v/>
      </c>
      <c r="P5194" s="52"/>
    </row>
    <row r="5195">
      <c r="F5195" s="116" t="str">
        <f t="shared" si="1"/>
        <v/>
      </c>
      <c r="P5195" s="52"/>
    </row>
    <row r="5196">
      <c r="F5196" s="116" t="str">
        <f t="shared" si="1"/>
        <v/>
      </c>
      <c r="P5196" s="52"/>
    </row>
    <row r="5197">
      <c r="F5197" s="116" t="str">
        <f t="shared" si="1"/>
        <v/>
      </c>
      <c r="P5197" s="52"/>
    </row>
    <row r="5198">
      <c r="F5198" s="116" t="str">
        <f t="shared" si="1"/>
        <v/>
      </c>
      <c r="P5198" s="52"/>
    </row>
    <row r="5199">
      <c r="F5199" s="116" t="str">
        <f t="shared" si="1"/>
        <v/>
      </c>
      <c r="P5199" s="52"/>
    </row>
    <row r="5200">
      <c r="F5200" s="116" t="str">
        <f t="shared" si="1"/>
        <v/>
      </c>
      <c r="P5200" s="52"/>
    </row>
    <row r="5201">
      <c r="F5201" s="116" t="str">
        <f t="shared" si="1"/>
        <v/>
      </c>
      <c r="P5201" s="52"/>
    </row>
    <row r="5202">
      <c r="F5202" s="116" t="str">
        <f t="shared" si="1"/>
        <v/>
      </c>
      <c r="P5202" s="52"/>
    </row>
    <row r="5203">
      <c r="F5203" s="116" t="str">
        <f t="shared" si="1"/>
        <v/>
      </c>
      <c r="P5203" s="52"/>
    </row>
    <row r="5204">
      <c r="F5204" s="116" t="str">
        <f t="shared" si="1"/>
        <v/>
      </c>
      <c r="P5204" s="52"/>
    </row>
    <row r="5205">
      <c r="F5205" s="116" t="str">
        <f t="shared" si="1"/>
        <v/>
      </c>
      <c r="P5205" s="52"/>
    </row>
    <row r="5206">
      <c r="F5206" s="116" t="str">
        <f t="shared" si="1"/>
        <v/>
      </c>
      <c r="P5206" s="52"/>
    </row>
    <row r="5207">
      <c r="F5207" s="116" t="str">
        <f t="shared" si="1"/>
        <v/>
      </c>
      <c r="P5207" s="52"/>
    </row>
    <row r="5208">
      <c r="F5208" s="116" t="str">
        <f t="shared" si="1"/>
        <v/>
      </c>
      <c r="P5208" s="52"/>
    </row>
    <row r="5209">
      <c r="F5209" s="116" t="str">
        <f t="shared" si="1"/>
        <v/>
      </c>
      <c r="P5209" s="52"/>
    </row>
    <row r="5210">
      <c r="F5210" s="116" t="str">
        <f t="shared" si="1"/>
        <v/>
      </c>
      <c r="P5210" s="52"/>
    </row>
    <row r="5211">
      <c r="F5211" s="116" t="str">
        <f t="shared" si="1"/>
        <v/>
      </c>
      <c r="P5211" s="52"/>
    </row>
    <row r="5212">
      <c r="F5212" s="116" t="str">
        <f t="shared" si="1"/>
        <v/>
      </c>
      <c r="P5212" s="52"/>
    </row>
    <row r="5213">
      <c r="F5213" s="116" t="str">
        <f t="shared" si="1"/>
        <v/>
      </c>
      <c r="P5213" s="52"/>
    </row>
    <row r="5214">
      <c r="F5214" s="116" t="str">
        <f t="shared" si="1"/>
        <v/>
      </c>
      <c r="P5214" s="52"/>
    </row>
    <row r="5215">
      <c r="F5215" s="116" t="str">
        <f t="shared" si="1"/>
        <v/>
      </c>
      <c r="P5215" s="52"/>
    </row>
    <row r="5216">
      <c r="F5216" s="116" t="str">
        <f t="shared" si="1"/>
        <v/>
      </c>
      <c r="P5216" s="52"/>
    </row>
    <row r="5217">
      <c r="F5217" s="116" t="str">
        <f t="shared" si="1"/>
        <v/>
      </c>
      <c r="P5217" s="52"/>
    </row>
    <row r="5218">
      <c r="F5218" s="116" t="str">
        <f t="shared" si="1"/>
        <v/>
      </c>
      <c r="P5218" s="52"/>
    </row>
    <row r="5219">
      <c r="F5219" s="116" t="str">
        <f t="shared" si="1"/>
        <v/>
      </c>
      <c r="P5219" s="52"/>
    </row>
    <row r="5220">
      <c r="F5220" s="116" t="str">
        <f t="shared" si="1"/>
        <v/>
      </c>
      <c r="P5220" s="52"/>
    </row>
    <row r="5221">
      <c r="F5221" s="116" t="str">
        <f t="shared" si="1"/>
        <v/>
      </c>
      <c r="P5221" s="52"/>
    </row>
    <row r="5222">
      <c r="F5222" s="116" t="str">
        <f t="shared" si="1"/>
        <v/>
      </c>
      <c r="P5222" s="52"/>
    </row>
    <row r="5223">
      <c r="F5223" s="116" t="str">
        <f t="shared" si="1"/>
        <v/>
      </c>
      <c r="P5223" s="52"/>
    </row>
    <row r="5224">
      <c r="F5224" s="116" t="str">
        <f t="shared" si="1"/>
        <v/>
      </c>
      <c r="P5224" s="52"/>
    </row>
    <row r="5225">
      <c r="F5225" s="116" t="str">
        <f t="shared" si="1"/>
        <v/>
      </c>
      <c r="P5225" s="52"/>
    </row>
    <row r="5226">
      <c r="F5226" s="116" t="str">
        <f t="shared" si="1"/>
        <v/>
      </c>
      <c r="P5226" s="52"/>
    </row>
    <row r="5227">
      <c r="F5227" s="116" t="str">
        <f t="shared" si="1"/>
        <v/>
      </c>
      <c r="P5227" s="52"/>
    </row>
    <row r="5228">
      <c r="F5228" s="116" t="str">
        <f t="shared" si="1"/>
        <v/>
      </c>
      <c r="P5228" s="52"/>
    </row>
    <row r="5229">
      <c r="F5229" s="116" t="str">
        <f t="shared" si="1"/>
        <v/>
      </c>
      <c r="P5229" s="52"/>
    </row>
    <row r="5230">
      <c r="F5230" s="116" t="str">
        <f t="shared" si="1"/>
        <v/>
      </c>
      <c r="P5230" s="52"/>
    </row>
    <row r="5231">
      <c r="F5231" s="116" t="str">
        <f t="shared" si="1"/>
        <v/>
      </c>
      <c r="P5231" s="52"/>
    </row>
    <row r="5232">
      <c r="F5232" s="116" t="str">
        <f t="shared" si="1"/>
        <v/>
      </c>
      <c r="P5232" s="52"/>
    </row>
    <row r="5233">
      <c r="F5233" s="116" t="str">
        <f t="shared" si="1"/>
        <v/>
      </c>
      <c r="P5233" s="52"/>
    </row>
    <row r="5234">
      <c r="F5234" s="116" t="str">
        <f t="shared" si="1"/>
        <v/>
      </c>
      <c r="P5234" s="52"/>
    </row>
    <row r="5235">
      <c r="F5235" s="116" t="str">
        <f t="shared" si="1"/>
        <v/>
      </c>
      <c r="P5235" s="52"/>
    </row>
    <row r="5236">
      <c r="F5236" s="116" t="str">
        <f t="shared" si="1"/>
        <v/>
      </c>
      <c r="P5236" s="52"/>
    </row>
    <row r="5237">
      <c r="F5237" s="116" t="str">
        <f t="shared" si="1"/>
        <v/>
      </c>
      <c r="P5237" s="52"/>
    </row>
    <row r="5238">
      <c r="F5238" s="116" t="str">
        <f t="shared" si="1"/>
        <v/>
      </c>
      <c r="P5238" s="52"/>
    </row>
    <row r="5239">
      <c r="F5239" s="116" t="str">
        <f t="shared" si="1"/>
        <v/>
      </c>
      <c r="P5239" s="52"/>
    </row>
    <row r="5240">
      <c r="F5240" s="116" t="str">
        <f t="shared" si="1"/>
        <v/>
      </c>
      <c r="P5240" s="52"/>
    </row>
    <row r="5241">
      <c r="F5241" s="116" t="str">
        <f t="shared" si="1"/>
        <v/>
      </c>
      <c r="P5241" s="52"/>
    </row>
    <row r="5242">
      <c r="F5242" s="116" t="str">
        <f t="shared" si="1"/>
        <v/>
      </c>
      <c r="P5242" s="52"/>
    </row>
    <row r="5243">
      <c r="F5243" s="116" t="str">
        <f t="shared" si="1"/>
        <v/>
      </c>
      <c r="P5243" s="52"/>
    </row>
    <row r="5244">
      <c r="F5244" s="116" t="str">
        <f t="shared" si="1"/>
        <v/>
      </c>
      <c r="P5244" s="52"/>
    </row>
    <row r="5245">
      <c r="F5245" s="116" t="str">
        <f t="shared" si="1"/>
        <v/>
      </c>
      <c r="P5245" s="52"/>
    </row>
    <row r="5246">
      <c r="F5246" s="116" t="str">
        <f t="shared" si="1"/>
        <v/>
      </c>
      <c r="P5246" s="52"/>
    </row>
    <row r="5247">
      <c r="F5247" s="116" t="str">
        <f t="shared" si="1"/>
        <v/>
      </c>
      <c r="P5247" s="52"/>
    </row>
    <row r="5248">
      <c r="F5248" s="116" t="str">
        <f t="shared" si="1"/>
        <v/>
      </c>
      <c r="P5248" s="52"/>
    </row>
    <row r="5249">
      <c r="F5249" s="116" t="str">
        <f t="shared" si="1"/>
        <v/>
      </c>
      <c r="P5249" s="52"/>
    </row>
    <row r="5250">
      <c r="F5250" s="116" t="str">
        <f t="shared" si="1"/>
        <v/>
      </c>
      <c r="P5250" s="52"/>
    </row>
    <row r="5251">
      <c r="F5251" s="116" t="str">
        <f t="shared" si="1"/>
        <v/>
      </c>
      <c r="P5251" s="52"/>
    </row>
    <row r="5252">
      <c r="F5252" s="116" t="str">
        <f t="shared" si="1"/>
        <v/>
      </c>
      <c r="P5252" s="52"/>
    </row>
    <row r="5253">
      <c r="F5253" s="116" t="str">
        <f t="shared" si="1"/>
        <v/>
      </c>
      <c r="P5253" s="52"/>
    </row>
    <row r="5254">
      <c r="F5254" s="116" t="str">
        <f t="shared" si="1"/>
        <v/>
      </c>
      <c r="P5254" s="52"/>
    </row>
    <row r="5255">
      <c r="F5255" s="116" t="str">
        <f t="shared" si="1"/>
        <v/>
      </c>
      <c r="P5255" s="52"/>
    </row>
    <row r="5256">
      <c r="F5256" s="116" t="str">
        <f t="shared" si="1"/>
        <v/>
      </c>
      <c r="P5256" s="52"/>
    </row>
    <row r="5257">
      <c r="F5257" s="116" t="str">
        <f t="shared" si="1"/>
        <v/>
      </c>
      <c r="P5257" s="52"/>
    </row>
    <row r="5258">
      <c r="F5258" s="116" t="str">
        <f t="shared" si="1"/>
        <v/>
      </c>
      <c r="P5258" s="52"/>
    </row>
    <row r="5259">
      <c r="F5259" s="116" t="str">
        <f t="shared" si="1"/>
        <v/>
      </c>
      <c r="P5259" s="52"/>
    </row>
    <row r="5260">
      <c r="F5260" s="116" t="str">
        <f t="shared" si="1"/>
        <v/>
      </c>
      <c r="P5260" s="52"/>
    </row>
    <row r="5261">
      <c r="F5261" s="116" t="str">
        <f t="shared" si="1"/>
        <v/>
      </c>
      <c r="P5261" s="52"/>
    </row>
    <row r="5262">
      <c r="F5262" s="116" t="str">
        <f t="shared" si="1"/>
        <v/>
      </c>
      <c r="P5262" s="52"/>
    </row>
    <row r="5263">
      <c r="F5263" s="116" t="str">
        <f t="shared" si="1"/>
        <v/>
      </c>
      <c r="P5263" s="52"/>
    </row>
    <row r="5264">
      <c r="F5264" s="116" t="str">
        <f t="shared" si="1"/>
        <v/>
      </c>
      <c r="P5264" s="52"/>
    </row>
    <row r="5265">
      <c r="F5265" s="116" t="str">
        <f t="shared" si="1"/>
        <v/>
      </c>
      <c r="P5265" s="52"/>
    </row>
    <row r="5266">
      <c r="F5266" s="116" t="str">
        <f t="shared" si="1"/>
        <v/>
      </c>
      <c r="P5266" s="52"/>
    </row>
    <row r="5267">
      <c r="F5267" s="116" t="str">
        <f t="shared" si="1"/>
        <v/>
      </c>
      <c r="P5267" s="52"/>
    </row>
    <row r="5268">
      <c r="F5268" s="116" t="str">
        <f t="shared" si="1"/>
        <v/>
      </c>
      <c r="P5268" s="52"/>
    </row>
    <row r="5269">
      <c r="F5269" s="116" t="str">
        <f t="shared" si="1"/>
        <v/>
      </c>
      <c r="P5269" s="52"/>
    </row>
    <row r="5270">
      <c r="F5270" s="116" t="str">
        <f t="shared" si="1"/>
        <v/>
      </c>
      <c r="P5270" s="52"/>
    </row>
    <row r="5271">
      <c r="F5271" s="116" t="str">
        <f t="shared" si="1"/>
        <v/>
      </c>
      <c r="P5271" s="52"/>
    </row>
    <row r="5272">
      <c r="F5272" s="116" t="str">
        <f t="shared" si="1"/>
        <v/>
      </c>
      <c r="P5272" s="52"/>
    </row>
    <row r="5273">
      <c r="F5273" s="116" t="str">
        <f t="shared" si="1"/>
        <v/>
      </c>
      <c r="P5273" s="52"/>
    </row>
    <row r="5274">
      <c r="F5274" s="116" t="str">
        <f t="shared" si="1"/>
        <v/>
      </c>
      <c r="P5274" s="52"/>
    </row>
    <row r="5275">
      <c r="F5275" s="116" t="str">
        <f t="shared" si="1"/>
        <v/>
      </c>
      <c r="P5275" s="52"/>
    </row>
    <row r="5276">
      <c r="F5276" s="116" t="str">
        <f t="shared" si="1"/>
        <v/>
      </c>
      <c r="P5276" s="52"/>
    </row>
    <row r="5277">
      <c r="F5277" s="116" t="str">
        <f t="shared" si="1"/>
        <v/>
      </c>
      <c r="P5277" s="52"/>
    </row>
    <row r="5278">
      <c r="F5278" s="116" t="str">
        <f t="shared" si="1"/>
        <v/>
      </c>
      <c r="P5278" s="52"/>
    </row>
    <row r="5279">
      <c r="F5279" s="116" t="str">
        <f t="shared" si="1"/>
        <v/>
      </c>
      <c r="P5279" s="52"/>
    </row>
    <row r="5280">
      <c r="F5280" s="116" t="str">
        <f t="shared" si="1"/>
        <v/>
      </c>
      <c r="P5280" s="52"/>
    </row>
    <row r="5281">
      <c r="F5281" s="116" t="str">
        <f t="shared" si="1"/>
        <v/>
      </c>
      <c r="P5281" s="52"/>
    </row>
    <row r="5282">
      <c r="F5282" s="116" t="str">
        <f t="shared" si="1"/>
        <v/>
      </c>
      <c r="P5282" s="52"/>
    </row>
    <row r="5283">
      <c r="F5283" s="116" t="str">
        <f t="shared" si="1"/>
        <v/>
      </c>
      <c r="P5283" s="52"/>
    </row>
    <row r="5284">
      <c r="F5284" s="116" t="str">
        <f t="shared" si="1"/>
        <v/>
      </c>
      <c r="P5284" s="52"/>
    </row>
    <row r="5285">
      <c r="F5285" s="116" t="str">
        <f t="shared" si="1"/>
        <v/>
      </c>
      <c r="P5285" s="52"/>
    </row>
    <row r="5286">
      <c r="F5286" s="116" t="str">
        <f t="shared" si="1"/>
        <v/>
      </c>
      <c r="P5286" s="52"/>
    </row>
    <row r="5287">
      <c r="F5287" s="116" t="str">
        <f t="shared" si="1"/>
        <v/>
      </c>
      <c r="P5287" s="52"/>
    </row>
    <row r="5288">
      <c r="F5288" s="116" t="str">
        <f t="shared" si="1"/>
        <v/>
      </c>
      <c r="P5288" s="52"/>
    </row>
    <row r="5289">
      <c r="F5289" s="116" t="str">
        <f t="shared" si="1"/>
        <v/>
      </c>
      <c r="P5289" s="52"/>
    </row>
    <row r="5290">
      <c r="F5290" s="116" t="str">
        <f t="shared" si="1"/>
        <v/>
      </c>
      <c r="P5290" s="52"/>
    </row>
    <row r="5291">
      <c r="F5291" s="116" t="str">
        <f t="shared" si="1"/>
        <v/>
      </c>
      <c r="P5291" s="52"/>
    </row>
    <row r="5292">
      <c r="F5292" s="116" t="str">
        <f t="shared" si="1"/>
        <v/>
      </c>
      <c r="P5292" s="52"/>
    </row>
    <row r="5293">
      <c r="F5293" s="116" t="str">
        <f t="shared" si="1"/>
        <v/>
      </c>
      <c r="P5293" s="52"/>
    </row>
    <row r="5294">
      <c r="F5294" s="116" t="str">
        <f t="shared" si="1"/>
        <v/>
      </c>
      <c r="P5294" s="52"/>
    </row>
    <row r="5295">
      <c r="F5295" s="116" t="str">
        <f t="shared" si="1"/>
        <v/>
      </c>
      <c r="P5295" s="52"/>
    </row>
    <row r="5296">
      <c r="F5296" s="116" t="str">
        <f t="shared" si="1"/>
        <v/>
      </c>
      <c r="P5296" s="52"/>
    </row>
    <row r="5297">
      <c r="F5297" s="116" t="str">
        <f t="shared" si="1"/>
        <v/>
      </c>
      <c r="P5297" s="52"/>
    </row>
    <row r="5298">
      <c r="F5298" s="116" t="str">
        <f t="shared" si="1"/>
        <v/>
      </c>
      <c r="P5298" s="52"/>
    </row>
    <row r="5299">
      <c r="F5299" s="116" t="str">
        <f t="shared" si="1"/>
        <v/>
      </c>
      <c r="P5299" s="52"/>
    </row>
    <row r="5300">
      <c r="F5300" s="116" t="str">
        <f t="shared" si="1"/>
        <v/>
      </c>
      <c r="P5300" s="52"/>
    </row>
    <row r="5301">
      <c r="F5301" s="116" t="str">
        <f t="shared" si="1"/>
        <v/>
      </c>
      <c r="P5301" s="52"/>
    </row>
    <row r="5302">
      <c r="F5302" s="116" t="str">
        <f t="shared" si="1"/>
        <v/>
      </c>
      <c r="P5302" s="52"/>
    </row>
    <row r="5303">
      <c r="F5303" s="116" t="str">
        <f t="shared" si="1"/>
        <v/>
      </c>
      <c r="P5303" s="52"/>
    </row>
    <row r="5304">
      <c r="F5304" s="116" t="str">
        <f t="shared" si="1"/>
        <v/>
      </c>
      <c r="P5304" s="52"/>
    </row>
    <row r="5305">
      <c r="F5305" s="116" t="str">
        <f t="shared" si="1"/>
        <v/>
      </c>
      <c r="P5305" s="52"/>
    </row>
    <row r="5306">
      <c r="F5306" s="116" t="str">
        <f t="shared" si="1"/>
        <v/>
      </c>
      <c r="P5306" s="52"/>
    </row>
    <row r="5307">
      <c r="F5307" s="116" t="str">
        <f t="shared" si="1"/>
        <v/>
      </c>
      <c r="P5307" s="52"/>
    </row>
    <row r="5308">
      <c r="F5308" s="116" t="str">
        <f t="shared" si="1"/>
        <v/>
      </c>
      <c r="P5308" s="52"/>
    </row>
    <row r="5309">
      <c r="F5309" s="116" t="str">
        <f t="shared" si="1"/>
        <v/>
      </c>
      <c r="P5309" s="52"/>
    </row>
    <row r="5310">
      <c r="F5310" s="116" t="str">
        <f t="shared" si="1"/>
        <v/>
      </c>
      <c r="P5310" s="52"/>
    </row>
    <row r="5311">
      <c r="F5311" s="116" t="str">
        <f t="shared" si="1"/>
        <v/>
      </c>
      <c r="P5311" s="52"/>
    </row>
    <row r="5312">
      <c r="F5312" s="116" t="str">
        <f t="shared" si="1"/>
        <v/>
      </c>
      <c r="P5312" s="52"/>
    </row>
    <row r="5313">
      <c r="F5313" s="116" t="str">
        <f t="shared" si="1"/>
        <v/>
      </c>
      <c r="P5313" s="52"/>
    </row>
    <row r="5314">
      <c r="F5314" s="116" t="str">
        <f t="shared" si="1"/>
        <v/>
      </c>
      <c r="P5314" s="52"/>
    </row>
    <row r="5315">
      <c r="F5315" s="116" t="str">
        <f t="shared" si="1"/>
        <v/>
      </c>
      <c r="P5315" s="52"/>
    </row>
    <row r="5316">
      <c r="F5316" s="116" t="str">
        <f t="shared" si="1"/>
        <v/>
      </c>
      <c r="P5316" s="52"/>
    </row>
    <row r="5317">
      <c r="F5317" s="116" t="str">
        <f t="shared" si="1"/>
        <v/>
      </c>
      <c r="P5317" s="52"/>
    </row>
    <row r="5318">
      <c r="F5318" s="116" t="str">
        <f t="shared" si="1"/>
        <v/>
      </c>
      <c r="P5318" s="52"/>
    </row>
    <row r="5319">
      <c r="F5319" s="116" t="str">
        <f t="shared" si="1"/>
        <v/>
      </c>
      <c r="P5319" s="52"/>
    </row>
    <row r="5320">
      <c r="F5320" s="116" t="str">
        <f t="shared" si="1"/>
        <v/>
      </c>
      <c r="P5320" s="52"/>
    </row>
    <row r="5321">
      <c r="F5321" s="116" t="str">
        <f t="shared" si="1"/>
        <v/>
      </c>
      <c r="P5321" s="52"/>
    </row>
    <row r="5322">
      <c r="F5322" s="116" t="str">
        <f t="shared" si="1"/>
        <v/>
      </c>
      <c r="P5322" s="52"/>
    </row>
    <row r="5323">
      <c r="F5323" s="116" t="str">
        <f t="shared" si="1"/>
        <v/>
      </c>
      <c r="P5323" s="52"/>
    </row>
    <row r="5324">
      <c r="F5324" s="116" t="str">
        <f t="shared" si="1"/>
        <v/>
      </c>
      <c r="P5324" s="52"/>
    </row>
    <row r="5325">
      <c r="F5325" s="116" t="str">
        <f t="shared" si="1"/>
        <v/>
      </c>
      <c r="P5325" s="52"/>
    </row>
    <row r="5326">
      <c r="F5326" s="116" t="str">
        <f t="shared" si="1"/>
        <v/>
      </c>
      <c r="P5326" s="52"/>
    </row>
    <row r="5327">
      <c r="F5327" s="116" t="str">
        <f t="shared" si="1"/>
        <v/>
      </c>
      <c r="P5327" s="52"/>
    </row>
    <row r="5328">
      <c r="F5328" s="116" t="str">
        <f t="shared" si="1"/>
        <v/>
      </c>
      <c r="P5328" s="52"/>
    </row>
    <row r="5329">
      <c r="F5329" s="116" t="str">
        <f t="shared" si="1"/>
        <v/>
      </c>
      <c r="P5329" s="52"/>
    </row>
    <row r="5330">
      <c r="F5330" s="116" t="str">
        <f t="shared" si="1"/>
        <v/>
      </c>
      <c r="P5330" s="52"/>
    </row>
    <row r="5331">
      <c r="F5331" s="116" t="str">
        <f t="shared" si="1"/>
        <v/>
      </c>
      <c r="P5331" s="52"/>
    </row>
    <row r="5332">
      <c r="F5332" s="116" t="str">
        <f t="shared" si="1"/>
        <v/>
      </c>
      <c r="P5332" s="52"/>
    </row>
    <row r="5333">
      <c r="F5333" s="116" t="str">
        <f t="shared" si="1"/>
        <v/>
      </c>
      <c r="P5333" s="52"/>
    </row>
    <row r="5334">
      <c r="F5334" s="116" t="str">
        <f t="shared" si="1"/>
        <v/>
      </c>
      <c r="P5334" s="52"/>
    </row>
    <row r="5335">
      <c r="F5335" s="116" t="str">
        <f t="shared" si="1"/>
        <v/>
      </c>
      <c r="P5335" s="52"/>
    </row>
    <row r="5336">
      <c r="F5336" s="116" t="str">
        <f t="shared" si="1"/>
        <v/>
      </c>
      <c r="P5336" s="52"/>
    </row>
    <row r="5337">
      <c r="F5337" s="116" t="str">
        <f t="shared" si="1"/>
        <v/>
      </c>
      <c r="P5337" s="52"/>
    </row>
    <row r="5338">
      <c r="F5338" s="116" t="str">
        <f t="shared" si="1"/>
        <v/>
      </c>
      <c r="P5338" s="52"/>
    </row>
    <row r="5339">
      <c r="F5339" s="116" t="str">
        <f t="shared" si="1"/>
        <v/>
      </c>
      <c r="P5339" s="52"/>
    </row>
    <row r="5340">
      <c r="F5340" s="116" t="str">
        <f t="shared" si="1"/>
        <v/>
      </c>
      <c r="P5340" s="52"/>
    </row>
    <row r="5341">
      <c r="F5341" s="116" t="str">
        <f t="shared" si="1"/>
        <v/>
      </c>
      <c r="P5341" s="52"/>
    </row>
    <row r="5342">
      <c r="F5342" s="116" t="str">
        <f t="shared" si="1"/>
        <v/>
      </c>
      <c r="P5342" s="52"/>
    </row>
    <row r="5343">
      <c r="F5343" s="116" t="str">
        <f t="shared" si="1"/>
        <v/>
      </c>
      <c r="P5343" s="52"/>
    </row>
    <row r="5344">
      <c r="F5344" s="116" t="str">
        <f t="shared" si="1"/>
        <v/>
      </c>
      <c r="P5344" s="52"/>
    </row>
    <row r="5345">
      <c r="F5345" s="116" t="str">
        <f t="shared" si="1"/>
        <v/>
      </c>
      <c r="P5345" s="52"/>
    </row>
    <row r="5346">
      <c r="F5346" s="116" t="str">
        <f t="shared" si="1"/>
        <v/>
      </c>
      <c r="P5346" s="52"/>
    </row>
    <row r="5347">
      <c r="F5347" s="116" t="str">
        <f t="shared" si="1"/>
        <v/>
      </c>
      <c r="P5347" s="52"/>
    </row>
    <row r="5348">
      <c r="F5348" s="116" t="str">
        <f t="shared" si="1"/>
        <v/>
      </c>
      <c r="P5348" s="52"/>
    </row>
    <row r="5349">
      <c r="F5349" s="116" t="str">
        <f t="shared" si="1"/>
        <v/>
      </c>
      <c r="P5349" s="52"/>
    </row>
    <row r="5350">
      <c r="F5350" s="116" t="str">
        <f t="shared" si="1"/>
        <v/>
      </c>
      <c r="P5350" s="52"/>
    </row>
    <row r="5351">
      <c r="F5351" s="116" t="str">
        <f t="shared" si="1"/>
        <v/>
      </c>
      <c r="P5351" s="52"/>
    </row>
    <row r="5352">
      <c r="F5352" s="116" t="str">
        <f t="shared" si="1"/>
        <v/>
      </c>
      <c r="P5352" s="52"/>
    </row>
    <row r="5353">
      <c r="F5353" s="116" t="str">
        <f t="shared" si="1"/>
        <v/>
      </c>
      <c r="P5353" s="52"/>
    </row>
    <row r="5354">
      <c r="F5354" s="116" t="str">
        <f t="shared" si="1"/>
        <v/>
      </c>
      <c r="P5354" s="52"/>
    </row>
    <row r="5355">
      <c r="F5355" s="116" t="str">
        <f t="shared" si="1"/>
        <v/>
      </c>
      <c r="P5355" s="52"/>
    </row>
    <row r="5356">
      <c r="F5356" s="116" t="str">
        <f t="shared" si="1"/>
        <v/>
      </c>
      <c r="P5356" s="52"/>
    </row>
    <row r="5357">
      <c r="F5357" s="116" t="str">
        <f t="shared" si="1"/>
        <v/>
      </c>
      <c r="P5357" s="52"/>
    </row>
    <row r="5358">
      <c r="F5358" s="116" t="str">
        <f t="shared" si="1"/>
        <v/>
      </c>
      <c r="P5358" s="52"/>
    </row>
    <row r="5359">
      <c r="F5359" s="116" t="str">
        <f t="shared" si="1"/>
        <v/>
      </c>
      <c r="P5359" s="52"/>
    </row>
    <row r="5360">
      <c r="F5360" s="116" t="str">
        <f t="shared" si="1"/>
        <v/>
      </c>
      <c r="P5360" s="52"/>
    </row>
    <row r="5361">
      <c r="F5361" s="116" t="str">
        <f t="shared" si="1"/>
        <v/>
      </c>
      <c r="P5361" s="52"/>
    </row>
    <row r="5362">
      <c r="F5362" s="116" t="str">
        <f t="shared" si="1"/>
        <v/>
      </c>
      <c r="P5362" s="52"/>
    </row>
    <row r="5363">
      <c r="F5363" s="116" t="str">
        <f t="shared" si="1"/>
        <v/>
      </c>
      <c r="P5363" s="52"/>
    </row>
    <row r="5364">
      <c r="F5364" s="116" t="str">
        <f t="shared" si="1"/>
        <v/>
      </c>
      <c r="P5364" s="52"/>
    </row>
    <row r="5365">
      <c r="F5365" s="116" t="str">
        <f t="shared" si="1"/>
        <v/>
      </c>
      <c r="P5365" s="52"/>
    </row>
    <row r="5366">
      <c r="F5366" s="116" t="str">
        <f t="shared" si="1"/>
        <v/>
      </c>
      <c r="P5366" s="52"/>
    </row>
    <row r="5367">
      <c r="F5367" s="116" t="str">
        <f t="shared" si="1"/>
        <v/>
      </c>
      <c r="P5367" s="52"/>
    </row>
    <row r="5368">
      <c r="F5368" s="116" t="str">
        <f t="shared" si="1"/>
        <v/>
      </c>
      <c r="P5368" s="52"/>
    </row>
    <row r="5369">
      <c r="F5369" s="116" t="str">
        <f t="shared" si="1"/>
        <v/>
      </c>
      <c r="P5369" s="52"/>
    </row>
    <row r="5370">
      <c r="F5370" s="116" t="str">
        <f t="shared" si="1"/>
        <v/>
      </c>
      <c r="P5370" s="52"/>
    </row>
    <row r="5371">
      <c r="F5371" s="116" t="str">
        <f t="shared" si="1"/>
        <v/>
      </c>
      <c r="P5371" s="52"/>
    </row>
    <row r="5372">
      <c r="F5372" s="116" t="str">
        <f t="shared" si="1"/>
        <v/>
      </c>
      <c r="P5372" s="52"/>
    </row>
    <row r="5373">
      <c r="F5373" s="116" t="str">
        <f t="shared" si="1"/>
        <v/>
      </c>
      <c r="P5373" s="52"/>
    </row>
    <row r="5374">
      <c r="F5374" s="116" t="str">
        <f t="shared" si="1"/>
        <v/>
      </c>
      <c r="P5374" s="52"/>
    </row>
    <row r="5375">
      <c r="F5375" s="116" t="str">
        <f t="shared" si="1"/>
        <v/>
      </c>
      <c r="P5375" s="52"/>
    </row>
    <row r="5376">
      <c r="F5376" s="116" t="str">
        <f t="shared" si="1"/>
        <v/>
      </c>
      <c r="P5376" s="52"/>
    </row>
    <row r="5377">
      <c r="F5377" s="116" t="str">
        <f t="shared" si="1"/>
        <v/>
      </c>
      <c r="P5377" s="52"/>
    </row>
    <row r="5378">
      <c r="F5378" s="116" t="str">
        <f t="shared" si="1"/>
        <v/>
      </c>
      <c r="P5378" s="52"/>
    </row>
    <row r="5379">
      <c r="F5379" s="116" t="str">
        <f t="shared" si="1"/>
        <v/>
      </c>
      <c r="P5379" s="52"/>
    </row>
    <row r="5380">
      <c r="F5380" s="116" t="str">
        <f t="shared" si="1"/>
        <v/>
      </c>
      <c r="P5380" s="52"/>
    </row>
    <row r="5381">
      <c r="F5381" s="116" t="str">
        <f t="shared" si="1"/>
        <v/>
      </c>
      <c r="P5381" s="52"/>
    </row>
    <row r="5382">
      <c r="F5382" s="116" t="str">
        <f t="shared" si="1"/>
        <v/>
      </c>
      <c r="P5382" s="52"/>
    </row>
    <row r="5383">
      <c r="F5383" s="116" t="str">
        <f t="shared" si="1"/>
        <v/>
      </c>
      <c r="P5383" s="52"/>
    </row>
    <row r="5384">
      <c r="F5384" s="116" t="str">
        <f t="shared" si="1"/>
        <v/>
      </c>
      <c r="P5384" s="52"/>
    </row>
    <row r="5385">
      <c r="F5385" s="116" t="str">
        <f t="shared" si="1"/>
        <v/>
      </c>
      <c r="P5385" s="52"/>
    </row>
    <row r="5386">
      <c r="F5386" s="116" t="str">
        <f t="shared" si="1"/>
        <v/>
      </c>
      <c r="P5386" s="52"/>
    </row>
    <row r="5387">
      <c r="F5387" s="116" t="str">
        <f t="shared" si="1"/>
        <v/>
      </c>
      <c r="P5387" s="52"/>
    </row>
    <row r="5388">
      <c r="F5388" s="116" t="str">
        <f t="shared" si="1"/>
        <v/>
      </c>
      <c r="P5388" s="52"/>
    </row>
    <row r="5389">
      <c r="F5389" s="116" t="str">
        <f t="shared" si="1"/>
        <v/>
      </c>
      <c r="P5389" s="52"/>
    </row>
    <row r="5390">
      <c r="F5390" s="116" t="str">
        <f t="shared" si="1"/>
        <v/>
      </c>
      <c r="P5390" s="52"/>
    </row>
    <row r="5391">
      <c r="F5391" s="116" t="str">
        <f t="shared" si="1"/>
        <v/>
      </c>
      <c r="P5391" s="52"/>
    </row>
    <row r="5392">
      <c r="F5392" s="116" t="str">
        <f t="shared" si="1"/>
        <v/>
      </c>
      <c r="P5392" s="52"/>
    </row>
    <row r="5393">
      <c r="F5393" s="116" t="str">
        <f t="shared" si="1"/>
        <v/>
      </c>
      <c r="P5393" s="52"/>
    </row>
    <row r="5394">
      <c r="F5394" s="116" t="str">
        <f t="shared" si="1"/>
        <v/>
      </c>
      <c r="P5394" s="52"/>
    </row>
    <row r="5395">
      <c r="F5395" s="116" t="str">
        <f t="shared" si="1"/>
        <v/>
      </c>
      <c r="P5395" s="52"/>
    </row>
    <row r="5396">
      <c r="F5396" s="116" t="str">
        <f t="shared" si="1"/>
        <v/>
      </c>
      <c r="P5396" s="52"/>
    </row>
    <row r="5397">
      <c r="F5397" s="116" t="str">
        <f t="shared" si="1"/>
        <v/>
      </c>
      <c r="P5397" s="52"/>
    </row>
    <row r="5398">
      <c r="F5398" s="116" t="str">
        <f t="shared" si="1"/>
        <v/>
      </c>
      <c r="P5398" s="52"/>
    </row>
    <row r="5399">
      <c r="F5399" s="116" t="str">
        <f t="shared" si="1"/>
        <v/>
      </c>
      <c r="P5399" s="52"/>
    </row>
    <row r="5400">
      <c r="F5400" s="116" t="str">
        <f t="shared" si="1"/>
        <v/>
      </c>
      <c r="P5400" s="52"/>
    </row>
    <row r="5401">
      <c r="F5401" s="116" t="str">
        <f t="shared" si="1"/>
        <v/>
      </c>
      <c r="P5401" s="52"/>
    </row>
    <row r="5402">
      <c r="F5402" s="116" t="str">
        <f t="shared" si="1"/>
        <v/>
      </c>
      <c r="P5402" s="52"/>
    </row>
    <row r="5403">
      <c r="F5403" s="116" t="str">
        <f t="shared" si="1"/>
        <v/>
      </c>
      <c r="P5403" s="52"/>
    </row>
    <row r="5404">
      <c r="F5404" s="116" t="str">
        <f t="shared" si="1"/>
        <v/>
      </c>
      <c r="P5404" s="52"/>
    </row>
    <row r="5405">
      <c r="F5405" s="116" t="str">
        <f t="shared" si="1"/>
        <v/>
      </c>
      <c r="P5405" s="52"/>
    </row>
    <row r="5406">
      <c r="F5406" s="116" t="str">
        <f t="shared" si="1"/>
        <v/>
      </c>
      <c r="P5406" s="52"/>
    </row>
    <row r="5407">
      <c r="F5407" s="116" t="str">
        <f t="shared" si="1"/>
        <v/>
      </c>
      <c r="P5407" s="52"/>
    </row>
    <row r="5408">
      <c r="F5408" s="116" t="str">
        <f t="shared" si="1"/>
        <v/>
      </c>
      <c r="P5408" s="52"/>
    </row>
    <row r="5409">
      <c r="F5409" s="116" t="str">
        <f t="shared" si="1"/>
        <v/>
      </c>
      <c r="P5409" s="52"/>
    </row>
    <row r="5410">
      <c r="F5410" s="116" t="str">
        <f t="shared" si="1"/>
        <v/>
      </c>
      <c r="P5410" s="52"/>
    </row>
    <row r="5411">
      <c r="F5411" s="116" t="str">
        <f t="shared" si="1"/>
        <v/>
      </c>
      <c r="P5411" s="52"/>
    </row>
    <row r="5412">
      <c r="F5412" s="116" t="str">
        <f t="shared" si="1"/>
        <v/>
      </c>
      <c r="P5412" s="52"/>
    </row>
    <row r="5413">
      <c r="F5413" s="116" t="str">
        <f t="shared" si="1"/>
        <v/>
      </c>
      <c r="P5413" s="52"/>
    </row>
    <row r="5414">
      <c r="F5414" s="116" t="str">
        <f t="shared" si="1"/>
        <v/>
      </c>
      <c r="P5414" s="52"/>
    </row>
    <row r="5415">
      <c r="F5415" s="116" t="str">
        <f t="shared" si="1"/>
        <v/>
      </c>
      <c r="P5415" s="52"/>
    </row>
    <row r="5416">
      <c r="F5416" s="116" t="str">
        <f t="shared" si="1"/>
        <v/>
      </c>
      <c r="P5416" s="52"/>
    </row>
    <row r="5417">
      <c r="F5417" s="116" t="str">
        <f t="shared" si="1"/>
        <v/>
      </c>
      <c r="P5417" s="52"/>
    </row>
    <row r="5418">
      <c r="F5418" s="116" t="str">
        <f t="shared" si="1"/>
        <v/>
      </c>
      <c r="P5418" s="52"/>
    </row>
    <row r="5419">
      <c r="F5419" s="116" t="str">
        <f t="shared" si="1"/>
        <v/>
      </c>
      <c r="P5419" s="52"/>
    </row>
    <row r="5420">
      <c r="F5420" s="116" t="str">
        <f t="shared" si="1"/>
        <v/>
      </c>
      <c r="P5420" s="52"/>
    </row>
    <row r="5421">
      <c r="F5421" s="116" t="str">
        <f t="shared" si="1"/>
        <v/>
      </c>
      <c r="P5421" s="52"/>
    </row>
    <row r="5422">
      <c r="F5422" s="116" t="str">
        <f t="shared" si="1"/>
        <v/>
      </c>
      <c r="P5422" s="52"/>
    </row>
    <row r="5423">
      <c r="F5423" s="116" t="str">
        <f t="shared" si="1"/>
        <v/>
      </c>
      <c r="P5423" s="52"/>
    </row>
    <row r="5424">
      <c r="F5424" s="116" t="str">
        <f t="shared" si="1"/>
        <v/>
      </c>
      <c r="P5424" s="52"/>
    </row>
    <row r="5425">
      <c r="F5425" s="116" t="str">
        <f t="shared" si="1"/>
        <v/>
      </c>
      <c r="P5425" s="52"/>
    </row>
    <row r="5426">
      <c r="F5426" s="116" t="str">
        <f t="shared" si="1"/>
        <v/>
      </c>
      <c r="P5426" s="52"/>
    </row>
    <row r="5427">
      <c r="F5427" s="116" t="str">
        <f t="shared" si="1"/>
        <v/>
      </c>
      <c r="P5427" s="52"/>
    </row>
    <row r="5428">
      <c r="F5428" s="116" t="str">
        <f t="shared" si="1"/>
        <v/>
      </c>
      <c r="P5428" s="52"/>
    </row>
    <row r="5429">
      <c r="F5429" s="116" t="str">
        <f t="shared" si="1"/>
        <v/>
      </c>
      <c r="P5429" s="52"/>
    </row>
    <row r="5430">
      <c r="F5430" s="116" t="str">
        <f t="shared" si="1"/>
        <v/>
      </c>
      <c r="P5430" s="52"/>
    </row>
    <row r="5431">
      <c r="F5431" s="116" t="str">
        <f t="shared" si="1"/>
        <v/>
      </c>
      <c r="P5431" s="52"/>
    </row>
    <row r="5432">
      <c r="F5432" s="116" t="str">
        <f t="shared" si="1"/>
        <v/>
      </c>
      <c r="P5432" s="52"/>
    </row>
    <row r="5433">
      <c r="F5433" s="116" t="str">
        <f t="shared" si="1"/>
        <v/>
      </c>
      <c r="P5433" s="52"/>
    </row>
    <row r="5434">
      <c r="F5434" s="116" t="str">
        <f t="shared" si="1"/>
        <v/>
      </c>
      <c r="P5434" s="52"/>
    </row>
    <row r="5435">
      <c r="F5435" s="116" t="str">
        <f t="shared" si="1"/>
        <v/>
      </c>
      <c r="P5435" s="52"/>
    </row>
    <row r="5436">
      <c r="F5436" s="116" t="str">
        <f t="shared" si="1"/>
        <v/>
      </c>
      <c r="P5436" s="52"/>
    </row>
    <row r="5437">
      <c r="F5437" s="116" t="str">
        <f t="shared" si="1"/>
        <v/>
      </c>
      <c r="P5437" s="52"/>
    </row>
    <row r="5438">
      <c r="F5438" s="116" t="str">
        <f t="shared" si="1"/>
        <v/>
      </c>
      <c r="P5438" s="52"/>
    </row>
    <row r="5439">
      <c r="F5439" s="116" t="str">
        <f t="shared" si="1"/>
        <v/>
      </c>
      <c r="P5439" s="52"/>
    </row>
    <row r="5440">
      <c r="F5440" s="116" t="str">
        <f t="shared" si="1"/>
        <v/>
      </c>
      <c r="P5440" s="52"/>
    </row>
    <row r="5441">
      <c r="F5441" s="116" t="str">
        <f t="shared" si="1"/>
        <v/>
      </c>
      <c r="P5441" s="52"/>
    </row>
    <row r="5442">
      <c r="F5442" s="116" t="str">
        <f t="shared" si="1"/>
        <v/>
      </c>
      <c r="P5442" s="52"/>
    </row>
    <row r="5443">
      <c r="F5443" s="116" t="str">
        <f t="shared" si="1"/>
        <v/>
      </c>
      <c r="P5443" s="52"/>
    </row>
    <row r="5444">
      <c r="F5444" s="116" t="str">
        <f t="shared" si="1"/>
        <v/>
      </c>
      <c r="P5444" s="52"/>
    </row>
    <row r="5445">
      <c r="F5445" s="116" t="str">
        <f t="shared" si="1"/>
        <v/>
      </c>
      <c r="P5445" s="52"/>
    </row>
    <row r="5446">
      <c r="F5446" s="116" t="str">
        <f t="shared" si="1"/>
        <v/>
      </c>
      <c r="P5446" s="52"/>
    </row>
    <row r="5447">
      <c r="F5447" s="116" t="str">
        <f t="shared" si="1"/>
        <v/>
      </c>
      <c r="P5447" s="52"/>
    </row>
    <row r="5448">
      <c r="F5448" s="116" t="str">
        <f t="shared" si="1"/>
        <v/>
      </c>
      <c r="P5448" s="52"/>
    </row>
    <row r="5449">
      <c r="F5449" s="116" t="str">
        <f t="shared" si="1"/>
        <v/>
      </c>
      <c r="P5449" s="52"/>
    </row>
    <row r="5450">
      <c r="F5450" s="116" t="str">
        <f t="shared" si="1"/>
        <v/>
      </c>
      <c r="P5450" s="52"/>
    </row>
    <row r="5451">
      <c r="F5451" s="116" t="str">
        <f t="shared" si="1"/>
        <v/>
      </c>
      <c r="P5451" s="52"/>
    </row>
    <row r="5452">
      <c r="F5452" s="116" t="str">
        <f t="shared" si="1"/>
        <v/>
      </c>
      <c r="P5452" s="52"/>
    </row>
    <row r="5453">
      <c r="F5453" s="116" t="str">
        <f t="shared" si="1"/>
        <v/>
      </c>
      <c r="P5453" s="52"/>
    </row>
    <row r="5454">
      <c r="F5454" s="116" t="str">
        <f t="shared" si="1"/>
        <v/>
      </c>
      <c r="P5454" s="52"/>
    </row>
    <row r="5455">
      <c r="F5455" s="116" t="str">
        <f t="shared" si="1"/>
        <v/>
      </c>
      <c r="P5455" s="52"/>
    </row>
    <row r="5456">
      <c r="F5456" s="116" t="str">
        <f t="shared" si="1"/>
        <v/>
      </c>
      <c r="P5456" s="52"/>
    </row>
    <row r="5457">
      <c r="F5457" s="116" t="str">
        <f t="shared" si="1"/>
        <v/>
      </c>
      <c r="P5457" s="52"/>
    </row>
    <row r="5458">
      <c r="F5458" s="116" t="str">
        <f t="shared" si="1"/>
        <v/>
      </c>
      <c r="P5458" s="52"/>
    </row>
    <row r="5459">
      <c r="F5459" s="116" t="str">
        <f t="shared" si="1"/>
        <v/>
      </c>
      <c r="P5459" s="52"/>
    </row>
    <row r="5460">
      <c r="F5460" s="116" t="str">
        <f t="shared" si="1"/>
        <v/>
      </c>
      <c r="P5460" s="52"/>
    </row>
    <row r="5461">
      <c r="F5461" s="116" t="str">
        <f t="shared" si="1"/>
        <v/>
      </c>
      <c r="P5461" s="52"/>
    </row>
    <row r="5462">
      <c r="F5462" s="116" t="str">
        <f t="shared" si="1"/>
        <v/>
      </c>
      <c r="P5462" s="52"/>
    </row>
    <row r="5463">
      <c r="F5463" s="116" t="str">
        <f t="shared" si="1"/>
        <v/>
      </c>
      <c r="P5463" s="52"/>
    </row>
    <row r="5464">
      <c r="F5464" s="116" t="str">
        <f t="shared" si="1"/>
        <v/>
      </c>
      <c r="P5464" s="52"/>
    </row>
    <row r="5465">
      <c r="F5465" s="116" t="str">
        <f t="shared" si="1"/>
        <v/>
      </c>
      <c r="P5465" s="52"/>
    </row>
    <row r="5466">
      <c r="F5466" s="116" t="str">
        <f t="shared" si="1"/>
        <v/>
      </c>
      <c r="P5466" s="52"/>
    </row>
    <row r="5467">
      <c r="F5467" s="116" t="str">
        <f t="shared" si="1"/>
        <v/>
      </c>
      <c r="P5467" s="52"/>
    </row>
    <row r="5468">
      <c r="F5468" s="116" t="str">
        <f t="shared" si="1"/>
        <v/>
      </c>
      <c r="P5468" s="52"/>
    </row>
    <row r="5469">
      <c r="F5469" s="116" t="str">
        <f t="shared" si="1"/>
        <v/>
      </c>
      <c r="P5469" s="52"/>
    </row>
    <row r="5470">
      <c r="F5470" s="116" t="str">
        <f t="shared" si="1"/>
        <v/>
      </c>
      <c r="P5470" s="52"/>
    </row>
    <row r="5471">
      <c r="F5471" s="116" t="str">
        <f t="shared" si="1"/>
        <v/>
      </c>
      <c r="P5471" s="52"/>
    </row>
    <row r="5472">
      <c r="F5472" s="116" t="str">
        <f t="shared" si="1"/>
        <v/>
      </c>
      <c r="P5472" s="52"/>
    </row>
    <row r="5473">
      <c r="F5473" s="116" t="str">
        <f t="shared" si="1"/>
        <v/>
      </c>
      <c r="P5473" s="52"/>
    </row>
    <row r="5474">
      <c r="F5474" s="116" t="str">
        <f t="shared" si="1"/>
        <v/>
      </c>
      <c r="P5474" s="52"/>
    </row>
    <row r="5475">
      <c r="F5475" s="116" t="str">
        <f t="shared" si="1"/>
        <v/>
      </c>
      <c r="P5475" s="52"/>
    </row>
    <row r="5476">
      <c r="F5476" s="116" t="str">
        <f t="shared" si="1"/>
        <v/>
      </c>
      <c r="P5476" s="52"/>
    </row>
    <row r="5477">
      <c r="F5477" s="116" t="str">
        <f t="shared" si="1"/>
        <v/>
      </c>
      <c r="P5477" s="52"/>
    </row>
    <row r="5478">
      <c r="F5478" s="116" t="str">
        <f t="shared" si="1"/>
        <v/>
      </c>
      <c r="P5478" s="52"/>
    </row>
    <row r="5479">
      <c r="F5479" s="116" t="str">
        <f t="shared" si="1"/>
        <v/>
      </c>
      <c r="P5479" s="52"/>
    </row>
    <row r="5480">
      <c r="F5480" s="116" t="str">
        <f t="shared" si="1"/>
        <v/>
      </c>
      <c r="P5480" s="52"/>
    </row>
    <row r="5481">
      <c r="F5481" s="116" t="str">
        <f t="shared" si="1"/>
        <v/>
      </c>
      <c r="P5481" s="52"/>
    </row>
    <row r="5482">
      <c r="F5482" s="116" t="str">
        <f t="shared" si="1"/>
        <v/>
      </c>
      <c r="P5482" s="52"/>
    </row>
    <row r="5483">
      <c r="F5483" s="116" t="str">
        <f t="shared" si="1"/>
        <v/>
      </c>
      <c r="P5483" s="52"/>
    </row>
    <row r="5484">
      <c r="F5484" s="116" t="str">
        <f t="shared" si="1"/>
        <v/>
      </c>
      <c r="P5484" s="52"/>
    </row>
    <row r="5485">
      <c r="F5485" s="116" t="str">
        <f t="shared" si="1"/>
        <v/>
      </c>
      <c r="P5485" s="52"/>
    </row>
    <row r="5486">
      <c r="F5486" s="116" t="str">
        <f t="shared" si="1"/>
        <v/>
      </c>
      <c r="P5486" s="52"/>
    </row>
    <row r="5487">
      <c r="F5487" s="116" t="str">
        <f t="shared" si="1"/>
        <v/>
      </c>
      <c r="P5487" s="52"/>
    </row>
    <row r="5488">
      <c r="F5488" s="116" t="str">
        <f t="shared" si="1"/>
        <v/>
      </c>
      <c r="P5488" s="52"/>
    </row>
    <row r="5489">
      <c r="F5489" s="116" t="str">
        <f t="shared" si="1"/>
        <v/>
      </c>
      <c r="P5489" s="52"/>
    </row>
    <row r="5490">
      <c r="F5490" s="116" t="str">
        <f t="shared" si="1"/>
        <v/>
      </c>
      <c r="P5490" s="52"/>
    </row>
    <row r="5491">
      <c r="F5491" s="116" t="str">
        <f t="shared" si="1"/>
        <v/>
      </c>
      <c r="P5491" s="52"/>
    </row>
    <row r="5492">
      <c r="F5492" s="116" t="str">
        <f t="shared" si="1"/>
        <v/>
      </c>
      <c r="P5492" s="52"/>
    </row>
    <row r="5493">
      <c r="F5493" s="116" t="str">
        <f t="shared" si="1"/>
        <v/>
      </c>
      <c r="P5493" s="52"/>
    </row>
    <row r="5494">
      <c r="F5494" s="116" t="str">
        <f t="shared" si="1"/>
        <v/>
      </c>
      <c r="P5494" s="52"/>
    </row>
    <row r="5495">
      <c r="F5495" s="116" t="str">
        <f t="shared" si="1"/>
        <v/>
      </c>
      <c r="P5495" s="52"/>
    </row>
    <row r="5496">
      <c r="F5496" s="116" t="str">
        <f t="shared" si="1"/>
        <v/>
      </c>
      <c r="P5496" s="52"/>
    </row>
    <row r="5497">
      <c r="F5497" s="116" t="str">
        <f t="shared" si="1"/>
        <v/>
      </c>
      <c r="P5497" s="52"/>
    </row>
    <row r="5498">
      <c r="F5498" s="116" t="str">
        <f t="shared" si="1"/>
        <v/>
      </c>
      <c r="P5498" s="52"/>
    </row>
    <row r="5499">
      <c r="F5499" s="116" t="str">
        <f t="shared" si="1"/>
        <v/>
      </c>
      <c r="P5499" s="52"/>
    </row>
    <row r="5500">
      <c r="F5500" s="116" t="str">
        <f t="shared" si="1"/>
        <v/>
      </c>
      <c r="P5500" s="52"/>
    </row>
    <row r="5501">
      <c r="F5501" s="116" t="str">
        <f t="shared" si="1"/>
        <v/>
      </c>
      <c r="P5501" s="52"/>
    </row>
    <row r="5502">
      <c r="F5502" s="116" t="str">
        <f t="shared" si="1"/>
        <v/>
      </c>
      <c r="P5502" s="52"/>
    </row>
    <row r="5503">
      <c r="F5503" s="116" t="str">
        <f t="shared" si="1"/>
        <v/>
      </c>
      <c r="P5503" s="52"/>
    </row>
    <row r="5504">
      <c r="F5504" s="116" t="str">
        <f t="shared" si="1"/>
        <v/>
      </c>
      <c r="P5504" s="52"/>
    </row>
    <row r="5505">
      <c r="F5505" s="116" t="str">
        <f t="shared" si="1"/>
        <v/>
      </c>
      <c r="P5505" s="52"/>
    </row>
    <row r="5506">
      <c r="F5506" s="116" t="str">
        <f t="shared" si="1"/>
        <v/>
      </c>
      <c r="P5506" s="52"/>
    </row>
    <row r="5507">
      <c r="F5507" s="116" t="str">
        <f t="shared" si="1"/>
        <v/>
      </c>
      <c r="P5507" s="52"/>
    </row>
    <row r="5508">
      <c r="F5508" s="116" t="str">
        <f t="shared" si="1"/>
        <v/>
      </c>
      <c r="P5508" s="52"/>
    </row>
    <row r="5509">
      <c r="F5509" s="116" t="str">
        <f t="shared" si="1"/>
        <v/>
      </c>
      <c r="P5509" s="52"/>
    </row>
    <row r="5510">
      <c r="F5510" s="116" t="str">
        <f t="shared" si="1"/>
        <v/>
      </c>
      <c r="P5510" s="52"/>
    </row>
    <row r="5511">
      <c r="F5511" s="116" t="str">
        <f t="shared" si="1"/>
        <v/>
      </c>
      <c r="P5511" s="52"/>
    </row>
    <row r="5512">
      <c r="F5512" s="116" t="str">
        <f t="shared" si="1"/>
        <v/>
      </c>
      <c r="P5512" s="52"/>
    </row>
    <row r="5513">
      <c r="F5513" s="116" t="str">
        <f t="shared" si="1"/>
        <v/>
      </c>
      <c r="P5513" s="52"/>
    </row>
    <row r="5514">
      <c r="F5514" s="116" t="str">
        <f t="shared" si="1"/>
        <v/>
      </c>
      <c r="P5514" s="52"/>
    </row>
    <row r="5515">
      <c r="F5515" s="116" t="str">
        <f t="shared" si="1"/>
        <v/>
      </c>
      <c r="P5515" s="52"/>
    </row>
    <row r="5516">
      <c r="F5516" s="116" t="str">
        <f t="shared" si="1"/>
        <v/>
      </c>
      <c r="P5516" s="52"/>
    </row>
    <row r="5517">
      <c r="F5517" s="116" t="str">
        <f t="shared" si="1"/>
        <v/>
      </c>
      <c r="P5517" s="52"/>
    </row>
    <row r="5518">
      <c r="F5518" s="116" t="str">
        <f t="shared" si="1"/>
        <v/>
      </c>
      <c r="P5518" s="52"/>
    </row>
    <row r="5519">
      <c r="F5519" s="116" t="str">
        <f t="shared" si="1"/>
        <v/>
      </c>
      <c r="P5519" s="52"/>
    </row>
    <row r="5520">
      <c r="F5520" s="116" t="str">
        <f t="shared" si="1"/>
        <v/>
      </c>
      <c r="P5520" s="52"/>
    </row>
    <row r="5521">
      <c r="F5521" s="116" t="str">
        <f t="shared" si="1"/>
        <v/>
      </c>
      <c r="P5521" s="52"/>
    </row>
    <row r="5522">
      <c r="F5522" s="116" t="str">
        <f t="shared" si="1"/>
        <v/>
      </c>
      <c r="P5522" s="52"/>
    </row>
    <row r="5523">
      <c r="F5523" s="116" t="str">
        <f t="shared" si="1"/>
        <v/>
      </c>
      <c r="P5523" s="52"/>
    </row>
    <row r="5524">
      <c r="F5524" s="116" t="str">
        <f t="shared" si="1"/>
        <v/>
      </c>
      <c r="P5524" s="52"/>
    </row>
    <row r="5525">
      <c r="F5525" s="116" t="str">
        <f t="shared" si="1"/>
        <v/>
      </c>
      <c r="P5525" s="52"/>
    </row>
    <row r="5526">
      <c r="F5526" s="116" t="str">
        <f t="shared" si="1"/>
        <v/>
      </c>
      <c r="P5526" s="52"/>
    </row>
    <row r="5527">
      <c r="F5527" s="116" t="str">
        <f t="shared" si="1"/>
        <v/>
      </c>
      <c r="P5527" s="52"/>
    </row>
    <row r="5528">
      <c r="F5528" s="116" t="str">
        <f t="shared" si="1"/>
        <v/>
      </c>
      <c r="P5528" s="52"/>
    </row>
    <row r="5529">
      <c r="F5529" s="116" t="str">
        <f t="shared" si="1"/>
        <v/>
      </c>
      <c r="P5529" s="52"/>
    </row>
    <row r="5530">
      <c r="F5530" s="116" t="str">
        <f t="shared" si="1"/>
        <v/>
      </c>
      <c r="P5530" s="52"/>
    </row>
    <row r="5531">
      <c r="F5531" s="116" t="str">
        <f t="shared" si="1"/>
        <v/>
      </c>
      <c r="P5531" s="52"/>
    </row>
    <row r="5532">
      <c r="F5532" s="116" t="str">
        <f t="shared" si="1"/>
        <v/>
      </c>
      <c r="P5532" s="52"/>
    </row>
    <row r="5533">
      <c r="F5533" s="116" t="str">
        <f t="shared" si="1"/>
        <v/>
      </c>
      <c r="P5533" s="52"/>
    </row>
    <row r="5534">
      <c r="F5534" s="116" t="str">
        <f t="shared" si="1"/>
        <v/>
      </c>
      <c r="P5534" s="52"/>
    </row>
    <row r="5535">
      <c r="F5535" s="116" t="str">
        <f t="shared" si="1"/>
        <v/>
      </c>
      <c r="P5535" s="52"/>
    </row>
    <row r="5536">
      <c r="F5536" s="116" t="str">
        <f t="shared" si="1"/>
        <v/>
      </c>
      <c r="P5536" s="52"/>
    </row>
    <row r="5537">
      <c r="F5537" s="116" t="str">
        <f t="shared" si="1"/>
        <v/>
      </c>
      <c r="P5537" s="52"/>
    </row>
    <row r="5538">
      <c r="F5538" s="116" t="str">
        <f t="shared" si="1"/>
        <v/>
      </c>
      <c r="P5538" s="52"/>
    </row>
    <row r="5539">
      <c r="F5539" s="116" t="str">
        <f t="shared" si="1"/>
        <v/>
      </c>
      <c r="P5539" s="52"/>
    </row>
    <row r="5540">
      <c r="F5540" s="116" t="str">
        <f t="shared" si="1"/>
        <v/>
      </c>
      <c r="P5540" s="52"/>
    </row>
    <row r="5541">
      <c r="F5541" s="116" t="str">
        <f t="shared" si="1"/>
        <v/>
      </c>
      <c r="P5541" s="52"/>
    </row>
    <row r="5542">
      <c r="F5542" s="116" t="str">
        <f t="shared" si="1"/>
        <v/>
      </c>
      <c r="P5542" s="52"/>
    </row>
    <row r="5543">
      <c r="F5543" s="116" t="str">
        <f t="shared" si="1"/>
        <v/>
      </c>
      <c r="P5543" s="52"/>
    </row>
    <row r="5544">
      <c r="F5544" s="116" t="str">
        <f t="shared" si="1"/>
        <v/>
      </c>
      <c r="P5544" s="52"/>
    </row>
    <row r="5545">
      <c r="F5545" s="116" t="str">
        <f t="shared" si="1"/>
        <v/>
      </c>
      <c r="P5545" s="52"/>
    </row>
    <row r="5546">
      <c r="F5546" s="116" t="str">
        <f t="shared" si="1"/>
        <v/>
      </c>
      <c r="P5546" s="52"/>
    </row>
    <row r="5547">
      <c r="F5547" s="116" t="str">
        <f t="shared" si="1"/>
        <v/>
      </c>
      <c r="P5547" s="52"/>
    </row>
    <row r="5548">
      <c r="F5548" s="116" t="str">
        <f t="shared" si="1"/>
        <v/>
      </c>
      <c r="P5548" s="52"/>
    </row>
    <row r="5549">
      <c r="F5549" s="116" t="str">
        <f t="shared" si="1"/>
        <v/>
      </c>
      <c r="P5549" s="52"/>
    </row>
    <row r="5550">
      <c r="F5550" s="116" t="str">
        <f t="shared" si="1"/>
        <v/>
      </c>
      <c r="P5550" s="52"/>
    </row>
    <row r="5551">
      <c r="F5551" s="116" t="str">
        <f t="shared" si="1"/>
        <v/>
      </c>
      <c r="P5551" s="52"/>
    </row>
    <row r="5552">
      <c r="F5552" s="116" t="str">
        <f t="shared" si="1"/>
        <v/>
      </c>
      <c r="P5552" s="52"/>
    </row>
    <row r="5553">
      <c r="F5553" s="116" t="str">
        <f t="shared" si="1"/>
        <v/>
      </c>
      <c r="P5553" s="52"/>
    </row>
    <row r="5554">
      <c r="F5554" s="116" t="str">
        <f t="shared" si="1"/>
        <v/>
      </c>
      <c r="P5554" s="52"/>
    </row>
    <row r="5555">
      <c r="F5555" s="116" t="str">
        <f t="shared" si="1"/>
        <v/>
      </c>
      <c r="P5555" s="52"/>
    </row>
    <row r="5556">
      <c r="F5556" s="116" t="str">
        <f t="shared" si="1"/>
        <v/>
      </c>
      <c r="P5556" s="52"/>
    </row>
    <row r="5557">
      <c r="F5557" s="116" t="str">
        <f t="shared" si="1"/>
        <v/>
      </c>
      <c r="P5557" s="52"/>
    </row>
    <row r="5558">
      <c r="F5558" s="116" t="str">
        <f t="shared" si="1"/>
        <v/>
      </c>
      <c r="P5558" s="52"/>
    </row>
    <row r="5559">
      <c r="F5559" s="116" t="str">
        <f t="shared" si="1"/>
        <v/>
      </c>
      <c r="P5559" s="52"/>
    </row>
    <row r="5560">
      <c r="F5560" s="116" t="str">
        <f t="shared" si="1"/>
        <v/>
      </c>
      <c r="P5560" s="52"/>
    </row>
    <row r="5561">
      <c r="F5561" s="116" t="str">
        <f t="shared" si="1"/>
        <v/>
      </c>
      <c r="P5561" s="52"/>
    </row>
    <row r="5562">
      <c r="F5562" s="116" t="str">
        <f t="shared" si="1"/>
        <v/>
      </c>
      <c r="P5562" s="52"/>
    </row>
    <row r="5563">
      <c r="F5563" s="116" t="str">
        <f t="shared" si="1"/>
        <v/>
      </c>
      <c r="P5563" s="52"/>
    </row>
    <row r="5564">
      <c r="F5564" s="116" t="str">
        <f t="shared" si="1"/>
        <v/>
      </c>
      <c r="P5564" s="52"/>
    </row>
    <row r="5565">
      <c r="F5565" s="116" t="str">
        <f t="shared" si="1"/>
        <v/>
      </c>
      <c r="P5565" s="52"/>
    </row>
    <row r="5566">
      <c r="F5566" s="116" t="str">
        <f t="shared" si="1"/>
        <v/>
      </c>
      <c r="P5566" s="52"/>
    </row>
    <row r="5567">
      <c r="F5567" s="116" t="str">
        <f t="shared" si="1"/>
        <v/>
      </c>
      <c r="P5567" s="52"/>
    </row>
    <row r="5568">
      <c r="F5568" s="116" t="str">
        <f t="shared" si="1"/>
        <v/>
      </c>
      <c r="P5568" s="52"/>
    </row>
    <row r="5569">
      <c r="F5569" s="116" t="str">
        <f t="shared" si="1"/>
        <v/>
      </c>
      <c r="P5569" s="52"/>
    </row>
    <row r="5570">
      <c r="F5570" s="116" t="str">
        <f t="shared" si="1"/>
        <v/>
      </c>
      <c r="P5570" s="52"/>
    </row>
    <row r="5571">
      <c r="F5571" s="116" t="str">
        <f t="shared" si="1"/>
        <v/>
      </c>
      <c r="P5571" s="52"/>
    </row>
    <row r="5572">
      <c r="F5572" s="116" t="str">
        <f t="shared" si="1"/>
        <v/>
      </c>
      <c r="P5572" s="52"/>
    </row>
    <row r="5573">
      <c r="F5573" s="116" t="str">
        <f t="shared" si="1"/>
        <v/>
      </c>
      <c r="P5573" s="52"/>
    </row>
    <row r="5574">
      <c r="F5574" s="116" t="str">
        <f t="shared" si="1"/>
        <v/>
      </c>
      <c r="P5574" s="52"/>
    </row>
    <row r="5575">
      <c r="F5575" s="116" t="str">
        <f t="shared" si="1"/>
        <v/>
      </c>
      <c r="P5575" s="52"/>
    </row>
    <row r="5576">
      <c r="F5576" s="116" t="str">
        <f t="shared" si="1"/>
        <v/>
      </c>
      <c r="P5576" s="52"/>
    </row>
    <row r="5577">
      <c r="F5577" s="116" t="str">
        <f t="shared" si="1"/>
        <v/>
      </c>
      <c r="P5577" s="52"/>
    </row>
    <row r="5578">
      <c r="F5578" s="116" t="str">
        <f t="shared" si="1"/>
        <v/>
      </c>
      <c r="P5578" s="52"/>
    </row>
    <row r="5579">
      <c r="F5579" s="116" t="str">
        <f t="shared" si="1"/>
        <v/>
      </c>
      <c r="P5579" s="52"/>
    </row>
    <row r="5580">
      <c r="F5580" s="116" t="str">
        <f t="shared" si="1"/>
        <v/>
      </c>
      <c r="P5580" s="52"/>
    </row>
    <row r="5581">
      <c r="F5581" s="116" t="str">
        <f t="shared" si="1"/>
        <v/>
      </c>
      <c r="P5581" s="52"/>
    </row>
    <row r="5582">
      <c r="F5582" s="116" t="str">
        <f t="shared" si="1"/>
        <v/>
      </c>
      <c r="P5582" s="52"/>
    </row>
    <row r="5583">
      <c r="F5583" s="116" t="str">
        <f t="shared" si="1"/>
        <v/>
      </c>
      <c r="P5583" s="52"/>
    </row>
    <row r="5584">
      <c r="F5584" s="116" t="str">
        <f t="shared" si="1"/>
        <v/>
      </c>
      <c r="P5584" s="52"/>
    </row>
    <row r="5585">
      <c r="F5585" s="116" t="str">
        <f t="shared" si="1"/>
        <v/>
      </c>
      <c r="P5585" s="52"/>
    </row>
    <row r="5586">
      <c r="F5586" s="116" t="str">
        <f t="shared" si="1"/>
        <v/>
      </c>
      <c r="P5586" s="52"/>
    </row>
    <row r="5587">
      <c r="F5587" s="116" t="str">
        <f t="shared" si="1"/>
        <v/>
      </c>
      <c r="P5587" s="52"/>
    </row>
    <row r="5588">
      <c r="F5588" s="116" t="str">
        <f t="shared" si="1"/>
        <v/>
      </c>
      <c r="P5588" s="52"/>
    </row>
    <row r="5589">
      <c r="F5589" s="116" t="str">
        <f t="shared" si="1"/>
        <v/>
      </c>
      <c r="P5589" s="52"/>
    </row>
    <row r="5590">
      <c r="F5590" s="116" t="str">
        <f t="shared" si="1"/>
        <v/>
      </c>
      <c r="P5590" s="52"/>
    </row>
    <row r="5591">
      <c r="F5591" s="116" t="str">
        <f t="shared" si="1"/>
        <v/>
      </c>
      <c r="P5591" s="52"/>
    </row>
    <row r="5592">
      <c r="F5592" s="116" t="str">
        <f t="shared" si="1"/>
        <v/>
      </c>
      <c r="P5592" s="52"/>
    </row>
    <row r="5593">
      <c r="F5593" s="116" t="str">
        <f t="shared" si="1"/>
        <v/>
      </c>
      <c r="P5593" s="52"/>
    </row>
    <row r="5594">
      <c r="F5594" s="116" t="str">
        <f t="shared" si="1"/>
        <v/>
      </c>
      <c r="P5594" s="52"/>
    </row>
    <row r="5595">
      <c r="F5595" s="116" t="str">
        <f t="shared" si="1"/>
        <v/>
      </c>
      <c r="P5595" s="52"/>
    </row>
    <row r="5596">
      <c r="F5596" s="116" t="str">
        <f t="shared" si="1"/>
        <v/>
      </c>
      <c r="P5596" s="52"/>
    </row>
    <row r="5597">
      <c r="F5597" s="116" t="str">
        <f t="shared" si="1"/>
        <v/>
      </c>
      <c r="P5597" s="52"/>
    </row>
    <row r="5598">
      <c r="F5598" s="116" t="str">
        <f t="shared" si="1"/>
        <v/>
      </c>
      <c r="P5598" s="52"/>
    </row>
    <row r="5599">
      <c r="F5599" s="116" t="str">
        <f t="shared" si="1"/>
        <v/>
      </c>
      <c r="P5599" s="52"/>
    </row>
    <row r="5600">
      <c r="F5600" s="116" t="str">
        <f t="shared" si="1"/>
        <v/>
      </c>
      <c r="P5600" s="52"/>
    </row>
    <row r="5601">
      <c r="F5601" s="116" t="str">
        <f t="shared" si="1"/>
        <v/>
      </c>
      <c r="P5601" s="52"/>
    </row>
    <row r="5602">
      <c r="F5602" s="116" t="str">
        <f t="shared" si="1"/>
        <v/>
      </c>
      <c r="P5602" s="52"/>
    </row>
    <row r="5603">
      <c r="F5603" s="116" t="str">
        <f t="shared" si="1"/>
        <v/>
      </c>
      <c r="P5603" s="52"/>
    </row>
    <row r="5604">
      <c r="F5604" s="116" t="str">
        <f t="shared" si="1"/>
        <v/>
      </c>
      <c r="P5604" s="52"/>
    </row>
    <row r="5605">
      <c r="F5605" s="116" t="str">
        <f t="shared" si="1"/>
        <v/>
      </c>
      <c r="P5605" s="52"/>
    </row>
    <row r="5606">
      <c r="F5606" s="116" t="str">
        <f t="shared" si="1"/>
        <v/>
      </c>
      <c r="P5606" s="52"/>
    </row>
    <row r="5607">
      <c r="F5607" s="116" t="str">
        <f t="shared" si="1"/>
        <v/>
      </c>
      <c r="P5607" s="52"/>
    </row>
    <row r="5608">
      <c r="F5608" s="116" t="str">
        <f t="shared" si="1"/>
        <v/>
      </c>
      <c r="P5608" s="52"/>
    </row>
    <row r="5609">
      <c r="F5609" s="116" t="str">
        <f t="shared" si="1"/>
        <v/>
      </c>
      <c r="P5609" s="52"/>
    </row>
    <row r="5610">
      <c r="F5610" s="116" t="str">
        <f t="shared" si="1"/>
        <v/>
      </c>
      <c r="P5610" s="52"/>
    </row>
    <row r="5611">
      <c r="F5611" s="116" t="str">
        <f t="shared" si="1"/>
        <v/>
      </c>
      <c r="P5611" s="52"/>
    </row>
    <row r="5612">
      <c r="F5612" s="116" t="str">
        <f t="shared" si="1"/>
        <v/>
      </c>
      <c r="P5612" s="52"/>
    </row>
    <row r="5613">
      <c r="F5613" s="116" t="str">
        <f t="shared" si="1"/>
        <v/>
      </c>
      <c r="P5613" s="52"/>
    </row>
    <row r="5614">
      <c r="F5614" s="116" t="str">
        <f t="shared" si="1"/>
        <v/>
      </c>
      <c r="P5614" s="52"/>
    </row>
    <row r="5615">
      <c r="F5615" s="116" t="str">
        <f t="shared" si="1"/>
        <v/>
      </c>
      <c r="P5615" s="52"/>
    </row>
    <row r="5616">
      <c r="F5616" s="116" t="str">
        <f t="shared" si="1"/>
        <v/>
      </c>
      <c r="P5616" s="52"/>
    </row>
    <row r="5617">
      <c r="F5617" s="116" t="str">
        <f t="shared" si="1"/>
        <v/>
      </c>
      <c r="P5617" s="52"/>
    </row>
    <row r="5618">
      <c r="F5618" s="116" t="str">
        <f t="shared" si="1"/>
        <v/>
      </c>
      <c r="P5618" s="52"/>
    </row>
    <row r="5619">
      <c r="F5619" s="116" t="str">
        <f t="shared" si="1"/>
        <v/>
      </c>
      <c r="P5619" s="52"/>
    </row>
    <row r="5620">
      <c r="F5620" s="116" t="str">
        <f t="shared" si="1"/>
        <v/>
      </c>
      <c r="P5620" s="52"/>
    </row>
    <row r="5621">
      <c r="F5621" s="116" t="str">
        <f t="shared" si="1"/>
        <v/>
      </c>
      <c r="P5621" s="52"/>
    </row>
    <row r="5622">
      <c r="F5622" s="116" t="str">
        <f t="shared" si="1"/>
        <v/>
      </c>
      <c r="P5622" s="52"/>
    </row>
    <row r="5623">
      <c r="F5623" s="116" t="str">
        <f t="shared" si="1"/>
        <v/>
      </c>
      <c r="P5623" s="52"/>
    </row>
    <row r="5624">
      <c r="F5624" s="116" t="str">
        <f t="shared" si="1"/>
        <v/>
      </c>
      <c r="P5624" s="52"/>
    </row>
    <row r="5625">
      <c r="F5625" s="116" t="str">
        <f t="shared" si="1"/>
        <v/>
      </c>
      <c r="P5625" s="52"/>
    </row>
    <row r="5626">
      <c r="F5626" s="116" t="str">
        <f t="shared" si="1"/>
        <v/>
      </c>
      <c r="P5626" s="52"/>
    </row>
    <row r="5627">
      <c r="F5627" s="116" t="str">
        <f t="shared" si="1"/>
        <v/>
      </c>
      <c r="P5627" s="52"/>
    </row>
    <row r="5628">
      <c r="F5628" s="116" t="str">
        <f t="shared" si="1"/>
        <v/>
      </c>
      <c r="P5628" s="52"/>
    </row>
    <row r="5629">
      <c r="F5629" s="116" t="str">
        <f t="shared" si="1"/>
        <v/>
      </c>
      <c r="P5629" s="52"/>
    </row>
    <row r="5630">
      <c r="F5630" s="116" t="str">
        <f t="shared" si="1"/>
        <v/>
      </c>
      <c r="P5630" s="52"/>
    </row>
    <row r="5631">
      <c r="F5631" s="116" t="str">
        <f t="shared" si="1"/>
        <v/>
      </c>
      <c r="P5631" s="52"/>
    </row>
    <row r="5632">
      <c r="F5632" s="116" t="str">
        <f t="shared" si="1"/>
        <v/>
      </c>
      <c r="P5632" s="52"/>
    </row>
    <row r="5633">
      <c r="F5633" s="116" t="str">
        <f t="shared" si="1"/>
        <v/>
      </c>
      <c r="P5633" s="52"/>
    </row>
    <row r="5634">
      <c r="F5634" s="116" t="str">
        <f t="shared" si="1"/>
        <v/>
      </c>
      <c r="P5634" s="52"/>
    </row>
    <row r="5635">
      <c r="F5635" s="116" t="str">
        <f t="shared" si="1"/>
        <v/>
      </c>
      <c r="P5635" s="52"/>
    </row>
    <row r="5636">
      <c r="F5636" s="116" t="str">
        <f t="shared" si="1"/>
        <v/>
      </c>
      <c r="P5636" s="52"/>
    </row>
    <row r="5637">
      <c r="F5637" s="116" t="str">
        <f t="shared" si="1"/>
        <v/>
      </c>
      <c r="P5637" s="52"/>
    </row>
    <row r="5638">
      <c r="F5638" s="116" t="str">
        <f t="shared" si="1"/>
        <v/>
      </c>
      <c r="P5638" s="52"/>
    </row>
    <row r="5639">
      <c r="F5639" s="116" t="str">
        <f t="shared" si="1"/>
        <v/>
      </c>
      <c r="P5639" s="52"/>
    </row>
    <row r="5640">
      <c r="F5640" s="116" t="str">
        <f t="shared" si="1"/>
        <v/>
      </c>
      <c r="P5640" s="52"/>
    </row>
    <row r="5641">
      <c r="F5641" s="116" t="str">
        <f t="shared" si="1"/>
        <v/>
      </c>
      <c r="P5641" s="52"/>
    </row>
    <row r="5642">
      <c r="F5642" s="116" t="str">
        <f t="shared" si="1"/>
        <v/>
      </c>
      <c r="P5642" s="52"/>
    </row>
    <row r="5643">
      <c r="F5643" s="116" t="str">
        <f t="shared" si="1"/>
        <v/>
      </c>
      <c r="P5643" s="52"/>
    </row>
    <row r="5644">
      <c r="F5644" s="116" t="str">
        <f t="shared" si="1"/>
        <v/>
      </c>
      <c r="P5644" s="52"/>
    </row>
    <row r="5645">
      <c r="F5645" s="116" t="str">
        <f t="shared" si="1"/>
        <v/>
      </c>
      <c r="P5645" s="52"/>
    </row>
    <row r="5646">
      <c r="F5646" s="116" t="str">
        <f t="shared" si="1"/>
        <v/>
      </c>
      <c r="P5646" s="52"/>
    </row>
    <row r="5647">
      <c r="F5647" s="116" t="str">
        <f t="shared" si="1"/>
        <v/>
      </c>
      <c r="P5647" s="52"/>
    </row>
    <row r="5648">
      <c r="F5648" s="116" t="str">
        <f t="shared" si="1"/>
        <v/>
      </c>
      <c r="P5648" s="52"/>
    </row>
    <row r="5649">
      <c r="F5649" s="116" t="str">
        <f t="shared" si="1"/>
        <v/>
      </c>
      <c r="P5649" s="52"/>
    </row>
    <row r="5650">
      <c r="F5650" s="116" t="str">
        <f t="shared" si="1"/>
        <v/>
      </c>
      <c r="P5650" s="52"/>
    </row>
    <row r="5651">
      <c r="F5651" s="116" t="str">
        <f t="shared" si="1"/>
        <v/>
      </c>
      <c r="P5651" s="52"/>
    </row>
    <row r="5652">
      <c r="F5652" s="116" t="str">
        <f t="shared" si="1"/>
        <v/>
      </c>
      <c r="P5652" s="52"/>
    </row>
    <row r="5653">
      <c r="F5653" s="116" t="str">
        <f t="shared" si="1"/>
        <v/>
      </c>
      <c r="P5653" s="52"/>
    </row>
    <row r="5654">
      <c r="F5654" s="116" t="str">
        <f t="shared" si="1"/>
        <v/>
      </c>
      <c r="P5654" s="52"/>
    </row>
    <row r="5655">
      <c r="F5655" s="116" t="str">
        <f t="shared" si="1"/>
        <v/>
      </c>
      <c r="P5655" s="52"/>
    </row>
    <row r="5656">
      <c r="F5656" s="116" t="str">
        <f t="shared" si="1"/>
        <v/>
      </c>
      <c r="P5656" s="52"/>
    </row>
    <row r="5657">
      <c r="F5657" s="116" t="str">
        <f t="shared" si="1"/>
        <v/>
      </c>
      <c r="P5657" s="52"/>
    </row>
    <row r="5658">
      <c r="F5658" s="116" t="str">
        <f t="shared" si="1"/>
        <v/>
      </c>
      <c r="P5658" s="52"/>
    </row>
    <row r="5659">
      <c r="F5659" s="116" t="str">
        <f t="shared" si="1"/>
        <v/>
      </c>
      <c r="P5659" s="52"/>
    </row>
    <row r="5660">
      <c r="F5660" s="116" t="str">
        <f t="shared" si="1"/>
        <v/>
      </c>
      <c r="P5660" s="52"/>
    </row>
    <row r="5661">
      <c r="F5661" s="116" t="str">
        <f t="shared" si="1"/>
        <v/>
      </c>
      <c r="P5661" s="52"/>
    </row>
    <row r="5662">
      <c r="F5662" s="116" t="str">
        <f t="shared" si="1"/>
        <v/>
      </c>
      <c r="P5662" s="52"/>
    </row>
    <row r="5663">
      <c r="F5663" s="116" t="str">
        <f t="shared" si="1"/>
        <v/>
      </c>
      <c r="P5663" s="52"/>
    </row>
    <row r="5664">
      <c r="F5664" s="116" t="str">
        <f t="shared" si="1"/>
        <v/>
      </c>
      <c r="P5664" s="52"/>
    </row>
    <row r="5665">
      <c r="F5665" s="116" t="str">
        <f t="shared" si="1"/>
        <v/>
      </c>
      <c r="P5665" s="52"/>
    </row>
    <row r="5666">
      <c r="F5666" s="116" t="str">
        <f t="shared" si="1"/>
        <v/>
      </c>
      <c r="P5666" s="52"/>
    </row>
    <row r="5667">
      <c r="F5667" s="116" t="str">
        <f t="shared" si="1"/>
        <v/>
      </c>
      <c r="P5667" s="52"/>
    </row>
    <row r="5668">
      <c r="F5668" s="116" t="str">
        <f t="shared" si="1"/>
        <v/>
      </c>
      <c r="P5668" s="52"/>
    </row>
    <row r="5669">
      <c r="F5669" s="116" t="str">
        <f t="shared" si="1"/>
        <v/>
      </c>
      <c r="P5669" s="52"/>
    </row>
    <row r="5670">
      <c r="F5670" s="116" t="str">
        <f t="shared" si="1"/>
        <v/>
      </c>
      <c r="P5670" s="52"/>
    </row>
    <row r="5671">
      <c r="F5671" s="116" t="str">
        <f t="shared" si="1"/>
        <v/>
      </c>
      <c r="P5671" s="52"/>
    </row>
    <row r="5672">
      <c r="F5672" s="116" t="str">
        <f t="shared" si="1"/>
        <v/>
      </c>
      <c r="P5672" s="52"/>
    </row>
    <row r="5673">
      <c r="F5673" s="116" t="str">
        <f t="shared" si="1"/>
        <v/>
      </c>
      <c r="P5673" s="52"/>
    </row>
    <row r="5674">
      <c r="F5674" s="116" t="str">
        <f t="shared" si="1"/>
        <v/>
      </c>
      <c r="P5674" s="52"/>
    </row>
    <row r="5675">
      <c r="F5675" s="116" t="str">
        <f t="shared" si="1"/>
        <v/>
      </c>
      <c r="P5675" s="52"/>
    </row>
    <row r="5676">
      <c r="F5676" s="116" t="str">
        <f t="shared" si="1"/>
        <v/>
      </c>
      <c r="P5676" s="52"/>
    </row>
    <row r="5677">
      <c r="F5677" s="116" t="str">
        <f t="shared" si="1"/>
        <v/>
      </c>
      <c r="P5677" s="52"/>
    </row>
    <row r="5678">
      <c r="F5678" s="116" t="str">
        <f t="shared" si="1"/>
        <v/>
      </c>
      <c r="P5678" s="52"/>
    </row>
    <row r="5679">
      <c r="F5679" s="116" t="str">
        <f t="shared" si="1"/>
        <v/>
      </c>
      <c r="P5679" s="52"/>
    </row>
    <row r="5680">
      <c r="F5680" s="116" t="str">
        <f t="shared" si="1"/>
        <v/>
      </c>
      <c r="P5680" s="52"/>
    </row>
    <row r="5681">
      <c r="F5681" s="116" t="str">
        <f t="shared" si="1"/>
        <v/>
      </c>
      <c r="P5681" s="52"/>
    </row>
    <row r="5682">
      <c r="F5682" s="116" t="str">
        <f t="shared" si="1"/>
        <v/>
      </c>
      <c r="P5682" s="52"/>
    </row>
    <row r="5683">
      <c r="F5683" s="116" t="str">
        <f t="shared" si="1"/>
        <v/>
      </c>
      <c r="P5683" s="52"/>
    </row>
    <row r="5684">
      <c r="F5684" s="116" t="str">
        <f t="shared" si="1"/>
        <v/>
      </c>
      <c r="P5684" s="52"/>
    </row>
    <row r="5685">
      <c r="F5685" s="116" t="str">
        <f t="shared" si="1"/>
        <v/>
      </c>
      <c r="P5685" s="52"/>
    </row>
    <row r="5686">
      <c r="F5686" s="116" t="str">
        <f t="shared" si="1"/>
        <v/>
      </c>
      <c r="P5686" s="52"/>
    </row>
    <row r="5687">
      <c r="F5687" s="116" t="str">
        <f t="shared" si="1"/>
        <v/>
      </c>
      <c r="P5687" s="52"/>
    </row>
    <row r="5688">
      <c r="F5688" s="116" t="str">
        <f t="shared" si="1"/>
        <v/>
      </c>
      <c r="P5688" s="52"/>
    </row>
    <row r="5689">
      <c r="F5689" s="116" t="str">
        <f t="shared" si="1"/>
        <v/>
      </c>
      <c r="P5689" s="52"/>
    </row>
    <row r="5690">
      <c r="F5690" s="116" t="str">
        <f t="shared" si="1"/>
        <v/>
      </c>
      <c r="P5690" s="52"/>
    </row>
    <row r="5691">
      <c r="F5691" s="116" t="str">
        <f t="shared" si="1"/>
        <v/>
      </c>
      <c r="P5691" s="52"/>
    </row>
    <row r="5692">
      <c r="F5692" s="116" t="str">
        <f t="shared" si="1"/>
        <v/>
      </c>
      <c r="P5692" s="52"/>
    </row>
    <row r="5693">
      <c r="F5693" s="116" t="str">
        <f t="shared" si="1"/>
        <v/>
      </c>
      <c r="P5693" s="52"/>
    </row>
    <row r="5694">
      <c r="F5694" s="116" t="str">
        <f t="shared" si="1"/>
        <v/>
      </c>
      <c r="P5694" s="52"/>
    </row>
    <row r="5695">
      <c r="F5695" s="116" t="str">
        <f t="shared" si="1"/>
        <v/>
      </c>
      <c r="P5695" s="52"/>
    </row>
    <row r="5696">
      <c r="F5696" s="116" t="str">
        <f t="shared" si="1"/>
        <v/>
      </c>
      <c r="P5696" s="52"/>
    </row>
    <row r="5697">
      <c r="F5697" s="116" t="str">
        <f t="shared" si="1"/>
        <v/>
      </c>
      <c r="P5697" s="52"/>
    </row>
    <row r="5698">
      <c r="F5698" s="116" t="str">
        <f t="shared" si="1"/>
        <v/>
      </c>
      <c r="P5698" s="52"/>
    </row>
    <row r="5699">
      <c r="F5699" s="116" t="str">
        <f t="shared" si="1"/>
        <v/>
      </c>
      <c r="P5699" s="52"/>
    </row>
    <row r="5700">
      <c r="F5700" s="116" t="str">
        <f t="shared" si="1"/>
        <v/>
      </c>
      <c r="P5700" s="52"/>
    </row>
    <row r="5701">
      <c r="F5701" s="116" t="str">
        <f t="shared" si="1"/>
        <v/>
      </c>
      <c r="P5701" s="52"/>
    </row>
    <row r="5702">
      <c r="F5702" s="116" t="str">
        <f t="shared" si="1"/>
        <v/>
      </c>
      <c r="P5702" s="52"/>
    </row>
    <row r="5703">
      <c r="F5703" s="116" t="str">
        <f t="shared" si="1"/>
        <v/>
      </c>
      <c r="P5703" s="52"/>
    </row>
    <row r="5704">
      <c r="F5704" s="116" t="str">
        <f t="shared" si="1"/>
        <v/>
      </c>
      <c r="P5704" s="52"/>
    </row>
    <row r="5705">
      <c r="F5705" s="116" t="str">
        <f t="shared" si="1"/>
        <v/>
      </c>
      <c r="P5705" s="52"/>
    </row>
    <row r="5706">
      <c r="F5706" s="116" t="str">
        <f t="shared" si="1"/>
        <v/>
      </c>
      <c r="P5706" s="52"/>
    </row>
    <row r="5707">
      <c r="F5707" s="116" t="str">
        <f t="shared" si="1"/>
        <v/>
      </c>
      <c r="P5707" s="52"/>
    </row>
    <row r="5708">
      <c r="F5708" s="116" t="str">
        <f t="shared" si="1"/>
        <v/>
      </c>
      <c r="P5708" s="52"/>
    </row>
    <row r="5709">
      <c r="F5709" s="116" t="str">
        <f t="shared" si="1"/>
        <v/>
      </c>
      <c r="P5709" s="52"/>
    </row>
    <row r="5710">
      <c r="F5710" s="116" t="str">
        <f t="shared" si="1"/>
        <v/>
      </c>
      <c r="P5710" s="52"/>
    </row>
    <row r="5711">
      <c r="F5711" s="116" t="str">
        <f t="shared" si="1"/>
        <v/>
      </c>
      <c r="P5711" s="52"/>
    </row>
    <row r="5712">
      <c r="F5712" s="116" t="str">
        <f t="shared" si="1"/>
        <v/>
      </c>
      <c r="P5712" s="52"/>
    </row>
    <row r="5713">
      <c r="F5713" s="116" t="str">
        <f t="shared" si="1"/>
        <v/>
      </c>
      <c r="P5713" s="52"/>
    </row>
    <row r="5714">
      <c r="F5714" s="116" t="str">
        <f t="shared" si="1"/>
        <v/>
      </c>
      <c r="P5714" s="52"/>
    </row>
    <row r="5715">
      <c r="F5715" s="116" t="str">
        <f t="shared" si="1"/>
        <v/>
      </c>
      <c r="P5715" s="52"/>
    </row>
    <row r="5716">
      <c r="F5716" s="116" t="str">
        <f t="shared" si="1"/>
        <v/>
      </c>
      <c r="P5716" s="52"/>
    </row>
    <row r="5717">
      <c r="F5717" s="116" t="str">
        <f t="shared" si="1"/>
        <v/>
      </c>
      <c r="P5717" s="52"/>
    </row>
    <row r="5718">
      <c r="F5718" s="116" t="str">
        <f t="shared" si="1"/>
        <v/>
      </c>
      <c r="P5718" s="52"/>
    </row>
    <row r="5719">
      <c r="F5719" s="116" t="str">
        <f t="shared" si="1"/>
        <v/>
      </c>
      <c r="P5719" s="52"/>
    </row>
    <row r="5720">
      <c r="F5720" s="116" t="str">
        <f t="shared" si="1"/>
        <v/>
      </c>
      <c r="P5720" s="52"/>
    </row>
    <row r="5721">
      <c r="F5721" s="116" t="str">
        <f t="shared" si="1"/>
        <v/>
      </c>
      <c r="P5721" s="52"/>
    </row>
    <row r="5722">
      <c r="F5722" s="116" t="str">
        <f t="shared" si="1"/>
        <v/>
      </c>
      <c r="P5722" s="52"/>
    </row>
    <row r="5723">
      <c r="F5723" s="116" t="str">
        <f t="shared" si="1"/>
        <v/>
      </c>
      <c r="P5723" s="52"/>
    </row>
    <row r="5724">
      <c r="F5724" s="116" t="str">
        <f t="shared" si="1"/>
        <v/>
      </c>
      <c r="P5724" s="52"/>
    </row>
    <row r="5725">
      <c r="F5725" s="116" t="str">
        <f t="shared" si="1"/>
        <v/>
      </c>
      <c r="P5725" s="52"/>
    </row>
    <row r="5726">
      <c r="F5726" s="116" t="str">
        <f t="shared" si="1"/>
        <v/>
      </c>
      <c r="P5726" s="52"/>
    </row>
    <row r="5727">
      <c r="F5727" s="116" t="str">
        <f t="shared" si="1"/>
        <v/>
      </c>
      <c r="P5727" s="52"/>
    </row>
    <row r="5728">
      <c r="F5728" s="116" t="str">
        <f t="shared" si="1"/>
        <v/>
      </c>
      <c r="P5728" s="52"/>
    </row>
    <row r="5729">
      <c r="F5729" s="116" t="str">
        <f t="shared" si="1"/>
        <v/>
      </c>
      <c r="P5729" s="52"/>
    </row>
    <row r="5730">
      <c r="F5730" s="116" t="str">
        <f t="shared" si="1"/>
        <v/>
      </c>
      <c r="P5730" s="52"/>
    </row>
    <row r="5731">
      <c r="F5731" s="116" t="str">
        <f t="shared" si="1"/>
        <v/>
      </c>
      <c r="P5731" s="52"/>
    </row>
    <row r="5732">
      <c r="F5732" s="116" t="str">
        <f t="shared" si="1"/>
        <v/>
      </c>
      <c r="P5732" s="52"/>
    </row>
    <row r="5733">
      <c r="F5733" s="116" t="str">
        <f t="shared" si="1"/>
        <v/>
      </c>
      <c r="P5733" s="52"/>
    </row>
    <row r="5734">
      <c r="F5734" s="116" t="str">
        <f t="shared" si="1"/>
        <v/>
      </c>
      <c r="P5734" s="52"/>
    </row>
    <row r="5735">
      <c r="F5735" s="116" t="str">
        <f t="shared" si="1"/>
        <v/>
      </c>
      <c r="P5735" s="52"/>
    </row>
    <row r="5736">
      <c r="F5736" s="116" t="str">
        <f t="shared" si="1"/>
        <v/>
      </c>
      <c r="P5736" s="52"/>
    </row>
    <row r="5737">
      <c r="F5737" s="116" t="str">
        <f t="shared" si="1"/>
        <v/>
      </c>
      <c r="P5737" s="52"/>
    </row>
    <row r="5738">
      <c r="F5738" s="116" t="str">
        <f t="shared" si="1"/>
        <v/>
      </c>
      <c r="P5738" s="52"/>
    </row>
    <row r="5739">
      <c r="F5739" s="116" t="str">
        <f t="shared" si="1"/>
        <v/>
      </c>
      <c r="P5739" s="52"/>
    </row>
    <row r="5740">
      <c r="F5740" s="116" t="str">
        <f t="shared" si="1"/>
        <v/>
      </c>
      <c r="P5740" s="52"/>
    </row>
    <row r="5741">
      <c r="F5741" s="116" t="str">
        <f t="shared" si="1"/>
        <v/>
      </c>
      <c r="P5741" s="52"/>
    </row>
    <row r="5742">
      <c r="F5742" s="116" t="str">
        <f t="shared" si="1"/>
        <v/>
      </c>
      <c r="P5742" s="52"/>
    </row>
    <row r="5743">
      <c r="F5743" s="116" t="str">
        <f t="shared" si="1"/>
        <v/>
      </c>
      <c r="P5743" s="52"/>
    </row>
    <row r="5744">
      <c r="F5744" s="116" t="str">
        <f t="shared" si="1"/>
        <v/>
      </c>
      <c r="P5744" s="52"/>
    </row>
    <row r="5745">
      <c r="F5745" s="116" t="str">
        <f t="shared" si="1"/>
        <v/>
      </c>
      <c r="P5745" s="52"/>
    </row>
    <row r="5746">
      <c r="F5746" s="116" t="str">
        <f t="shared" si="1"/>
        <v/>
      </c>
      <c r="P5746" s="52"/>
    </row>
    <row r="5747">
      <c r="F5747" s="116" t="str">
        <f t="shared" si="1"/>
        <v/>
      </c>
      <c r="P5747" s="52"/>
    </row>
    <row r="5748">
      <c r="F5748" s="116" t="str">
        <f t="shared" si="1"/>
        <v/>
      </c>
      <c r="P5748" s="52"/>
    </row>
    <row r="5749">
      <c r="F5749" s="116" t="str">
        <f t="shared" si="1"/>
        <v/>
      </c>
      <c r="P5749" s="52"/>
    </row>
    <row r="5750">
      <c r="F5750" s="116" t="str">
        <f t="shared" si="1"/>
        <v/>
      </c>
      <c r="P5750" s="52"/>
    </row>
    <row r="5751">
      <c r="F5751" s="116" t="str">
        <f t="shared" si="1"/>
        <v/>
      </c>
      <c r="P5751" s="52"/>
    </row>
    <row r="5752">
      <c r="F5752" s="116" t="str">
        <f t="shared" si="1"/>
        <v/>
      </c>
      <c r="P5752" s="52"/>
    </row>
    <row r="5753">
      <c r="F5753" s="116" t="str">
        <f t="shared" si="1"/>
        <v/>
      </c>
      <c r="P5753" s="52"/>
    </row>
    <row r="5754">
      <c r="F5754" s="116" t="str">
        <f t="shared" si="1"/>
        <v/>
      </c>
      <c r="P5754" s="52"/>
    </row>
    <row r="5755">
      <c r="F5755" s="116" t="str">
        <f t="shared" si="1"/>
        <v/>
      </c>
      <c r="P5755" s="52"/>
    </row>
    <row r="5756">
      <c r="F5756" s="116" t="str">
        <f t="shared" si="1"/>
        <v/>
      </c>
      <c r="P5756" s="52"/>
    </row>
    <row r="5757">
      <c r="F5757" s="116" t="str">
        <f t="shared" si="1"/>
        <v/>
      </c>
      <c r="P5757" s="52"/>
    </row>
    <row r="5758">
      <c r="F5758" s="116" t="str">
        <f t="shared" si="1"/>
        <v/>
      </c>
      <c r="P5758" s="52"/>
    </row>
    <row r="5759">
      <c r="F5759" s="116" t="str">
        <f t="shared" si="1"/>
        <v/>
      </c>
      <c r="P5759" s="52"/>
    </row>
    <row r="5760">
      <c r="F5760" s="116" t="str">
        <f t="shared" si="1"/>
        <v/>
      </c>
      <c r="P5760" s="52"/>
    </row>
    <row r="5761">
      <c r="F5761" s="116" t="str">
        <f t="shared" si="1"/>
        <v/>
      </c>
      <c r="P5761" s="52"/>
    </row>
    <row r="5762">
      <c r="F5762" s="116" t="str">
        <f t="shared" si="1"/>
        <v/>
      </c>
      <c r="P5762" s="52"/>
    </row>
    <row r="5763">
      <c r="F5763" s="116" t="str">
        <f t="shared" si="1"/>
        <v/>
      </c>
      <c r="P5763" s="52"/>
    </row>
    <row r="5764">
      <c r="F5764" s="116" t="str">
        <f t="shared" si="1"/>
        <v/>
      </c>
      <c r="P5764" s="52"/>
    </row>
    <row r="5765">
      <c r="F5765" s="116" t="str">
        <f t="shared" si="1"/>
        <v/>
      </c>
      <c r="P5765" s="52"/>
    </row>
    <row r="5766">
      <c r="F5766" s="116" t="str">
        <f t="shared" si="1"/>
        <v/>
      </c>
      <c r="P5766" s="52"/>
    </row>
    <row r="5767">
      <c r="F5767" s="116" t="str">
        <f t="shared" si="1"/>
        <v/>
      </c>
      <c r="P5767" s="52"/>
    </row>
    <row r="5768">
      <c r="F5768" s="116" t="str">
        <f t="shared" si="1"/>
        <v/>
      </c>
      <c r="P5768" s="52"/>
    </row>
    <row r="5769">
      <c r="F5769" s="116" t="str">
        <f t="shared" si="1"/>
        <v/>
      </c>
      <c r="P5769" s="52"/>
    </row>
    <row r="5770">
      <c r="F5770" s="116" t="str">
        <f t="shared" si="1"/>
        <v/>
      </c>
      <c r="P5770" s="52"/>
    </row>
    <row r="5771">
      <c r="F5771" s="116" t="str">
        <f t="shared" si="1"/>
        <v/>
      </c>
      <c r="P5771" s="52"/>
    </row>
    <row r="5772">
      <c r="F5772" s="116" t="str">
        <f t="shared" si="1"/>
        <v/>
      </c>
      <c r="P5772" s="52"/>
    </row>
    <row r="5773">
      <c r="F5773" s="116" t="str">
        <f t="shared" si="1"/>
        <v/>
      </c>
      <c r="P5773" s="52"/>
    </row>
    <row r="5774">
      <c r="F5774" s="116" t="str">
        <f t="shared" si="1"/>
        <v/>
      </c>
      <c r="P5774" s="52"/>
    </row>
    <row r="5775">
      <c r="F5775" s="116" t="str">
        <f t="shared" si="1"/>
        <v/>
      </c>
      <c r="P5775" s="52"/>
    </row>
    <row r="5776">
      <c r="F5776" s="116" t="str">
        <f t="shared" si="1"/>
        <v/>
      </c>
      <c r="P5776" s="52"/>
    </row>
    <row r="5777">
      <c r="F5777" s="116" t="str">
        <f t="shared" si="1"/>
        <v/>
      </c>
      <c r="P5777" s="52"/>
    </row>
    <row r="5778">
      <c r="F5778" s="116" t="str">
        <f t="shared" si="1"/>
        <v/>
      </c>
      <c r="P5778" s="52"/>
    </row>
    <row r="5779">
      <c r="F5779" s="116" t="str">
        <f t="shared" si="1"/>
        <v/>
      </c>
      <c r="P5779" s="52"/>
    </row>
    <row r="5780">
      <c r="F5780" s="116" t="str">
        <f t="shared" si="1"/>
        <v/>
      </c>
      <c r="P5780" s="52"/>
    </row>
    <row r="5781">
      <c r="F5781" s="116" t="str">
        <f t="shared" si="1"/>
        <v/>
      </c>
      <c r="P5781" s="52"/>
    </row>
    <row r="5782">
      <c r="F5782" s="116" t="str">
        <f t="shared" si="1"/>
        <v/>
      </c>
      <c r="P5782" s="52"/>
    </row>
    <row r="5783">
      <c r="F5783" s="116" t="str">
        <f t="shared" si="1"/>
        <v/>
      </c>
      <c r="P5783" s="52"/>
    </row>
    <row r="5784">
      <c r="F5784" s="116" t="str">
        <f t="shared" si="1"/>
        <v/>
      </c>
      <c r="P5784" s="52"/>
    </row>
    <row r="5785">
      <c r="F5785" s="116" t="str">
        <f t="shared" si="1"/>
        <v/>
      </c>
      <c r="P5785" s="52"/>
    </row>
    <row r="5786">
      <c r="F5786" s="116" t="str">
        <f t="shared" si="1"/>
        <v/>
      </c>
      <c r="P5786" s="52"/>
    </row>
    <row r="5787">
      <c r="F5787" s="116" t="str">
        <f t="shared" si="1"/>
        <v/>
      </c>
      <c r="P5787" s="52"/>
    </row>
    <row r="5788">
      <c r="F5788" s="116" t="str">
        <f t="shared" si="1"/>
        <v/>
      </c>
      <c r="P5788" s="52"/>
    </row>
    <row r="5789">
      <c r="F5789" s="116" t="str">
        <f t="shared" si="1"/>
        <v/>
      </c>
      <c r="P5789" s="52"/>
    </row>
    <row r="5790">
      <c r="F5790" s="116" t="str">
        <f t="shared" si="1"/>
        <v/>
      </c>
      <c r="P5790" s="52"/>
    </row>
    <row r="5791">
      <c r="F5791" s="116" t="str">
        <f t="shared" si="1"/>
        <v/>
      </c>
      <c r="P5791" s="52"/>
    </row>
    <row r="5792">
      <c r="F5792" s="116" t="str">
        <f t="shared" si="1"/>
        <v/>
      </c>
      <c r="P5792" s="52"/>
    </row>
    <row r="5793">
      <c r="F5793" s="116" t="str">
        <f t="shared" si="1"/>
        <v/>
      </c>
      <c r="P5793" s="52"/>
    </row>
    <row r="5794">
      <c r="F5794" s="116" t="str">
        <f t="shared" si="1"/>
        <v/>
      </c>
      <c r="P5794" s="52"/>
    </row>
    <row r="5795">
      <c r="F5795" s="116" t="str">
        <f t="shared" si="1"/>
        <v/>
      </c>
      <c r="P5795" s="52"/>
    </row>
    <row r="5796">
      <c r="F5796" s="116" t="str">
        <f t="shared" si="1"/>
        <v/>
      </c>
      <c r="P5796" s="52"/>
    </row>
    <row r="5797">
      <c r="F5797" s="116" t="str">
        <f t="shared" si="1"/>
        <v/>
      </c>
      <c r="P5797" s="52"/>
    </row>
    <row r="5798">
      <c r="F5798" s="116" t="str">
        <f t="shared" si="1"/>
        <v/>
      </c>
      <c r="P5798" s="52"/>
    </row>
    <row r="5799">
      <c r="F5799" s="116" t="str">
        <f t="shared" si="1"/>
        <v/>
      </c>
      <c r="P5799" s="52"/>
    </row>
    <row r="5800">
      <c r="F5800" s="116" t="str">
        <f t="shared" si="1"/>
        <v/>
      </c>
      <c r="P5800" s="52"/>
    </row>
    <row r="5801">
      <c r="F5801" s="116" t="str">
        <f t="shared" si="1"/>
        <v/>
      </c>
      <c r="P5801" s="52"/>
    </row>
    <row r="5802">
      <c r="F5802" s="116" t="str">
        <f t="shared" si="1"/>
        <v/>
      </c>
      <c r="P5802" s="52"/>
    </row>
    <row r="5803">
      <c r="F5803" s="116" t="str">
        <f t="shared" si="1"/>
        <v/>
      </c>
      <c r="P5803" s="52"/>
    </row>
    <row r="5804">
      <c r="F5804" s="116" t="str">
        <f t="shared" si="1"/>
        <v/>
      </c>
      <c r="P5804" s="52"/>
    </row>
    <row r="5805">
      <c r="F5805" s="116" t="str">
        <f t="shared" si="1"/>
        <v/>
      </c>
      <c r="P5805" s="52"/>
    </row>
    <row r="5806">
      <c r="F5806" s="116" t="str">
        <f t="shared" si="1"/>
        <v/>
      </c>
      <c r="P5806" s="52"/>
    </row>
    <row r="5807">
      <c r="F5807" s="116" t="str">
        <f t="shared" si="1"/>
        <v/>
      </c>
      <c r="P5807" s="52"/>
    </row>
    <row r="5808">
      <c r="F5808" s="116" t="str">
        <f t="shared" si="1"/>
        <v/>
      </c>
      <c r="P5808" s="52"/>
    </row>
    <row r="5809">
      <c r="F5809" s="116" t="str">
        <f t="shared" si="1"/>
        <v/>
      </c>
      <c r="P5809" s="52"/>
    </row>
    <row r="5810">
      <c r="F5810" s="116" t="str">
        <f t="shared" si="1"/>
        <v/>
      </c>
      <c r="P5810" s="52"/>
    </row>
    <row r="5811">
      <c r="F5811" s="116" t="str">
        <f t="shared" si="1"/>
        <v/>
      </c>
      <c r="P5811" s="52"/>
    </row>
    <row r="5812">
      <c r="F5812" s="116" t="str">
        <f t="shared" si="1"/>
        <v/>
      </c>
      <c r="P5812" s="52"/>
    </row>
    <row r="5813">
      <c r="F5813" s="116" t="str">
        <f t="shared" si="1"/>
        <v/>
      </c>
      <c r="P5813" s="52"/>
    </row>
    <row r="5814">
      <c r="F5814" s="116" t="str">
        <f t="shared" si="1"/>
        <v/>
      </c>
      <c r="P5814" s="52"/>
    </row>
    <row r="5815">
      <c r="F5815" s="116" t="str">
        <f t="shared" si="1"/>
        <v/>
      </c>
      <c r="P5815" s="52"/>
    </row>
    <row r="5816">
      <c r="F5816" s="116" t="str">
        <f t="shared" si="1"/>
        <v/>
      </c>
      <c r="P5816" s="52"/>
    </row>
    <row r="5817">
      <c r="F5817" s="116" t="str">
        <f t="shared" si="1"/>
        <v/>
      </c>
      <c r="P5817" s="52"/>
    </row>
    <row r="5818">
      <c r="F5818" s="116" t="str">
        <f t="shared" si="1"/>
        <v/>
      </c>
      <c r="P5818" s="52"/>
    </row>
    <row r="5819">
      <c r="F5819" s="116" t="str">
        <f t="shared" si="1"/>
        <v/>
      </c>
      <c r="P5819" s="52"/>
    </row>
    <row r="5820">
      <c r="F5820" s="116" t="str">
        <f t="shared" si="1"/>
        <v/>
      </c>
      <c r="P5820" s="52"/>
    </row>
    <row r="5821">
      <c r="F5821" s="116" t="str">
        <f t="shared" si="1"/>
        <v/>
      </c>
      <c r="P5821" s="52"/>
    </row>
    <row r="5822">
      <c r="F5822" s="116" t="str">
        <f t="shared" si="1"/>
        <v/>
      </c>
      <c r="P5822" s="52"/>
    </row>
    <row r="5823">
      <c r="F5823" s="116" t="str">
        <f t="shared" si="1"/>
        <v/>
      </c>
      <c r="P5823" s="52"/>
    </row>
    <row r="5824">
      <c r="F5824" s="116" t="str">
        <f t="shared" si="1"/>
        <v/>
      </c>
      <c r="P5824" s="52"/>
    </row>
    <row r="5825">
      <c r="F5825" s="116" t="str">
        <f t="shared" si="1"/>
        <v/>
      </c>
      <c r="P5825" s="52"/>
    </row>
    <row r="5826">
      <c r="F5826" s="116" t="str">
        <f t="shared" si="1"/>
        <v/>
      </c>
      <c r="P5826" s="52"/>
    </row>
    <row r="5827">
      <c r="F5827" s="116" t="str">
        <f t="shared" si="1"/>
        <v/>
      </c>
      <c r="P5827" s="52"/>
    </row>
    <row r="5828">
      <c r="F5828" s="116" t="str">
        <f t="shared" si="1"/>
        <v/>
      </c>
      <c r="P5828" s="52"/>
    </row>
    <row r="5829">
      <c r="F5829" s="116" t="str">
        <f t="shared" si="1"/>
        <v/>
      </c>
      <c r="P5829" s="52"/>
    </row>
    <row r="5830">
      <c r="F5830" s="116" t="str">
        <f t="shared" si="1"/>
        <v/>
      </c>
      <c r="P5830" s="52"/>
    </row>
    <row r="5831">
      <c r="F5831" s="116" t="str">
        <f t="shared" si="1"/>
        <v/>
      </c>
      <c r="P5831" s="52"/>
    </row>
    <row r="5832">
      <c r="F5832" s="116" t="str">
        <f t="shared" si="1"/>
        <v/>
      </c>
      <c r="P5832" s="52"/>
    </row>
    <row r="5833">
      <c r="F5833" s="116" t="str">
        <f t="shared" si="1"/>
        <v/>
      </c>
      <c r="P5833" s="52"/>
    </row>
    <row r="5834">
      <c r="F5834" s="116" t="str">
        <f t="shared" si="1"/>
        <v/>
      </c>
      <c r="P5834" s="52"/>
    </row>
    <row r="5835">
      <c r="F5835" s="116" t="str">
        <f t="shared" si="1"/>
        <v/>
      </c>
      <c r="P5835" s="52"/>
    </row>
    <row r="5836">
      <c r="F5836" s="116" t="str">
        <f t="shared" si="1"/>
        <v/>
      </c>
      <c r="P5836" s="52"/>
    </row>
    <row r="5837">
      <c r="F5837" s="116" t="str">
        <f t="shared" si="1"/>
        <v/>
      </c>
      <c r="P5837" s="52"/>
    </row>
    <row r="5838">
      <c r="F5838" s="116" t="str">
        <f t="shared" si="1"/>
        <v/>
      </c>
      <c r="P5838" s="52"/>
    </row>
    <row r="5839">
      <c r="F5839" s="116" t="str">
        <f t="shared" si="1"/>
        <v/>
      </c>
      <c r="P5839" s="52"/>
    </row>
    <row r="5840">
      <c r="F5840" s="116" t="str">
        <f t="shared" si="1"/>
        <v/>
      </c>
      <c r="P5840" s="52"/>
    </row>
    <row r="5841">
      <c r="F5841" s="116" t="str">
        <f t="shared" si="1"/>
        <v/>
      </c>
      <c r="P5841" s="52"/>
    </row>
    <row r="5842">
      <c r="F5842" s="116" t="str">
        <f t="shared" si="1"/>
        <v/>
      </c>
      <c r="P5842" s="52"/>
    </row>
    <row r="5843">
      <c r="F5843" s="116" t="str">
        <f t="shared" si="1"/>
        <v/>
      </c>
      <c r="P5843" s="52"/>
    </row>
    <row r="5844">
      <c r="F5844" s="116" t="str">
        <f t="shared" si="1"/>
        <v/>
      </c>
      <c r="P5844" s="52"/>
    </row>
    <row r="5845">
      <c r="F5845" s="116" t="str">
        <f t="shared" si="1"/>
        <v/>
      </c>
      <c r="P5845" s="52"/>
    </row>
    <row r="5846">
      <c r="F5846" s="116" t="str">
        <f t="shared" si="1"/>
        <v/>
      </c>
      <c r="P5846" s="52"/>
    </row>
    <row r="5847">
      <c r="F5847" s="116" t="str">
        <f t="shared" si="1"/>
        <v/>
      </c>
      <c r="P5847" s="52"/>
    </row>
    <row r="5848">
      <c r="F5848" s="116" t="str">
        <f t="shared" si="1"/>
        <v/>
      </c>
      <c r="P5848" s="52"/>
    </row>
    <row r="5849">
      <c r="F5849" s="116" t="str">
        <f t="shared" si="1"/>
        <v/>
      </c>
      <c r="P5849" s="52"/>
    </row>
    <row r="5850">
      <c r="F5850" s="116" t="str">
        <f t="shared" si="1"/>
        <v/>
      </c>
      <c r="P5850" s="52"/>
    </row>
    <row r="5851">
      <c r="F5851" s="116" t="str">
        <f t="shared" si="1"/>
        <v/>
      </c>
      <c r="P5851" s="52"/>
    </row>
    <row r="5852">
      <c r="F5852" s="116" t="str">
        <f t="shared" si="1"/>
        <v/>
      </c>
      <c r="P5852" s="52"/>
    </row>
    <row r="5853">
      <c r="F5853" s="116" t="str">
        <f t="shared" si="1"/>
        <v/>
      </c>
      <c r="P5853" s="52"/>
    </row>
    <row r="5854">
      <c r="F5854" s="116" t="str">
        <f t="shared" si="1"/>
        <v/>
      </c>
      <c r="P5854" s="52"/>
    </row>
    <row r="5855">
      <c r="F5855" s="116" t="str">
        <f t="shared" si="1"/>
        <v/>
      </c>
      <c r="P5855" s="52"/>
    </row>
    <row r="5856">
      <c r="F5856" s="116" t="str">
        <f t="shared" si="1"/>
        <v/>
      </c>
      <c r="P5856" s="52"/>
    </row>
    <row r="5857">
      <c r="F5857" s="116" t="str">
        <f t="shared" si="1"/>
        <v/>
      </c>
      <c r="P5857" s="52"/>
    </row>
    <row r="5858">
      <c r="F5858" s="116" t="str">
        <f t="shared" si="1"/>
        <v/>
      </c>
      <c r="P5858" s="52"/>
    </row>
    <row r="5859">
      <c r="F5859" s="116" t="str">
        <f t="shared" si="1"/>
        <v/>
      </c>
      <c r="P5859" s="52"/>
    </row>
    <row r="5860">
      <c r="F5860" s="116" t="str">
        <f t="shared" si="1"/>
        <v/>
      </c>
      <c r="P5860" s="52"/>
    </row>
    <row r="5861">
      <c r="F5861" s="116" t="str">
        <f t="shared" si="1"/>
        <v/>
      </c>
      <c r="P5861" s="52"/>
    </row>
    <row r="5862">
      <c r="F5862" s="116" t="str">
        <f t="shared" si="1"/>
        <v/>
      </c>
      <c r="P5862" s="52"/>
    </row>
    <row r="5863">
      <c r="F5863" s="116" t="str">
        <f t="shared" si="1"/>
        <v/>
      </c>
      <c r="P5863" s="52"/>
    </row>
    <row r="5864">
      <c r="F5864" s="116" t="str">
        <f t="shared" si="1"/>
        <v/>
      </c>
      <c r="P5864" s="52"/>
    </row>
    <row r="5865">
      <c r="F5865" s="116" t="str">
        <f t="shared" si="1"/>
        <v/>
      </c>
      <c r="P5865" s="52"/>
    </row>
    <row r="5866">
      <c r="F5866" s="116" t="str">
        <f t="shared" si="1"/>
        <v/>
      </c>
      <c r="P5866" s="52"/>
    </row>
    <row r="5867">
      <c r="F5867" s="116" t="str">
        <f t="shared" si="1"/>
        <v/>
      </c>
      <c r="P5867" s="52"/>
    </row>
    <row r="5868">
      <c r="F5868" s="116" t="str">
        <f t="shared" si="1"/>
        <v/>
      </c>
      <c r="P5868" s="52"/>
    </row>
    <row r="5869">
      <c r="F5869" s="116" t="str">
        <f t="shared" si="1"/>
        <v/>
      </c>
      <c r="P5869" s="52"/>
    </row>
    <row r="5870">
      <c r="F5870" s="116" t="str">
        <f t="shared" si="1"/>
        <v/>
      </c>
      <c r="P5870" s="52"/>
    </row>
    <row r="5871">
      <c r="F5871" s="116" t="str">
        <f t="shared" si="1"/>
        <v/>
      </c>
      <c r="P5871" s="52"/>
    </row>
    <row r="5872">
      <c r="F5872" s="116" t="str">
        <f t="shared" si="1"/>
        <v/>
      </c>
      <c r="P5872" s="52"/>
    </row>
    <row r="5873">
      <c r="F5873" s="116" t="str">
        <f t="shared" si="1"/>
        <v/>
      </c>
      <c r="P5873" s="52"/>
    </row>
    <row r="5874">
      <c r="F5874" s="116" t="str">
        <f t="shared" si="1"/>
        <v/>
      </c>
      <c r="P5874" s="52"/>
    </row>
    <row r="5875">
      <c r="F5875" s="116" t="str">
        <f t="shared" si="1"/>
        <v/>
      </c>
      <c r="P5875" s="52"/>
    </row>
    <row r="5876">
      <c r="F5876" s="116" t="str">
        <f t="shared" si="1"/>
        <v/>
      </c>
      <c r="P5876" s="52"/>
    </row>
    <row r="5877">
      <c r="F5877" s="116" t="str">
        <f t="shared" si="1"/>
        <v/>
      </c>
      <c r="P5877" s="52"/>
    </row>
    <row r="5878">
      <c r="F5878" s="116" t="str">
        <f t="shared" si="1"/>
        <v/>
      </c>
      <c r="P5878" s="52"/>
    </row>
    <row r="5879">
      <c r="F5879" s="116" t="str">
        <f t="shared" si="1"/>
        <v/>
      </c>
      <c r="P5879" s="52"/>
    </row>
    <row r="5880">
      <c r="F5880" s="116" t="str">
        <f t="shared" si="1"/>
        <v/>
      </c>
      <c r="P5880" s="52"/>
    </row>
    <row r="5881">
      <c r="F5881" s="116" t="str">
        <f t="shared" si="1"/>
        <v/>
      </c>
      <c r="P5881" s="52"/>
    </row>
    <row r="5882">
      <c r="F5882" s="116" t="str">
        <f t="shared" si="1"/>
        <v/>
      </c>
      <c r="P5882" s="52"/>
    </row>
    <row r="5883">
      <c r="F5883" s="116" t="str">
        <f t="shared" si="1"/>
        <v/>
      </c>
      <c r="P5883" s="52"/>
    </row>
    <row r="5884">
      <c r="F5884" s="116" t="str">
        <f t="shared" si="1"/>
        <v/>
      </c>
      <c r="P5884" s="52"/>
    </row>
    <row r="5885">
      <c r="F5885" s="116" t="str">
        <f t="shared" si="1"/>
        <v/>
      </c>
      <c r="P5885" s="52"/>
    </row>
    <row r="5886">
      <c r="F5886" s="116" t="str">
        <f t="shared" si="1"/>
        <v/>
      </c>
      <c r="P5886" s="52"/>
    </row>
    <row r="5887">
      <c r="F5887" s="116" t="str">
        <f t="shared" si="1"/>
        <v/>
      </c>
      <c r="P5887" s="52"/>
    </row>
    <row r="5888">
      <c r="F5888" s="116" t="str">
        <f t="shared" si="1"/>
        <v/>
      </c>
      <c r="P5888" s="52"/>
    </row>
    <row r="5889">
      <c r="F5889" s="116" t="str">
        <f t="shared" si="1"/>
        <v/>
      </c>
      <c r="P5889" s="52"/>
    </row>
    <row r="5890">
      <c r="F5890" s="116" t="str">
        <f t="shared" si="1"/>
        <v/>
      </c>
      <c r="P5890" s="52"/>
    </row>
    <row r="5891">
      <c r="F5891" s="116" t="str">
        <f t="shared" si="1"/>
        <v/>
      </c>
      <c r="P5891" s="52"/>
    </row>
    <row r="5892">
      <c r="F5892" s="116" t="str">
        <f t="shared" si="1"/>
        <v/>
      </c>
      <c r="P5892" s="52"/>
    </row>
    <row r="5893">
      <c r="F5893" s="116" t="str">
        <f t="shared" si="1"/>
        <v/>
      </c>
      <c r="P5893" s="52"/>
    </row>
    <row r="5894">
      <c r="F5894" s="116" t="str">
        <f t="shared" si="1"/>
        <v/>
      </c>
      <c r="P5894" s="52"/>
    </row>
    <row r="5895">
      <c r="F5895" s="116" t="str">
        <f t="shared" si="1"/>
        <v/>
      </c>
      <c r="P5895" s="52"/>
    </row>
    <row r="5896">
      <c r="F5896" s="116" t="str">
        <f t="shared" si="1"/>
        <v/>
      </c>
      <c r="P5896" s="52"/>
    </row>
    <row r="5897">
      <c r="F5897" s="116" t="str">
        <f t="shared" si="1"/>
        <v/>
      </c>
      <c r="P5897" s="52"/>
    </row>
    <row r="5898">
      <c r="F5898" s="116" t="str">
        <f t="shared" si="1"/>
        <v/>
      </c>
      <c r="P5898" s="52"/>
    </row>
    <row r="5899">
      <c r="F5899" s="116" t="str">
        <f t="shared" si="1"/>
        <v/>
      </c>
      <c r="P5899" s="52"/>
    </row>
    <row r="5900">
      <c r="F5900" s="116" t="str">
        <f t="shared" si="1"/>
        <v/>
      </c>
      <c r="P5900" s="52"/>
    </row>
    <row r="5901">
      <c r="F5901" s="116" t="str">
        <f t="shared" si="1"/>
        <v/>
      </c>
      <c r="P5901" s="52"/>
    </row>
    <row r="5902">
      <c r="F5902" s="116" t="str">
        <f t="shared" si="1"/>
        <v/>
      </c>
      <c r="P5902" s="52"/>
    </row>
    <row r="5903">
      <c r="F5903" s="116" t="str">
        <f t="shared" si="1"/>
        <v/>
      </c>
      <c r="P5903" s="52"/>
    </row>
    <row r="5904">
      <c r="F5904" s="116" t="str">
        <f t="shared" si="1"/>
        <v/>
      </c>
      <c r="P5904" s="52"/>
    </row>
    <row r="5905">
      <c r="F5905" s="116" t="str">
        <f t="shared" si="1"/>
        <v/>
      </c>
      <c r="P5905" s="52"/>
    </row>
    <row r="5906">
      <c r="F5906" s="116" t="str">
        <f t="shared" si="1"/>
        <v/>
      </c>
      <c r="P5906" s="52"/>
    </row>
    <row r="5907">
      <c r="F5907" s="116" t="str">
        <f t="shared" si="1"/>
        <v/>
      </c>
      <c r="P5907" s="52"/>
    </row>
    <row r="5908">
      <c r="F5908" s="116" t="str">
        <f t="shared" si="1"/>
        <v/>
      </c>
      <c r="P5908" s="52"/>
    </row>
    <row r="5909">
      <c r="F5909" s="116" t="str">
        <f t="shared" si="1"/>
        <v/>
      </c>
      <c r="P5909" s="52"/>
    </row>
    <row r="5910">
      <c r="F5910" s="116" t="str">
        <f t="shared" si="1"/>
        <v/>
      </c>
      <c r="P5910" s="52"/>
    </row>
    <row r="5911">
      <c r="F5911" s="116" t="str">
        <f t="shared" si="1"/>
        <v/>
      </c>
      <c r="P5911" s="52"/>
    </row>
    <row r="5912">
      <c r="F5912" s="116" t="str">
        <f t="shared" si="1"/>
        <v/>
      </c>
      <c r="P5912" s="52"/>
    </row>
    <row r="5913">
      <c r="F5913" s="116" t="str">
        <f t="shared" si="1"/>
        <v/>
      </c>
      <c r="P5913" s="52"/>
    </row>
    <row r="5914">
      <c r="F5914" s="116" t="str">
        <f t="shared" si="1"/>
        <v/>
      </c>
      <c r="P5914" s="52"/>
    </row>
    <row r="5915">
      <c r="F5915" s="116" t="str">
        <f t="shared" si="1"/>
        <v/>
      </c>
      <c r="P5915" s="52"/>
    </row>
    <row r="5916">
      <c r="F5916" s="116" t="str">
        <f t="shared" si="1"/>
        <v/>
      </c>
      <c r="P5916" s="52"/>
    </row>
    <row r="5917">
      <c r="F5917" s="116" t="str">
        <f t="shared" si="1"/>
        <v/>
      </c>
      <c r="P5917" s="52"/>
    </row>
    <row r="5918">
      <c r="F5918" s="116" t="str">
        <f t="shared" si="1"/>
        <v/>
      </c>
      <c r="P5918" s="52"/>
    </row>
    <row r="5919">
      <c r="F5919" s="116" t="str">
        <f t="shared" si="1"/>
        <v/>
      </c>
      <c r="P5919" s="52"/>
    </row>
    <row r="5920">
      <c r="F5920" s="116" t="str">
        <f t="shared" si="1"/>
        <v/>
      </c>
      <c r="P5920" s="52"/>
    </row>
    <row r="5921">
      <c r="F5921" s="116" t="str">
        <f t="shared" si="1"/>
        <v/>
      </c>
      <c r="P5921" s="52"/>
    </row>
    <row r="5922">
      <c r="F5922" s="116" t="str">
        <f t="shared" si="1"/>
        <v/>
      </c>
      <c r="P5922" s="52"/>
    </row>
    <row r="5923">
      <c r="F5923" s="116" t="str">
        <f t="shared" si="1"/>
        <v/>
      </c>
      <c r="P5923" s="52"/>
    </row>
    <row r="5924">
      <c r="F5924" s="116" t="str">
        <f t="shared" si="1"/>
        <v/>
      </c>
      <c r="P5924" s="52"/>
    </row>
    <row r="5925">
      <c r="F5925" s="116" t="str">
        <f t="shared" si="1"/>
        <v/>
      </c>
      <c r="P5925" s="52"/>
    </row>
    <row r="5926">
      <c r="F5926" s="116" t="str">
        <f t="shared" si="1"/>
        <v/>
      </c>
      <c r="P5926" s="52"/>
    </row>
    <row r="5927">
      <c r="F5927" s="116" t="str">
        <f t="shared" si="1"/>
        <v/>
      </c>
      <c r="P5927" s="52"/>
    </row>
    <row r="5928">
      <c r="F5928" s="116" t="str">
        <f t="shared" si="1"/>
        <v/>
      </c>
      <c r="P5928" s="52"/>
    </row>
    <row r="5929">
      <c r="F5929" s="116" t="str">
        <f t="shared" si="1"/>
        <v/>
      </c>
      <c r="P5929" s="52"/>
    </row>
    <row r="5930">
      <c r="F5930" s="116" t="str">
        <f t="shared" si="1"/>
        <v/>
      </c>
      <c r="P5930" s="52"/>
    </row>
    <row r="5931">
      <c r="F5931" s="116" t="str">
        <f t="shared" si="1"/>
        <v/>
      </c>
      <c r="P5931" s="52"/>
    </row>
    <row r="5932">
      <c r="F5932" s="116" t="str">
        <f t="shared" si="1"/>
        <v/>
      </c>
      <c r="P5932" s="52"/>
    </row>
    <row r="5933">
      <c r="F5933" s="116" t="str">
        <f t="shared" si="1"/>
        <v/>
      </c>
      <c r="P5933" s="52"/>
    </row>
    <row r="5934">
      <c r="F5934" s="116" t="str">
        <f t="shared" si="1"/>
        <v/>
      </c>
      <c r="P5934" s="52"/>
    </row>
    <row r="5935">
      <c r="F5935" s="116" t="str">
        <f t="shared" si="1"/>
        <v/>
      </c>
      <c r="P5935" s="52"/>
    </row>
    <row r="5936">
      <c r="F5936" s="116" t="str">
        <f t="shared" si="1"/>
        <v/>
      </c>
      <c r="P5936" s="52"/>
    </row>
    <row r="5937">
      <c r="F5937" s="116" t="str">
        <f t="shared" si="1"/>
        <v/>
      </c>
      <c r="P5937" s="52"/>
    </row>
    <row r="5938">
      <c r="F5938" s="116" t="str">
        <f t="shared" si="1"/>
        <v/>
      </c>
      <c r="P5938" s="52"/>
    </row>
    <row r="5939">
      <c r="F5939" s="116" t="str">
        <f t="shared" si="1"/>
        <v/>
      </c>
      <c r="P5939" s="52"/>
    </row>
    <row r="5940">
      <c r="F5940" s="116" t="str">
        <f t="shared" si="1"/>
        <v/>
      </c>
      <c r="P5940" s="52"/>
    </row>
    <row r="5941">
      <c r="F5941" s="116" t="str">
        <f t="shared" si="1"/>
        <v/>
      </c>
      <c r="P5941" s="52"/>
    </row>
    <row r="5942">
      <c r="F5942" s="116" t="str">
        <f t="shared" si="1"/>
        <v/>
      </c>
      <c r="P5942" s="52"/>
    </row>
    <row r="5943">
      <c r="F5943" s="116" t="str">
        <f t="shared" si="1"/>
        <v/>
      </c>
      <c r="P5943" s="52"/>
    </row>
    <row r="5944">
      <c r="F5944" s="116" t="str">
        <f t="shared" si="1"/>
        <v/>
      </c>
      <c r="P5944" s="52"/>
    </row>
    <row r="5945">
      <c r="F5945" s="116" t="str">
        <f t="shared" si="1"/>
        <v/>
      </c>
      <c r="P5945" s="52"/>
    </row>
    <row r="5946">
      <c r="F5946" s="116" t="str">
        <f t="shared" si="1"/>
        <v/>
      </c>
      <c r="P5946" s="52"/>
    </row>
    <row r="5947">
      <c r="F5947" s="116" t="str">
        <f t="shared" si="1"/>
        <v/>
      </c>
      <c r="P5947" s="52"/>
    </row>
    <row r="5948">
      <c r="F5948" s="116" t="str">
        <f t="shared" si="1"/>
        <v/>
      </c>
      <c r="P5948" s="52"/>
    </row>
    <row r="5949">
      <c r="F5949" s="116" t="str">
        <f t="shared" si="1"/>
        <v/>
      </c>
      <c r="P5949" s="52"/>
    </row>
    <row r="5950">
      <c r="F5950" s="116" t="str">
        <f t="shared" si="1"/>
        <v/>
      </c>
      <c r="P5950" s="52"/>
    </row>
    <row r="5951">
      <c r="F5951" s="116" t="str">
        <f t="shared" si="1"/>
        <v/>
      </c>
      <c r="P5951" s="52"/>
    </row>
    <row r="5952">
      <c r="F5952" s="116" t="str">
        <f t="shared" si="1"/>
        <v/>
      </c>
      <c r="P5952" s="52"/>
    </row>
    <row r="5953">
      <c r="F5953" s="116" t="str">
        <f t="shared" si="1"/>
        <v/>
      </c>
      <c r="P5953" s="52"/>
    </row>
    <row r="5954">
      <c r="F5954" s="116" t="str">
        <f t="shared" si="1"/>
        <v/>
      </c>
      <c r="P5954" s="52"/>
    </row>
    <row r="5955">
      <c r="F5955" s="116" t="str">
        <f t="shared" si="1"/>
        <v/>
      </c>
      <c r="P5955" s="52"/>
    </row>
    <row r="5956">
      <c r="F5956" s="116" t="str">
        <f t="shared" si="1"/>
        <v/>
      </c>
      <c r="P5956" s="52"/>
    </row>
    <row r="5957">
      <c r="F5957" s="116" t="str">
        <f t="shared" si="1"/>
        <v/>
      </c>
      <c r="P5957" s="52"/>
    </row>
    <row r="5958">
      <c r="F5958" s="116" t="str">
        <f t="shared" si="1"/>
        <v/>
      </c>
      <c r="P5958" s="52"/>
    </row>
    <row r="5959">
      <c r="F5959" s="116" t="str">
        <f t="shared" si="1"/>
        <v/>
      </c>
      <c r="P5959" s="52"/>
    </row>
    <row r="5960">
      <c r="F5960" s="116" t="str">
        <f t="shared" si="1"/>
        <v/>
      </c>
      <c r="P5960" s="52"/>
    </row>
    <row r="5961">
      <c r="F5961" s="116" t="str">
        <f t="shared" si="1"/>
        <v/>
      </c>
      <c r="P5961" s="52"/>
    </row>
    <row r="5962">
      <c r="F5962" s="116" t="str">
        <f t="shared" si="1"/>
        <v/>
      </c>
      <c r="P5962" s="52"/>
    </row>
    <row r="5963">
      <c r="F5963" s="116" t="str">
        <f t="shared" si="1"/>
        <v/>
      </c>
      <c r="P5963" s="52"/>
    </row>
    <row r="5964">
      <c r="F5964" s="116" t="str">
        <f t="shared" si="1"/>
        <v/>
      </c>
      <c r="P5964" s="52"/>
    </row>
    <row r="5965">
      <c r="F5965" s="116" t="str">
        <f t="shared" si="1"/>
        <v/>
      </c>
      <c r="P5965" s="52"/>
    </row>
    <row r="5966">
      <c r="F5966" s="116" t="str">
        <f t="shared" si="1"/>
        <v/>
      </c>
      <c r="P5966" s="52"/>
    </row>
    <row r="5967">
      <c r="F5967" s="116" t="str">
        <f t="shared" si="1"/>
        <v/>
      </c>
      <c r="P5967" s="52"/>
    </row>
    <row r="5968">
      <c r="F5968" s="116" t="str">
        <f t="shared" si="1"/>
        <v/>
      </c>
      <c r="P5968" s="52"/>
    </row>
    <row r="5969">
      <c r="F5969" s="116" t="str">
        <f t="shared" si="1"/>
        <v/>
      </c>
      <c r="P5969" s="52"/>
    </row>
    <row r="5970">
      <c r="F5970" s="116" t="str">
        <f t="shared" si="1"/>
        <v/>
      </c>
      <c r="P5970" s="52"/>
    </row>
    <row r="5971">
      <c r="F5971" s="116" t="str">
        <f t="shared" si="1"/>
        <v/>
      </c>
      <c r="P5971" s="52"/>
    </row>
    <row r="5972">
      <c r="F5972" s="116" t="str">
        <f t="shared" si="1"/>
        <v/>
      </c>
      <c r="P5972" s="52"/>
    </row>
    <row r="5973">
      <c r="F5973" s="116" t="str">
        <f t="shared" si="1"/>
        <v/>
      </c>
      <c r="P5973" s="52"/>
    </row>
    <row r="5974">
      <c r="F5974" s="116" t="str">
        <f t="shared" si="1"/>
        <v/>
      </c>
      <c r="P5974" s="52"/>
    </row>
    <row r="5975">
      <c r="F5975" s="116" t="str">
        <f t="shared" si="1"/>
        <v/>
      </c>
      <c r="P5975" s="52"/>
    </row>
    <row r="5976">
      <c r="F5976" s="116" t="str">
        <f t="shared" si="1"/>
        <v/>
      </c>
      <c r="P5976" s="52"/>
    </row>
    <row r="5977">
      <c r="F5977" s="116" t="str">
        <f t="shared" si="1"/>
        <v/>
      </c>
      <c r="P5977" s="52"/>
    </row>
    <row r="5978">
      <c r="F5978" s="116" t="str">
        <f t="shared" si="1"/>
        <v/>
      </c>
      <c r="P5978" s="52"/>
    </row>
    <row r="5979">
      <c r="F5979" s="116" t="str">
        <f t="shared" si="1"/>
        <v/>
      </c>
      <c r="P5979" s="52"/>
    </row>
    <row r="5980">
      <c r="F5980" s="116" t="str">
        <f t="shared" si="1"/>
        <v/>
      </c>
      <c r="P5980" s="52"/>
    </row>
    <row r="5981">
      <c r="F5981" s="116" t="str">
        <f t="shared" si="1"/>
        <v/>
      </c>
      <c r="P5981" s="52"/>
    </row>
    <row r="5982">
      <c r="F5982" s="116" t="str">
        <f t="shared" si="1"/>
        <v/>
      </c>
      <c r="P5982" s="52"/>
    </row>
    <row r="5983">
      <c r="F5983" s="116" t="str">
        <f t="shared" si="1"/>
        <v/>
      </c>
      <c r="P5983" s="52"/>
    </row>
    <row r="5984">
      <c r="F5984" s="116" t="str">
        <f t="shared" si="1"/>
        <v/>
      </c>
      <c r="P5984" s="52"/>
    </row>
    <row r="5985">
      <c r="F5985" s="116" t="str">
        <f t="shared" si="1"/>
        <v/>
      </c>
      <c r="P5985" s="52"/>
    </row>
    <row r="5986">
      <c r="F5986" s="116" t="str">
        <f t="shared" si="1"/>
        <v/>
      </c>
      <c r="P5986" s="52"/>
    </row>
    <row r="5987">
      <c r="F5987" s="116" t="str">
        <f t="shared" si="1"/>
        <v/>
      </c>
      <c r="P5987" s="52"/>
    </row>
    <row r="5988">
      <c r="F5988" s="116" t="str">
        <f t="shared" si="1"/>
        <v/>
      </c>
      <c r="P5988" s="52"/>
    </row>
    <row r="5989">
      <c r="F5989" s="116" t="str">
        <f t="shared" si="1"/>
        <v/>
      </c>
      <c r="P5989" s="52"/>
    </row>
    <row r="5990">
      <c r="F5990" s="116" t="str">
        <f t="shared" si="1"/>
        <v/>
      </c>
      <c r="P5990" s="52"/>
    </row>
    <row r="5991">
      <c r="F5991" s="116" t="str">
        <f t="shared" si="1"/>
        <v/>
      </c>
      <c r="P5991" s="52"/>
    </row>
    <row r="5992">
      <c r="F5992" s="116" t="str">
        <f t="shared" si="1"/>
        <v/>
      </c>
      <c r="P5992" s="52"/>
    </row>
    <row r="5993">
      <c r="F5993" s="116" t="str">
        <f t="shared" si="1"/>
        <v/>
      </c>
      <c r="P5993" s="52"/>
    </row>
    <row r="5994">
      <c r="F5994" s="116" t="str">
        <f t="shared" si="1"/>
        <v/>
      </c>
      <c r="P5994" s="52"/>
    </row>
    <row r="5995">
      <c r="F5995" s="116" t="str">
        <f t="shared" si="1"/>
        <v/>
      </c>
      <c r="P5995" s="52"/>
    </row>
    <row r="5996">
      <c r="F5996" s="116" t="str">
        <f t="shared" si="1"/>
        <v/>
      </c>
      <c r="P5996" s="52"/>
    </row>
    <row r="5997">
      <c r="F5997" s="116" t="str">
        <f t="shared" si="1"/>
        <v/>
      </c>
      <c r="P5997" s="52"/>
    </row>
    <row r="5998">
      <c r="F5998" s="116" t="str">
        <f t="shared" si="1"/>
        <v/>
      </c>
      <c r="P5998" s="52"/>
    </row>
    <row r="5999">
      <c r="F5999" s="116" t="str">
        <f t="shared" si="1"/>
        <v/>
      </c>
      <c r="P5999" s="52"/>
    </row>
    <row r="6000">
      <c r="F6000" s="116" t="str">
        <f t="shared" si="1"/>
        <v/>
      </c>
      <c r="P6000" s="52"/>
    </row>
    <row r="6001">
      <c r="F6001" s="116" t="str">
        <f t="shared" si="1"/>
        <v/>
      </c>
      <c r="P6001" s="52"/>
    </row>
    <row r="6002">
      <c r="F6002" s="116" t="str">
        <f t="shared" si="1"/>
        <v/>
      </c>
      <c r="P6002" s="52"/>
    </row>
    <row r="6003">
      <c r="F6003" s="116" t="str">
        <f t="shared" si="1"/>
        <v/>
      </c>
      <c r="P6003" s="52"/>
    </row>
    <row r="6004">
      <c r="F6004" s="116" t="str">
        <f t="shared" si="1"/>
        <v/>
      </c>
      <c r="P6004" s="52"/>
    </row>
    <row r="6005">
      <c r="F6005" s="116" t="str">
        <f t="shared" si="1"/>
        <v/>
      </c>
      <c r="P6005" s="52"/>
    </row>
    <row r="6006">
      <c r="F6006" s="116" t="str">
        <f t="shared" si="1"/>
        <v/>
      </c>
      <c r="P6006" s="52"/>
    </row>
    <row r="6007">
      <c r="F6007" s="116" t="str">
        <f t="shared" si="1"/>
        <v/>
      </c>
      <c r="P6007" s="52"/>
    </row>
    <row r="6008">
      <c r="F6008" s="116" t="str">
        <f t="shared" si="1"/>
        <v/>
      </c>
      <c r="P6008" s="52"/>
    </row>
    <row r="6009">
      <c r="F6009" s="116" t="str">
        <f t="shared" si="1"/>
        <v/>
      </c>
      <c r="P6009" s="52"/>
    </row>
    <row r="6010">
      <c r="F6010" s="116" t="str">
        <f t="shared" si="1"/>
        <v/>
      </c>
      <c r="P6010" s="52"/>
    </row>
    <row r="6011">
      <c r="F6011" s="116" t="str">
        <f t="shared" si="1"/>
        <v/>
      </c>
      <c r="P6011" s="52"/>
    </row>
    <row r="6012">
      <c r="F6012" s="116" t="str">
        <f t="shared" si="1"/>
        <v/>
      </c>
      <c r="P6012" s="52"/>
    </row>
    <row r="6013">
      <c r="F6013" s="116" t="str">
        <f t="shared" si="1"/>
        <v/>
      </c>
      <c r="P6013" s="52"/>
    </row>
    <row r="6014">
      <c r="F6014" s="116" t="str">
        <f t="shared" si="1"/>
        <v/>
      </c>
      <c r="P6014" s="52"/>
    </row>
    <row r="6015">
      <c r="F6015" s="116" t="str">
        <f t="shared" si="1"/>
        <v/>
      </c>
      <c r="P6015" s="52"/>
    </row>
    <row r="6016">
      <c r="F6016" s="116" t="str">
        <f t="shared" si="1"/>
        <v/>
      </c>
      <c r="P6016" s="52"/>
    </row>
    <row r="6017">
      <c r="F6017" s="116" t="str">
        <f t="shared" si="1"/>
        <v/>
      </c>
      <c r="P6017" s="52"/>
    </row>
    <row r="6018">
      <c r="F6018" s="116" t="str">
        <f t="shared" si="1"/>
        <v/>
      </c>
      <c r="P6018" s="52"/>
    </row>
    <row r="6019">
      <c r="F6019" s="116" t="str">
        <f t="shared" si="1"/>
        <v/>
      </c>
      <c r="P6019" s="52"/>
    </row>
    <row r="6020">
      <c r="F6020" s="116" t="str">
        <f t="shared" si="1"/>
        <v/>
      </c>
      <c r="P6020" s="52"/>
    </row>
    <row r="6021">
      <c r="F6021" s="116" t="str">
        <f t="shared" si="1"/>
        <v/>
      </c>
      <c r="P6021" s="52"/>
    </row>
    <row r="6022">
      <c r="F6022" s="116" t="str">
        <f t="shared" si="1"/>
        <v/>
      </c>
      <c r="P6022" s="52"/>
    </row>
    <row r="6023">
      <c r="F6023" s="116" t="str">
        <f t="shared" si="1"/>
        <v/>
      </c>
      <c r="P6023" s="52"/>
    </row>
    <row r="6024">
      <c r="F6024" s="116" t="str">
        <f t="shared" si="1"/>
        <v/>
      </c>
      <c r="P6024" s="52"/>
    </row>
    <row r="6025">
      <c r="F6025" s="116" t="str">
        <f t="shared" si="1"/>
        <v/>
      </c>
      <c r="P6025" s="52"/>
    </row>
    <row r="6026">
      <c r="F6026" s="116" t="str">
        <f t="shared" si="1"/>
        <v/>
      </c>
      <c r="P6026" s="52"/>
    </row>
    <row r="6027">
      <c r="F6027" s="116" t="str">
        <f t="shared" si="1"/>
        <v/>
      </c>
      <c r="P6027" s="52"/>
    </row>
    <row r="6028">
      <c r="F6028" s="116" t="str">
        <f t="shared" si="1"/>
        <v/>
      </c>
      <c r="P6028" s="52"/>
    </row>
    <row r="6029">
      <c r="F6029" s="116" t="str">
        <f t="shared" si="1"/>
        <v/>
      </c>
      <c r="P6029" s="52"/>
    </row>
    <row r="6030">
      <c r="F6030" s="116" t="str">
        <f t="shared" si="1"/>
        <v/>
      </c>
      <c r="P6030" s="52"/>
    </row>
    <row r="6031">
      <c r="F6031" s="116" t="str">
        <f t="shared" si="1"/>
        <v/>
      </c>
      <c r="P6031" s="52"/>
    </row>
    <row r="6032">
      <c r="F6032" s="116" t="str">
        <f t="shared" si="1"/>
        <v/>
      </c>
      <c r="P6032" s="52"/>
    </row>
    <row r="6033">
      <c r="F6033" s="116" t="str">
        <f t="shared" si="1"/>
        <v/>
      </c>
      <c r="P6033" s="52"/>
    </row>
    <row r="6034">
      <c r="F6034" s="116" t="str">
        <f t="shared" si="1"/>
        <v/>
      </c>
      <c r="P6034" s="52"/>
    </row>
    <row r="6035">
      <c r="F6035" s="116" t="str">
        <f t="shared" si="1"/>
        <v/>
      </c>
      <c r="P6035" s="52"/>
    </row>
    <row r="6036">
      <c r="F6036" s="116" t="str">
        <f t="shared" si="1"/>
        <v/>
      </c>
      <c r="P6036" s="52"/>
    </row>
    <row r="6037">
      <c r="F6037" s="116" t="str">
        <f t="shared" si="1"/>
        <v/>
      </c>
      <c r="P6037" s="52"/>
    </row>
    <row r="6038">
      <c r="F6038" s="116" t="str">
        <f t="shared" si="1"/>
        <v/>
      </c>
      <c r="P6038" s="52"/>
    </row>
    <row r="6039">
      <c r="F6039" s="116" t="str">
        <f t="shared" si="1"/>
        <v/>
      </c>
      <c r="P6039" s="52"/>
    </row>
    <row r="6040">
      <c r="F6040" s="116" t="str">
        <f t="shared" si="1"/>
        <v/>
      </c>
      <c r="P6040" s="52"/>
    </row>
    <row r="6041">
      <c r="F6041" s="116" t="str">
        <f t="shared" si="1"/>
        <v/>
      </c>
      <c r="P6041" s="52"/>
    </row>
    <row r="6042">
      <c r="F6042" s="116" t="str">
        <f t="shared" si="1"/>
        <v/>
      </c>
      <c r="P6042" s="52"/>
    </row>
    <row r="6043">
      <c r="F6043" s="116" t="str">
        <f t="shared" si="1"/>
        <v/>
      </c>
      <c r="P6043" s="52"/>
    </row>
    <row r="6044">
      <c r="F6044" s="116" t="str">
        <f t="shared" si="1"/>
        <v/>
      </c>
      <c r="P6044" s="52"/>
    </row>
    <row r="6045">
      <c r="F6045" s="116" t="str">
        <f t="shared" si="1"/>
        <v/>
      </c>
      <c r="P6045" s="52"/>
    </row>
    <row r="6046">
      <c r="F6046" s="116" t="str">
        <f t="shared" si="1"/>
        <v/>
      </c>
      <c r="P6046" s="52"/>
    </row>
    <row r="6047">
      <c r="F6047" s="116" t="str">
        <f t="shared" si="1"/>
        <v/>
      </c>
      <c r="P6047" s="52"/>
    </row>
    <row r="6048">
      <c r="F6048" s="116" t="str">
        <f t="shared" si="1"/>
        <v/>
      </c>
      <c r="P6048" s="52"/>
    </row>
    <row r="6049">
      <c r="F6049" s="116" t="str">
        <f t="shared" si="1"/>
        <v/>
      </c>
      <c r="P6049" s="52"/>
    </row>
    <row r="6050">
      <c r="F6050" s="116" t="str">
        <f t="shared" si="1"/>
        <v/>
      </c>
      <c r="P6050" s="52"/>
    </row>
    <row r="6051">
      <c r="F6051" s="116" t="str">
        <f t="shared" si="1"/>
        <v/>
      </c>
      <c r="P6051" s="52"/>
    </row>
    <row r="6052">
      <c r="F6052" s="116" t="str">
        <f t="shared" si="1"/>
        <v/>
      </c>
      <c r="P6052" s="52"/>
    </row>
    <row r="6053">
      <c r="F6053" s="116" t="str">
        <f t="shared" si="1"/>
        <v/>
      </c>
      <c r="P6053" s="52"/>
    </row>
    <row r="6054">
      <c r="F6054" s="116" t="str">
        <f t="shared" si="1"/>
        <v/>
      </c>
      <c r="P6054" s="52"/>
    </row>
    <row r="6055">
      <c r="F6055" s="116" t="str">
        <f t="shared" si="1"/>
        <v/>
      </c>
      <c r="P6055" s="52"/>
    </row>
    <row r="6056">
      <c r="F6056" s="116" t="str">
        <f t="shared" si="1"/>
        <v/>
      </c>
      <c r="P6056" s="52"/>
    </row>
    <row r="6057">
      <c r="F6057" s="116" t="str">
        <f t="shared" si="1"/>
        <v/>
      </c>
      <c r="P6057" s="52"/>
    </row>
    <row r="6058">
      <c r="F6058" s="116" t="str">
        <f t="shared" si="1"/>
        <v/>
      </c>
      <c r="P6058" s="52"/>
    </row>
    <row r="6059">
      <c r="F6059" s="116" t="str">
        <f t="shared" si="1"/>
        <v/>
      </c>
      <c r="P6059" s="52"/>
    </row>
    <row r="6060">
      <c r="F6060" s="116" t="str">
        <f t="shared" si="1"/>
        <v/>
      </c>
      <c r="P6060" s="52"/>
    </row>
    <row r="6061">
      <c r="F6061" s="116" t="str">
        <f t="shared" si="1"/>
        <v/>
      </c>
      <c r="P6061" s="52"/>
    </row>
    <row r="6062">
      <c r="F6062" s="116" t="str">
        <f t="shared" si="1"/>
        <v/>
      </c>
      <c r="P6062" s="52"/>
    </row>
    <row r="6063">
      <c r="F6063" s="116" t="str">
        <f t="shared" si="1"/>
        <v/>
      </c>
      <c r="P6063" s="52"/>
    </row>
    <row r="6064">
      <c r="F6064" s="116" t="str">
        <f t="shared" si="1"/>
        <v/>
      </c>
      <c r="P6064" s="52"/>
    </row>
    <row r="6065">
      <c r="F6065" s="116" t="str">
        <f t="shared" si="1"/>
        <v/>
      </c>
      <c r="P6065" s="52"/>
    </row>
    <row r="6066">
      <c r="F6066" s="116" t="str">
        <f t="shared" si="1"/>
        <v/>
      </c>
      <c r="P6066" s="52"/>
    </row>
    <row r="6067">
      <c r="F6067" s="116" t="str">
        <f t="shared" si="1"/>
        <v/>
      </c>
      <c r="P6067" s="52"/>
    </row>
    <row r="6068">
      <c r="F6068" s="116" t="str">
        <f t="shared" si="1"/>
        <v/>
      </c>
      <c r="P6068" s="52"/>
    </row>
    <row r="6069">
      <c r="F6069" s="116" t="str">
        <f t="shared" si="1"/>
        <v/>
      </c>
      <c r="P6069" s="52"/>
    </row>
    <row r="6070">
      <c r="F6070" s="116" t="str">
        <f t="shared" si="1"/>
        <v/>
      </c>
      <c r="P6070" s="52"/>
    </row>
    <row r="6071">
      <c r="F6071" s="116" t="str">
        <f t="shared" si="1"/>
        <v/>
      </c>
      <c r="P6071" s="52"/>
    </row>
    <row r="6072">
      <c r="F6072" s="116" t="str">
        <f t="shared" si="1"/>
        <v/>
      </c>
      <c r="P6072" s="52"/>
    </row>
    <row r="6073">
      <c r="F6073" s="116" t="str">
        <f t="shared" si="1"/>
        <v/>
      </c>
      <c r="P6073" s="52"/>
    </row>
    <row r="6074">
      <c r="F6074" s="116" t="str">
        <f t="shared" si="1"/>
        <v/>
      </c>
      <c r="P6074" s="52"/>
    </row>
    <row r="6075">
      <c r="F6075" s="116" t="str">
        <f t="shared" si="1"/>
        <v/>
      </c>
      <c r="P6075" s="52"/>
    </row>
    <row r="6076">
      <c r="F6076" s="116" t="str">
        <f t="shared" si="1"/>
        <v/>
      </c>
      <c r="P6076" s="52"/>
    </row>
    <row r="6077">
      <c r="F6077" s="116" t="str">
        <f t="shared" si="1"/>
        <v/>
      </c>
      <c r="P6077" s="52"/>
    </row>
    <row r="6078">
      <c r="F6078" s="116" t="str">
        <f t="shared" si="1"/>
        <v/>
      </c>
      <c r="P6078" s="52"/>
    </row>
    <row r="6079">
      <c r="F6079" s="116" t="str">
        <f t="shared" si="1"/>
        <v/>
      </c>
      <c r="P6079" s="52"/>
    </row>
    <row r="6080">
      <c r="F6080" s="116" t="str">
        <f t="shared" si="1"/>
        <v/>
      </c>
      <c r="P6080" s="52"/>
    </row>
    <row r="6081">
      <c r="F6081" s="116" t="str">
        <f t="shared" si="1"/>
        <v/>
      </c>
      <c r="P6081" s="52"/>
    </row>
    <row r="6082">
      <c r="F6082" s="116" t="str">
        <f t="shared" si="1"/>
        <v/>
      </c>
      <c r="P6082" s="52"/>
    </row>
    <row r="6083">
      <c r="F6083" s="116" t="str">
        <f t="shared" si="1"/>
        <v/>
      </c>
      <c r="P6083" s="52"/>
    </row>
    <row r="6084">
      <c r="F6084" s="116" t="str">
        <f t="shared" si="1"/>
        <v/>
      </c>
      <c r="P6084" s="52"/>
    </row>
    <row r="6085">
      <c r="F6085" s="116" t="str">
        <f t="shared" si="1"/>
        <v/>
      </c>
      <c r="P6085" s="52"/>
    </row>
    <row r="6086">
      <c r="F6086" s="116" t="str">
        <f t="shared" si="1"/>
        <v/>
      </c>
      <c r="P6086" s="52"/>
    </row>
    <row r="6087">
      <c r="F6087" s="116" t="str">
        <f t="shared" si="1"/>
        <v/>
      </c>
      <c r="P6087" s="52"/>
    </row>
    <row r="6088">
      <c r="F6088" s="116" t="str">
        <f t="shared" si="1"/>
        <v/>
      </c>
      <c r="P6088" s="52"/>
    </row>
    <row r="6089">
      <c r="F6089" s="116" t="str">
        <f t="shared" si="1"/>
        <v/>
      </c>
      <c r="P6089" s="52"/>
    </row>
    <row r="6090">
      <c r="F6090" s="116" t="str">
        <f t="shared" si="1"/>
        <v/>
      </c>
      <c r="P6090" s="52"/>
    </row>
    <row r="6091">
      <c r="F6091" s="116" t="str">
        <f t="shared" si="1"/>
        <v/>
      </c>
      <c r="P6091" s="52"/>
    </row>
    <row r="6092">
      <c r="F6092" s="116" t="str">
        <f t="shared" si="1"/>
        <v/>
      </c>
      <c r="P6092" s="52"/>
    </row>
    <row r="6093">
      <c r="F6093" s="116" t="str">
        <f t="shared" si="1"/>
        <v/>
      </c>
      <c r="P6093" s="52"/>
    </row>
    <row r="6094">
      <c r="F6094" s="116" t="str">
        <f t="shared" si="1"/>
        <v/>
      </c>
      <c r="P6094" s="52"/>
    </row>
    <row r="6095">
      <c r="F6095" s="116" t="str">
        <f t="shared" si="1"/>
        <v/>
      </c>
      <c r="P6095" s="52"/>
    </row>
    <row r="6096">
      <c r="F6096" s="116" t="str">
        <f t="shared" si="1"/>
        <v/>
      </c>
      <c r="P6096" s="52"/>
    </row>
    <row r="6097">
      <c r="F6097" s="116" t="str">
        <f t="shared" si="1"/>
        <v/>
      </c>
      <c r="P6097" s="52"/>
    </row>
    <row r="6098">
      <c r="F6098" s="116" t="str">
        <f t="shared" si="1"/>
        <v/>
      </c>
      <c r="P6098" s="52"/>
    </row>
    <row r="6099">
      <c r="F6099" s="116" t="str">
        <f t="shared" si="1"/>
        <v/>
      </c>
      <c r="P6099" s="52"/>
    </row>
    <row r="6100">
      <c r="F6100" s="116" t="str">
        <f t="shared" si="1"/>
        <v/>
      </c>
      <c r="P6100" s="52"/>
    </row>
    <row r="6101">
      <c r="F6101" s="116" t="str">
        <f t="shared" si="1"/>
        <v/>
      </c>
      <c r="P6101" s="52"/>
    </row>
    <row r="6102">
      <c r="F6102" s="116" t="str">
        <f t="shared" si="1"/>
        <v/>
      </c>
      <c r="P6102" s="52"/>
    </row>
    <row r="6103">
      <c r="F6103" s="116" t="str">
        <f t="shared" si="1"/>
        <v/>
      </c>
      <c r="P6103" s="52"/>
    </row>
    <row r="6104">
      <c r="F6104" s="116" t="str">
        <f t="shared" si="1"/>
        <v/>
      </c>
      <c r="P6104" s="52"/>
    </row>
    <row r="6105">
      <c r="F6105" s="116" t="str">
        <f t="shared" si="1"/>
        <v/>
      </c>
      <c r="P6105" s="52"/>
    </row>
    <row r="6106">
      <c r="F6106" s="116" t="str">
        <f t="shared" si="1"/>
        <v/>
      </c>
      <c r="P6106" s="52"/>
    </row>
    <row r="6107">
      <c r="F6107" s="116" t="str">
        <f t="shared" si="1"/>
        <v/>
      </c>
      <c r="P6107" s="52"/>
    </row>
    <row r="6108">
      <c r="F6108" s="116" t="str">
        <f t="shared" si="1"/>
        <v/>
      </c>
      <c r="P6108" s="52"/>
    </row>
    <row r="6109">
      <c r="F6109" s="116" t="str">
        <f t="shared" si="1"/>
        <v/>
      </c>
      <c r="P6109" s="52"/>
    </row>
    <row r="6110">
      <c r="F6110" s="116" t="str">
        <f t="shared" si="1"/>
        <v/>
      </c>
      <c r="P6110" s="52"/>
    </row>
    <row r="6111">
      <c r="F6111" s="116" t="str">
        <f t="shared" si="1"/>
        <v/>
      </c>
      <c r="P6111" s="52"/>
    </row>
    <row r="6112">
      <c r="F6112" s="116" t="str">
        <f t="shared" si="1"/>
        <v/>
      </c>
      <c r="P6112" s="52"/>
    </row>
    <row r="6113">
      <c r="F6113" s="116" t="str">
        <f t="shared" si="1"/>
        <v/>
      </c>
      <c r="P6113" s="52"/>
    </row>
    <row r="6114">
      <c r="F6114" s="116" t="str">
        <f t="shared" si="1"/>
        <v/>
      </c>
      <c r="P6114" s="52"/>
    </row>
    <row r="6115">
      <c r="F6115" s="116" t="str">
        <f t="shared" si="1"/>
        <v/>
      </c>
      <c r="P6115" s="52"/>
    </row>
    <row r="6116">
      <c r="F6116" s="116" t="str">
        <f t="shared" si="1"/>
        <v/>
      </c>
      <c r="P6116" s="52"/>
    </row>
    <row r="6117">
      <c r="F6117" s="116" t="str">
        <f t="shared" si="1"/>
        <v/>
      </c>
      <c r="P6117" s="52"/>
    </row>
    <row r="6118">
      <c r="F6118" s="116" t="str">
        <f t="shared" si="1"/>
        <v/>
      </c>
      <c r="P6118" s="52"/>
    </row>
    <row r="6119">
      <c r="F6119" s="116" t="str">
        <f t="shared" si="1"/>
        <v/>
      </c>
      <c r="P6119" s="52"/>
    </row>
    <row r="6120">
      <c r="F6120" s="116" t="str">
        <f t="shared" si="1"/>
        <v/>
      </c>
      <c r="P6120" s="52"/>
    </row>
    <row r="6121">
      <c r="F6121" s="116" t="str">
        <f t="shared" si="1"/>
        <v/>
      </c>
      <c r="P6121" s="52"/>
    </row>
    <row r="6122">
      <c r="F6122" s="116" t="str">
        <f t="shared" si="1"/>
        <v/>
      </c>
      <c r="P6122" s="52"/>
    </row>
    <row r="6123">
      <c r="F6123" s="116" t="str">
        <f t="shared" si="1"/>
        <v/>
      </c>
      <c r="P6123" s="52"/>
    </row>
    <row r="6124">
      <c r="F6124" s="116" t="str">
        <f t="shared" si="1"/>
        <v/>
      </c>
      <c r="P6124" s="52"/>
    </row>
    <row r="6125">
      <c r="F6125" s="116" t="str">
        <f t="shared" si="1"/>
        <v/>
      </c>
      <c r="P6125" s="52"/>
    </row>
    <row r="6126">
      <c r="F6126" s="116" t="str">
        <f t="shared" si="1"/>
        <v/>
      </c>
      <c r="P6126" s="52"/>
    </row>
    <row r="6127">
      <c r="F6127" s="116" t="str">
        <f t="shared" si="1"/>
        <v/>
      </c>
      <c r="P6127" s="52"/>
    </row>
    <row r="6128">
      <c r="F6128" s="116" t="str">
        <f t="shared" si="1"/>
        <v/>
      </c>
      <c r="P6128" s="52"/>
    </row>
    <row r="6129">
      <c r="F6129" s="116" t="str">
        <f t="shared" si="1"/>
        <v/>
      </c>
      <c r="P6129" s="52"/>
    </row>
    <row r="6130">
      <c r="F6130" s="116" t="str">
        <f t="shared" si="1"/>
        <v/>
      </c>
      <c r="P6130" s="52"/>
    </row>
    <row r="6131">
      <c r="F6131" s="116" t="str">
        <f t="shared" si="1"/>
        <v/>
      </c>
      <c r="P6131" s="52"/>
    </row>
    <row r="6132">
      <c r="F6132" s="116" t="str">
        <f t="shared" si="1"/>
        <v/>
      </c>
      <c r="P6132" s="52"/>
    </row>
    <row r="6133">
      <c r="F6133" s="116" t="str">
        <f t="shared" si="1"/>
        <v/>
      </c>
      <c r="P6133" s="52"/>
    </row>
    <row r="6134">
      <c r="F6134" s="116" t="str">
        <f t="shared" si="1"/>
        <v/>
      </c>
      <c r="P6134" s="52"/>
    </row>
    <row r="6135">
      <c r="F6135" s="116" t="str">
        <f t="shared" si="1"/>
        <v/>
      </c>
      <c r="P6135" s="52"/>
    </row>
    <row r="6136">
      <c r="F6136" s="116" t="str">
        <f t="shared" si="1"/>
        <v/>
      </c>
      <c r="P6136" s="52"/>
    </row>
    <row r="6137">
      <c r="F6137" s="116" t="str">
        <f t="shared" si="1"/>
        <v/>
      </c>
      <c r="P6137" s="52"/>
    </row>
    <row r="6138">
      <c r="F6138" s="116" t="str">
        <f t="shared" si="1"/>
        <v/>
      </c>
      <c r="P6138" s="52"/>
    </row>
    <row r="6139">
      <c r="F6139" s="116" t="str">
        <f t="shared" si="1"/>
        <v/>
      </c>
      <c r="P6139" s="52"/>
    </row>
    <row r="6140">
      <c r="F6140" s="116" t="str">
        <f t="shared" si="1"/>
        <v/>
      </c>
      <c r="P6140" s="52"/>
    </row>
    <row r="6141">
      <c r="F6141" s="116" t="str">
        <f t="shared" si="1"/>
        <v/>
      </c>
      <c r="P6141" s="52"/>
    </row>
    <row r="6142">
      <c r="F6142" s="116" t="str">
        <f t="shared" si="1"/>
        <v/>
      </c>
      <c r="P6142" s="52"/>
    </row>
    <row r="6143">
      <c r="F6143" s="116" t="str">
        <f t="shared" si="1"/>
        <v/>
      </c>
      <c r="P6143" s="52"/>
    </row>
    <row r="6144">
      <c r="F6144" s="116" t="str">
        <f t="shared" si="1"/>
        <v/>
      </c>
      <c r="P6144" s="52"/>
    </row>
    <row r="6145">
      <c r="F6145" s="116" t="str">
        <f t="shared" si="1"/>
        <v/>
      </c>
      <c r="P6145" s="52"/>
    </row>
    <row r="6146">
      <c r="F6146" s="116" t="str">
        <f t="shared" si="1"/>
        <v/>
      </c>
      <c r="P6146" s="52"/>
    </row>
    <row r="6147">
      <c r="F6147" s="116" t="str">
        <f t="shared" si="1"/>
        <v/>
      </c>
      <c r="P6147" s="52"/>
    </row>
    <row r="6148">
      <c r="F6148" s="116" t="str">
        <f t="shared" si="1"/>
        <v/>
      </c>
      <c r="P6148" s="52"/>
    </row>
    <row r="6149">
      <c r="F6149" s="116" t="str">
        <f t="shared" si="1"/>
        <v/>
      </c>
      <c r="P6149" s="52"/>
    </row>
    <row r="6150">
      <c r="F6150" s="116" t="str">
        <f t="shared" si="1"/>
        <v/>
      </c>
      <c r="P6150" s="52"/>
    </row>
    <row r="6151">
      <c r="F6151" s="116" t="str">
        <f t="shared" si="1"/>
        <v/>
      </c>
      <c r="P6151" s="52"/>
    </row>
    <row r="6152">
      <c r="F6152" s="116" t="str">
        <f t="shared" si="1"/>
        <v/>
      </c>
      <c r="P6152" s="52"/>
    </row>
    <row r="6153">
      <c r="F6153" s="116" t="str">
        <f t="shared" si="1"/>
        <v/>
      </c>
      <c r="P6153" s="52"/>
    </row>
    <row r="6154">
      <c r="F6154" s="116" t="str">
        <f t="shared" si="1"/>
        <v/>
      </c>
      <c r="P6154" s="52"/>
    </row>
    <row r="6155">
      <c r="F6155" s="116" t="str">
        <f t="shared" si="1"/>
        <v/>
      </c>
      <c r="P6155" s="52"/>
    </row>
    <row r="6156">
      <c r="F6156" s="116" t="str">
        <f t="shared" si="1"/>
        <v/>
      </c>
      <c r="P6156" s="52"/>
    </row>
    <row r="6157">
      <c r="F6157" s="116" t="str">
        <f t="shared" si="1"/>
        <v/>
      </c>
      <c r="P6157" s="52"/>
    </row>
    <row r="6158">
      <c r="F6158" s="116" t="str">
        <f t="shared" si="1"/>
        <v/>
      </c>
      <c r="P6158" s="52"/>
    </row>
    <row r="6159">
      <c r="F6159" s="116" t="str">
        <f t="shared" si="1"/>
        <v/>
      </c>
      <c r="P6159" s="52"/>
    </row>
    <row r="6160">
      <c r="F6160" s="116" t="str">
        <f t="shared" si="1"/>
        <v/>
      </c>
      <c r="P6160" s="52"/>
    </row>
    <row r="6161">
      <c r="F6161" s="116" t="str">
        <f t="shared" si="1"/>
        <v/>
      </c>
      <c r="P6161" s="52"/>
    </row>
    <row r="6162">
      <c r="F6162" s="116" t="str">
        <f t="shared" si="1"/>
        <v/>
      </c>
      <c r="P6162" s="52"/>
    </row>
    <row r="6163">
      <c r="F6163" s="116" t="str">
        <f t="shared" si="1"/>
        <v/>
      </c>
      <c r="P6163" s="52"/>
    </row>
    <row r="6164">
      <c r="F6164" s="116" t="str">
        <f t="shared" si="1"/>
        <v/>
      </c>
      <c r="P6164" s="52"/>
    </row>
    <row r="6165">
      <c r="F6165" s="116" t="str">
        <f t="shared" si="1"/>
        <v/>
      </c>
      <c r="P6165" s="52"/>
    </row>
    <row r="6166">
      <c r="F6166" s="116" t="str">
        <f t="shared" si="1"/>
        <v/>
      </c>
      <c r="P6166" s="52"/>
    </row>
    <row r="6167">
      <c r="F6167" s="116" t="str">
        <f t="shared" si="1"/>
        <v/>
      </c>
      <c r="P6167" s="52"/>
    </row>
    <row r="6168">
      <c r="F6168" s="116" t="str">
        <f t="shared" si="1"/>
        <v/>
      </c>
      <c r="P6168" s="52"/>
    </row>
    <row r="6169">
      <c r="F6169" s="116" t="str">
        <f t="shared" si="1"/>
        <v/>
      </c>
      <c r="P6169" s="52"/>
    </row>
    <row r="6170">
      <c r="F6170" s="116" t="str">
        <f t="shared" si="1"/>
        <v/>
      </c>
      <c r="P6170" s="52"/>
    </row>
    <row r="6171">
      <c r="F6171" s="116" t="str">
        <f t="shared" si="1"/>
        <v/>
      </c>
      <c r="P6171" s="52"/>
    </row>
    <row r="6172">
      <c r="F6172" s="116" t="str">
        <f t="shared" si="1"/>
        <v/>
      </c>
      <c r="P6172" s="52"/>
    </row>
    <row r="6173">
      <c r="F6173" s="116" t="str">
        <f t="shared" si="1"/>
        <v/>
      </c>
      <c r="P6173" s="52"/>
    </row>
    <row r="6174">
      <c r="F6174" s="116" t="str">
        <f t="shared" si="1"/>
        <v/>
      </c>
      <c r="P6174" s="52"/>
    </row>
    <row r="6175">
      <c r="F6175" s="116" t="str">
        <f t="shared" si="1"/>
        <v/>
      </c>
      <c r="P6175" s="52"/>
    </row>
    <row r="6176">
      <c r="F6176" s="116" t="str">
        <f t="shared" si="1"/>
        <v/>
      </c>
      <c r="P6176" s="52"/>
    </row>
    <row r="6177">
      <c r="F6177" s="116" t="str">
        <f t="shared" si="1"/>
        <v/>
      </c>
      <c r="P6177" s="52"/>
    </row>
    <row r="6178">
      <c r="F6178" s="116" t="str">
        <f t="shared" si="1"/>
        <v/>
      </c>
      <c r="P6178" s="52"/>
    </row>
    <row r="6179">
      <c r="F6179" s="116" t="str">
        <f t="shared" si="1"/>
        <v/>
      </c>
      <c r="P6179" s="52"/>
    </row>
    <row r="6180">
      <c r="F6180" s="116" t="str">
        <f t="shared" si="1"/>
        <v/>
      </c>
      <c r="P6180" s="52"/>
    </row>
    <row r="6181">
      <c r="F6181" s="116" t="str">
        <f t="shared" si="1"/>
        <v/>
      </c>
      <c r="P6181" s="52"/>
    </row>
    <row r="6182">
      <c r="F6182" s="116" t="str">
        <f t="shared" si="1"/>
        <v/>
      </c>
      <c r="P6182" s="52"/>
    </row>
    <row r="6183">
      <c r="F6183" s="116" t="str">
        <f t="shared" si="1"/>
        <v/>
      </c>
      <c r="P6183" s="52"/>
    </row>
    <row r="6184">
      <c r="F6184" s="116" t="str">
        <f t="shared" si="1"/>
        <v/>
      </c>
      <c r="P6184" s="52"/>
    </row>
    <row r="6185">
      <c r="F6185" s="116" t="str">
        <f t="shared" si="1"/>
        <v/>
      </c>
      <c r="P6185" s="52"/>
    </row>
    <row r="6186">
      <c r="F6186" s="116" t="str">
        <f t="shared" si="1"/>
        <v/>
      </c>
      <c r="P6186" s="52"/>
    </row>
    <row r="6187">
      <c r="F6187" s="116" t="str">
        <f t="shared" si="1"/>
        <v/>
      </c>
      <c r="P6187" s="52"/>
    </row>
    <row r="6188">
      <c r="F6188" s="116" t="str">
        <f t="shared" si="1"/>
        <v/>
      </c>
      <c r="P6188" s="52"/>
    </row>
    <row r="6189">
      <c r="F6189" s="116" t="str">
        <f t="shared" si="1"/>
        <v/>
      </c>
      <c r="P6189" s="52"/>
    </row>
    <row r="6190">
      <c r="F6190" s="116" t="str">
        <f t="shared" si="1"/>
        <v/>
      </c>
      <c r="P6190" s="52"/>
    </row>
    <row r="6191">
      <c r="F6191" s="116" t="str">
        <f t="shared" si="1"/>
        <v/>
      </c>
      <c r="P6191" s="52"/>
    </row>
    <row r="6192">
      <c r="F6192" s="116" t="str">
        <f t="shared" si="1"/>
        <v/>
      </c>
      <c r="P6192" s="52"/>
    </row>
    <row r="6193">
      <c r="F6193" s="116" t="str">
        <f t="shared" si="1"/>
        <v/>
      </c>
      <c r="P6193" s="52"/>
    </row>
    <row r="6194">
      <c r="F6194" s="116" t="str">
        <f t="shared" si="1"/>
        <v/>
      </c>
      <c r="P6194" s="52"/>
    </row>
    <row r="6195">
      <c r="F6195" s="116" t="str">
        <f t="shared" si="1"/>
        <v/>
      </c>
      <c r="P6195" s="52"/>
    </row>
    <row r="6196">
      <c r="F6196" s="116" t="str">
        <f t="shared" si="1"/>
        <v/>
      </c>
      <c r="P6196" s="52"/>
    </row>
    <row r="6197">
      <c r="F6197" s="116" t="str">
        <f t="shared" si="1"/>
        <v/>
      </c>
      <c r="P6197" s="52"/>
    </row>
    <row r="6198">
      <c r="F6198" s="116" t="str">
        <f t="shared" si="1"/>
        <v/>
      </c>
      <c r="P6198" s="52"/>
    </row>
    <row r="6199">
      <c r="F6199" s="116" t="str">
        <f t="shared" si="1"/>
        <v/>
      </c>
      <c r="P6199" s="52"/>
    </row>
    <row r="6200">
      <c r="F6200" s="116" t="str">
        <f t="shared" si="1"/>
        <v/>
      </c>
      <c r="P6200" s="52"/>
    </row>
    <row r="6201">
      <c r="F6201" s="116" t="str">
        <f t="shared" si="1"/>
        <v/>
      </c>
      <c r="P6201" s="52"/>
    </row>
    <row r="6202">
      <c r="F6202" s="116" t="str">
        <f t="shared" si="1"/>
        <v/>
      </c>
      <c r="P6202" s="52"/>
    </row>
    <row r="6203">
      <c r="F6203" s="116" t="str">
        <f t="shared" si="1"/>
        <v/>
      </c>
      <c r="P6203" s="52"/>
    </row>
    <row r="6204">
      <c r="F6204" s="116" t="str">
        <f t="shared" si="1"/>
        <v/>
      </c>
      <c r="P6204" s="52"/>
    </row>
    <row r="6205">
      <c r="F6205" s="116" t="str">
        <f t="shared" si="1"/>
        <v/>
      </c>
      <c r="P6205" s="52"/>
    </row>
    <row r="6206">
      <c r="F6206" s="116" t="str">
        <f t="shared" si="1"/>
        <v/>
      </c>
      <c r="P6206" s="52"/>
    </row>
    <row r="6207">
      <c r="F6207" s="116" t="str">
        <f t="shared" si="1"/>
        <v/>
      </c>
      <c r="P6207" s="52"/>
    </row>
    <row r="6208">
      <c r="F6208" s="116" t="str">
        <f t="shared" si="1"/>
        <v/>
      </c>
      <c r="P6208" s="52"/>
    </row>
    <row r="6209">
      <c r="F6209" s="116" t="str">
        <f t="shared" si="1"/>
        <v/>
      </c>
      <c r="P6209" s="52"/>
    </row>
    <row r="6210">
      <c r="F6210" s="116" t="str">
        <f t="shared" si="1"/>
        <v/>
      </c>
      <c r="P6210" s="52"/>
    </row>
    <row r="6211">
      <c r="F6211" s="116" t="str">
        <f t="shared" si="1"/>
        <v/>
      </c>
      <c r="P6211" s="52"/>
    </row>
    <row r="6212">
      <c r="F6212" s="116" t="str">
        <f t="shared" si="1"/>
        <v/>
      </c>
      <c r="P6212" s="52"/>
    </row>
    <row r="6213">
      <c r="F6213" s="116" t="str">
        <f t="shared" si="1"/>
        <v/>
      </c>
      <c r="P6213" s="52"/>
    </row>
    <row r="6214">
      <c r="F6214" s="116" t="str">
        <f t="shared" si="1"/>
        <v/>
      </c>
      <c r="P6214" s="52"/>
    </row>
    <row r="6215">
      <c r="F6215" s="116" t="str">
        <f t="shared" si="1"/>
        <v/>
      </c>
      <c r="P6215" s="52"/>
    </row>
    <row r="6216">
      <c r="F6216" s="116" t="str">
        <f t="shared" si="1"/>
        <v/>
      </c>
      <c r="P6216" s="52"/>
    </row>
    <row r="6217">
      <c r="F6217" s="116" t="str">
        <f t="shared" si="1"/>
        <v/>
      </c>
      <c r="P6217" s="52"/>
    </row>
    <row r="6218">
      <c r="F6218" s="116" t="str">
        <f t="shared" si="1"/>
        <v/>
      </c>
      <c r="P6218" s="52"/>
    </row>
    <row r="6219">
      <c r="F6219" s="116" t="str">
        <f t="shared" si="1"/>
        <v/>
      </c>
      <c r="P6219" s="52"/>
    </row>
    <row r="6220">
      <c r="F6220" s="116" t="str">
        <f t="shared" si="1"/>
        <v/>
      </c>
      <c r="P6220" s="52"/>
    </row>
    <row r="6221">
      <c r="F6221" s="116" t="str">
        <f t="shared" si="1"/>
        <v/>
      </c>
      <c r="P6221" s="52"/>
    </row>
    <row r="6222">
      <c r="F6222" s="116" t="str">
        <f t="shared" si="1"/>
        <v/>
      </c>
      <c r="P6222" s="52"/>
    </row>
    <row r="6223">
      <c r="F6223" s="116" t="str">
        <f t="shared" si="1"/>
        <v/>
      </c>
      <c r="P6223" s="52"/>
    </row>
    <row r="6224">
      <c r="F6224" s="116" t="str">
        <f t="shared" si="1"/>
        <v/>
      </c>
      <c r="P6224" s="52"/>
    </row>
    <row r="6225">
      <c r="F6225" s="116" t="str">
        <f t="shared" si="1"/>
        <v/>
      </c>
      <c r="P6225" s="52"/>
    </row>
    <row r="6226">
      <c r="F6226" s="116" t="str">
        <f t="shared" si="1"/>
        <v/>
      </c>
      <c r="P6226" s="52"/>
    </row>
    <row r="6227">
      <c r="F6227" s="116" t="str">
        <f t="shared" si="1"/>
        <v/>
      </c>
      <c r="P6227" s="52"/>
    </row>
    <row r="6228">
      <c r="F6228" s="116" t="str">
        <f t="shared" si="1"/>
        <v/>
      </c>
      <c r="P6228" s="52"/>
    </row>
    <row r="6229">
      <c r="F6229" s="116" t="str">
        <f t="shared" si="1"/>
        <v/>
      </c>
      <c r="P6229" s="52"/>
    </row>
    <row r="6230">
      <c r="F6230" s="116" t="str">
        <f t="shared" si="1"/>
        <v/>
      </c>
      <c r="P6230" s="52"/>
    </row>
    <row r="6231">
      <c r="F6231" s="116" t="str">
        <f t="shared" si="1"/>
        <v/>
      </c>
      <c r="P6231" s="52"/>
    </row>
    <row r="6232">
      <c r="F6232" s="116" t="str">
        <f t="shared" si="1"/>
        <v/>
      </c>
      <c r="P6232" s="52"/>
    </row>
    <row r="6233">
      <c r="F6233" s="116" t="str">
        <f t="shared" si="1"/>
        <v/>
      </c>
      <c r="P6233" s="52"/>
    </row>
    <row r="6234">
      <c r="F6234" s="116" t="str">
        <f t="shared" si="1"/>
        <v/>
      </c>
      <c r="P6234" s="52"/>
    </row>
    <row r="6235">
      <c r="F6235" s="116" t="str">
        <f t="shared" si="1"/>
        <v/>
      </c>
      <c r="P6235" s="52"/>
    </row>
    <row r="6236">
      <c r="F6236" s="116" t="str">
        <f t="shared" si="1"/>
        <v/>
      </c>
      <c r="P6236" s="52"/>
    </row>
    <row r="6237">
      <c r="F6237" s="116" t="str">
        <f t="shared" si="1"/>
        <v/>
      </c>
      <c r="P6237" s="52"/>
    </row>
    <row r="6238">
      <c r="F6238" s="116" t="str">
        <f t="shared" si="1"/>
        <v/>
      </c>
      <c r="P6238" s="52"/>
    </row>
    <row r="6239">
      <c r="F6239" s="116" t="str">
        <f t="shared" si="1"/>
        <v/>
      </c>
      <c r="P6239" s="52"/>
    </row>
    <row r="6240">
      <c r="F6240" s="116" t="str">
        <f t="shared" si="1"/>
        <v/>
      </c>
      <c r="P6240" s="52"/>
    </row>
    <row r="6241">
      <c r="F6241" s="116" t="str">
        <f t="shared" si="1"/>
        <v/>
      </c>
      <c r="P6241" s="52"/>
    </row>
    <row r="6242">
      <c r="F6242" s="116" t="str">
        <f t="shared" si="1"/>
        <v/>
      </c>
      <c r="P6242" s="52"/>
    </row>
    <row r="6243">
      <c r="F6243" s="116" t="str">
        <f t="shared" si="1"/>
        <v/>
      </c>
      <c r="P6243" s="52"/>
    </row>
    <row r="6244">
      <c r="F6244" s="116" t="str">
        <f t="shared" si="1"/>
        <v/>
      </c>
      <c r="P6244" s="52"/>
    </row>
    <row r="6245">
      <c r="F6245" s="116" t="str">
        <f t="shared" si="1"/>
        <v/>
      </c>
      <c r="P6245" s="52"/>
    </row>
    <row r="6246">
      <c r="F6246" s="116" t="str">
        <f t="shared" si="1"/>
        <v/>
      </c>
      <c r="P6246" s="52"/>
    </row>
    <row r="6247">
      <c r="F6247" s="116" t="str">
        <f t="shared" si="1"/>
        <v/>
      </c>
      <c r="P6247" s="52"/>
    </row>
    <row r="6248">
      <c r="F6248" s="116" t="str">
        <f t="shared" si="1"/>
        <v/>
      </c>
      <c r="P6248" s="52"/>
    </row>
    <row r="6249">
      <c r="F6249" s="116" t="str">
        <f t="shared" si="1"/>
        <v/>
      </c>
      <c r="P6249" s="52"/>
    </row>
    <row r="6250">
      <c r="F6250" s="116" t="str">
        <f t="shared" si="1"/>
        <v/>
      </c>
      <c r="P6250" s="52"/>
    </row>
    <row r="6251">
      <c r="F6251" s="116" t="str">
        <f t="shared" si="1"/>
        <v/>
      </c>
      <c r="P6251" s="52"/>
    </row>
    <row r="6252">
      <c r="F6252" s="116" t="str">
        <f t="shared" si="1"/>
        <v/>
      </c>
      <c r="P6252" s="52"/>
    </row>
    <row r="6253">
      <c r="F6253" s="116" t="str">
        <f t="shared" si="1"/>
        <v/>
      </c>
      <c r="P6253" s="52"/>
    </row>
    <row r="6254">
      <c r="F6254" s="116" t="str">
        <f t="shared" si="1"/>
        <v/>
      </c>
      <c r="P6254" s="52"/>
    </row>
    <row r="6255">
      <c r="F6255" s="116" t="str">
        <f t="shared" si="1"/>
        <v/>
      </c>
      <c r="P6255" s="52"/>
    </row>
    <row r="6256">
      <c r="F6256" s="116" t="str">
        <f t="shared" si="1"/>
        <v/>
      </c>
      <c r="P6256" s="52"/>
    </row>
    <row r="6257">
      <c r="F6257" s="116" t="str">
        <f t="shared" si="1"/>
        <v/>
      </c>
      <c r="P6257" s="52"/>
    </row>
    <row r="6258">
      <c r="F6258" s="116" t="str">
        <f t="shared" si="1"/>
        <v/>
      </c>
      <c r="P6258" s="52"/>
    </row>
    <row r="6259">
      <c r="F6259" s="116" t="str">
        <f t="shared" si="1"/>
        <v/>
      </c>
      <c r="P6259" s="52"/>
    </row>
    <row r="6260">
      <c r="F6260" s="116" t="str">
        <f t="shared" si="1"/>
        <v/>
      </c>
      <c r="P6260" s="52"/>
    </row>
    <row r="6261">
      <c r="F6261" s="116" t="str">
        <f t="shared" si="1"/>
        <v/>
      </c>
      <c r="P6261" s="52"/>
    </row>
    <row r="6262">
      <c r="F6262" s="116" t="str">
        <f t="shared" si="1"/>
        <v/>
      </c>
      <c r="P6262" s="52"/>
    </row>
    <row r="6263">
      <c r="F6263" s="116" t="str">
        <f t="shared" si="1"/>
        <v/>
      </c>
      <c r="P6263" s="52"/>
    </row>
    <row r="6264">
      <c r="F6264" s="116" t="str">
        <f t="shared" si="1"/>
        <v/>
      </c>
      <c r="P6264" s="52"/>
    </row>
    <row r="6265">
      <c r="F6265" s="116" t="str">
        <f t="shared" si="1"/>
        <v/>
      </c>
      <c r="P6265" s="52"/>
    </row>
    <row r="6266">
      <c r="F6266" s="116" t="str">
        <f t="shared" si="1"/>
        <v/>
      </c>
      <c r="P6266" s="52"/>
    </row>
    <row r="6267">
      <c r="F6267" s="116" t="str">
        <f t="shared" si="1"/>
        <v/>
      </c>
      <c r="P6267" s="52"/>
    </row>
    <row r="6268">
      <c r="F6268" s="116" t="str">
        <f t="shared" si="1"/>
        <v/>
      </c>
      <c r="P6268" s="52"/>
    </row>
    <row r="6269">
      <c r="F6269" s="116" t="str">
        <f t="shared" si="1"/>
        <v/>
      </c>
      <c r="P6269" s="52"/>
    </row>
    <row r="6270">
      <c r="F6270" s="116" t="str">
        <f t="shared" si="1"/>
        <v/>
      </c>
      <c r="P6270" s="52"/>
    </row>
    <row r="6271">
      <c r="F6271" s="116" t="str">
        <f t="shared" si="1"/>
        <v/>
      </c>
      <c r="P6271" s="52"/>
    </row>
    <row r="6272">
      <c r="F6272" s="116" t="str">
        <f t="shared" si="1"/>
        <v/>
      </c>
      <c r="P6272" s="52"/>
    </row>
    <row r="6273">
      <c r="F6273" s="116" t="str">
        <f t="shared" si="1"/>
        <v/>
      </c>
      <c r="P6273" s="52"/>
    </row>
    <row r="6274">
      <c r="F6274" s="116" t="str">
        <f t="shared" si="1"/>
        <v/>
      </c>
      <c r="P6274" s="52"/>
    </row>
    <row r="6275">
      <c r="F6275" s="116" t="str">
        <f t="shared" si="1"/>
        <v/>
      </c>
      <c r="P6275" s="52"/>
    </row>
    <row r="6276">
      <c r="F6276" s="116" t="str">
        <f t="shared" si="1"/>
        <v/>
      </c>
      <c r="P6276" s="52"/>
    </row>
    <row r="6277">
      <c r="F6277" s="116" t="str">
        <f t="shared" si="1"/>
        <v/>
      </c>
      <c r="P6277" s="52"/>
    </row>
    <row r="6278">
      <c r="F6278" s="116" t="str">
        <f t="shared" si="1"/>
        <v/>
      </c>
      <c r="P6278" s="52"/>
    </row>
    <row r="6279">
      <c r="F6279" s="116" t="str">
        <f t="shared" si="1"/>
        <v/>
      </c>
      <c r="P6279" s="52"/>
    </row>
    <row r="6280">
      <c r="F6280" s="116" t="str">
        <f t="shared" si="1"/>
        <v/>
      </c>
      <c r="P6280" s="52"/>
    </row>
    <row r="6281">
      <c r="F6281" s="116" t="str">
        <f t="shared" si="1"/>
        <v/>
      </c>
      <c r="P6281" s="52"/>
    </row>
    <row r="6282">
      <c r="F6282" s="116" t="str">
        <f t="shared" si="1"/>
        <v/>
      </c>
      <c r="P6282" s="52"/>
    </row>
    <row r="6283">
      <c r="F6283" s="116" t="str">
        <f t="shared" si="1"/>
        <v/>
      </c>
      <c r="P6283" s="52"/>
    </row>
    <row r="6284">
      <c r="F6284" s="116" t="str">
        <f t="shared" si="1"/>
        <v/>
      </c>
      <c r="P6284" s="52"/>
    </row>
    <row r="6285">
      <c r="F6285" s="116" t="str">
        <f t="shared" si="1"/>
        <v/>
      </c>
      <c r="P6285" s="52"/>
    </row>
    <row r="6286">
      <c r="F6286" s="116" t="str">
        <f t="shared" si="1"/>
        <v/>
      </c>
      <c r="P6286" s="52"/>
    </row>
    <row r="6287">
      <c r="F6287" s="116" t="str">
        <f t="shared" si="1"/>
        <v/>
      </c>
      <c r="P6287" s="52"/>
    </row>
    <row r="6288">
      <c r="F6288" s="116" t="str">
        <f t="shared" si="1"/>
        <v/>
      </c>
      <c r="P6288" s="52"/>
    </row>
    <row r="6289">
      <c r="F6289" s="116" t="str">
        <f t="shared" si="1"/>
        <v/>
      </c>
      <c r="P6289" s="52"/>
    </row>
    <row r="6290">
      <c r="F6290" s="116" t="str">
        <f t="shared" si="1"/>
        <v/>
      </c>
      <c r="P6290" s="52"/>
    </row>
    <row r="6291">
      <c r="F6291" s="116" t="str">
        <f t="shared" si="1"/>
        <v/>
      </c>
      <c r="P6291" s="52"/>
    </row>
    <row r="6292">
      <c r="F6292" s="116" t="str">
        <f t="shared" si="1"/>
        <v/>
      </c>
      <c r="P6292" s="52"/>
    </row>
    <row r="6293">
      <c r="F6293" s="116" t="str">
        <f t="shared" si="1"/>
        <v/>
      </c>
      <c r="P6293" s="52"/>
    </row>
    <row r="6294">
      <c r="F6294" s="116" t="str">
        <f t="shared" si="1"/>
        <v/>
      </c>
      <c r="P6294" s="52"/>
    </row>
    <row r="6295">
      <c r="F6295" s="116" t="str">
        <f t="shared" si="1"/>
        <v/>
      </c>
      <c r="P6295" s="52"/>
    </row>
    <row r="6296">
      <c r="F6296" s="116" t="str">
        <f t="shared" si="1"/>
        <v/>
      </c>
      <c r="P6296" s="52"/>
    </row>
    <row r="6297">
      <c r="F6297" s="116" t="str">
        <f t="shared" si="1"/>
        <v/>
      </c>
      <c r="P6297" s="52"/>
    </row>
    <row r="6298">
      <c r="F6298" s="116" t="str">
        <f t="shared" si="1"/>
        <v/>
      </c>
      <c r="P6298" s="52"/>
    </row>
    <row r="6299">
      <c r="F6299" s="116" t="str">
        <f t="shared" si="1"/>
        <v/>
      </c>
      <c r="P6299" s="52"/>
    </row>
    <row r="6300">
      <c r="F6300" s="116" t="str">
        <f t="shared" si="1"/>
        <v/>
      </c>
      <c r="P6300" s="52"/>
    </row>
    <row r="6301">
      <c r="F6301" s="116" t="str">
        <f t="shared" si="1"/>
        <v/>
      </c>
      <c r="P6301" s="52"/>
    </row>
    <row r="6302">
      <c r="F6302" s="116" t="str">
        <f t="shared" si="1"/>
        <v/>
      </c>
      <c r="P6302" s="52"/>
    </row>
    <row r="6303">
      <c r="F6303" s="116" t="str">
        <f t="shared" si="1"/>
        <v/>
      </c>
      <c r="P6303" s="52"/>
    </row>
    <row r="6304">
      <c r="F6304" s="116" t="str">
        <f t="shared" si="1"/>
        <v/>
      </c>
      <c r="P6304" s="52"/>
    </row>
    <row r="6305">
      <c r="F6305" s="116" t="str">
        <f t="shared" si="1"/>
        <v/>
      </c>
      <c r="P6305" s="52"/>
    </row>
    <row r="6306">
      <c r="F6306" s="116" t="str">
        <f t="shared" si="1"/>
        <v/>
      </c>
      <c r="P6306" s="52"/>
    </row>
    <row r="6307">
      <c r="F6307" s="116" t="str">
        <f t="shared" si="1"/>
        <v/>
      </c>
      <c r="P6307" s="52"/>
    </row>
    <row r="6308">
      <c r="F6308" s="116" t="str">
        <f t="shared" si="1"/>
        <v/>
      </c>
      <c r="P6308" s="52"/>
    </row>
    <row r="6309">
      <c r="F6309" s="116" t="str">
        <f t="shared" si="1"/>
        <v/>
      </c>
      <c r="P6309" s="52"/>
    </row>
    <row r="6310">
      <c r="F6310" s="116" t="str">
        <f t="shared" si="1"/>
        <v/>
      </c>
      <c r="P6310" s="52"/>
    </row>
    <row r="6311">
      <c r="F6311" s="116" t="str">
        <f t="shared" si="1"/>
        <v/>
      </c>
      <c r="P6311" s="52"/>
    </row>
    <row r="6312">
      <c r="F6312" s="116" t="str">
        <f t="shared" si="1"/>
        <v/>
      </c>
      <c r="P6312" s="52"/>
    </row>
    <row r="6313">
      <c r="F6313" s="116" t="str">
        <f t="shared" si="1"/>
        <v/>
      </c>
      <c r="P6313" s="52"/>
    </row>
    <row r="6314">
      <c r="F6314" s="116" t="str">
        <f t="shared" si="1"/>
        <v/>
      </c>
      <c r="P6314" s="52"/>
    </row>
    <row r="6315">
      <c r="F6315" s="116" t="str">
        <f t="shared" si="1"/>
        <v/>
      </c>
      <c r="P6315" s="52"/>
    </row>
    <row r="6316">
      <c r="F6316" s="116" t="str">
        <f t="shared" si="1"/>
        <v/>
      </c>
      <c r="P6316" s="52"/>
    </row>
    <row r="6317">
      <c r="F6317" s="116" t="str">
        <f t="shared" si="1"/>
        <v/>
      </c>
      <c r="P6317" s="52"/>
    </row>
    <row r="6318">
      <c r="F6318" s="116" t="str">
        <f t="shared" si="1"/>
        <v/>
      </c>
      <c r="P6318" s="52"/>
    </row>
    <row r="6319">
      <c r="F6319" s="116" t="str">
        <f t="shared" si="1"/>
        <v/>
      </c>
      <c r="P6319" s="52"/>
    </row>
    <row r="6320">
      <c r="F6320" s="116" t="str">
        <f t="shared" si="1"/>
        <v/>
      </c>
      <c r="P6320" s="52"/>
    </row>
    <row r="6321">
      <c r="F6321" s="116" t="str">
        <f t="shared" si="1"/>
        <v/>
      </c>
      <c r="P6321" s="52"/>
    </row>
    <row r="6322">
      <c r="F6322" s="116" t="str">
        <f t="shared" si="1"/>
        <v/>
      </c>
      <c r="P6322" s="52"/>
    </row>
    <row r="6323">
      <c r="F6323" s="116" t="str">
        <f t="shared" si="1"/>
        <v/>
      </c>
      <c r="P6323" s="52"/>
    </row>
    <row r="6324">
      <c r="F6324" s="116" t="str">
        <f t="shared" si="1"/>
        <v/>
      </c>
      <c r="P6324" s="52"/>
    </row>
    <row r="6325">
      <c r="F6325" s="116" t="str">
        <f t="shared" si="1"/>
        <v/>
      </c>
      <c r="P6325" s="52"/>
    </row>
    <row r="6326">
      <c r="F6326" s="116" t="str">
        <f t="shared" si="1"/>
        <v/>
      </c>
      <c r="P6326" s="52"/>
    </row>
    <row r="6327">
      <c r="F6327" s="116" t="str">
        <f t="shared" si="1"/>
        <v/>
      </c>
      <c r="P6327" s="52"/>
    </row>
    <row r="6328">
      <c r="F6328" s="116" t="str">
        <f t="shared" si="1"/>
        <v/>
      </c>
      <c r="P6328" s="52"/>
    </row>
    <row r="6329">
      <c r="F6329" s="116" t="str">
        <f t="shared" si="1"/>
        <v/>
      </c>
      <c r="P6329" s="52"/>
    </row>
    <row r="6330">
      <c r="F6330" s="116" t="str">
        <f t="shared" si="1"/>
        <v/>
      </c>
      <c r="P6330" s="52"/>
    </row>
    <row r="6331">
      <c r="F6331" s="116" t="str">
        <f t="shared" si="1"/>
        <v/>
      </c>
      <c r="P6331" s="52"/>
    </row>
    <row r="6332">
      <c r="F6332" s="116" t="str">
        <f t="shared" si="1"/>
        <v/>
      </c>
      <c r="P6332" s="52"/>
    </row>
    <row r="6333">
      <c r="F6333" s="116" t="str">
        <f t="shared" si="1"/>
        <v/>
      </c>
      <c r="P6333" s="52"/>
    </row>
    <row r="6334">
      <c r="F6334" s="116" t="str">
        <f t="shared" si="1"/>
        <v/>
      </c>
      <c r="P6334" s="52"/>
    </row>
    <row r="6335">
      <c r="F6335" s="116" t="str">
        <f t="shared" si="1"/>
        <v/>
      </c>
      <c r="P6335" s="52"/>
    </row>
    <row r="6336">
      <c r="F6336" s="116" t="str">
        <f t="shared" si="1"/>
        <v/>
      </c>
      <c r="P6336" s="52"/>
    </row>
    <row r="6337">
      <c r="F6337" s="116" t="str">
        <f t="shared" si="1"/>
        <v/>
      </c>
      <c r="P6337" s="52"/>
    </row>
    <row r="6338">
      <c r="F6338" s="116" t="str">
        <f t="shared" si="1"/>
        <v/>
      </c>
      <c r="P6338" s="52"/>
    </row>
    <row r="6339">
      <c r="F6339" s="116" t="str">
        <f t="shared" si="1"/>
        <v/>
      </c>
      <c r="P6339" s="52"/>
    </row>
    <row r="6340">
      <c r="F6340" s="116" t="str">
        <f t="shared" si="1"/>
        <v/>
      </c>
      <c r="P6340" s="52"/>
    </row>
    <row r="6341">
      <c r="F6341" s="116" t="str">
        <f t="shared" si="1"/>
        <v/>
      </c>
      <c r="P6341" s="52"/>
    </row>
    <row r="6342">
      <c r="F6342" s="116" t="str">
        <f t="shared" si="1"/>
        <v/>
      </c>
      <c r="P6342" s="52"/>
    </row>
    <row r="6343">
      <c r="F6343" s="116" t="str">
        <f t="shared" si="1"/>
        <v/>
      </c>
      <c r="P6343" s="52"/>
    </row>
    <row r="6344">
      <c r="F6344" s="116" t="str">
        <f t="shared" si="1"/>
        <v/>
      </c>
      <c r="P6344" s="52"/>
    </row>
    <row r="6345">
      <c r="F6345" s="116" t="str">
        <f t="shared" si="1"/>
        <v/>
      </c>
      <c r="P6345" s="52"/>
    </row>
    <row r="6346">
      <c r="F6346" s="116" t="str">
        <f t="shared" si="1"/>
        <v/>
      </c>
      <c r="P6346" s="52"/>
    </row>
    <row r="6347">
      <c r="F6347" s="116" t="str">
        <f t="shared" si="1"/>
        <v/>
      </c>
      <c r="P6347" s="52"/>
    </row>
    <row r="6348">
      <c r="F6348" s="116" t="str">
        <f t="shared" si="1"/>
        <v/>
      </c>
      <c r="P6348" s="52"/>
    </row>
    <row r="6349">
      <c r="F6349" s="116" t="str">
        <f t="shared" si="1"/>
        <v/>
      </c>
      <c r="P6349" s="52"/>
    </row>
    <row r="6350">
      <c r="F6350" s="116" t="str">
        <f t="shared" si="1"/>
        <v/>
      </c>
      <c r="P6350" s="52"/>
    </row>
    <row r="6351">
      <c r="F6351" s="116" t="str">
        <f t="shared" si="1"/>
        <v/>
      </c>
      <c r="P6351" s="52"/>
    </row>
    <row r="6352">
      <c r="F6352" s="116" t="str">
        <f t="shared" si="1"/>
        <v/>
      </c>
      <c r="P6352" s="52"/>
    </row>
    <row r="6353">
      <c r="F6353" s="116" t="str">
        <f t="shared" si="1"/>
        <v/>
      </c>
      <c r="P6353" s="52"/>
    </row>
    <row r="6354">
      <c r="F6354" s="116" t="str">
        <f t="shared" si="1"/>
        <v/>
      </c>
      <c r="P6354" s="52"/>
    </row>
    <row r="6355">
      <c r="F6355" s="116" t="str">
        <f t="shared" si="1"/>
        <v/>
      </c>
      <c r="P6355" s="52"/>
    </row>
    <row r="6356">
      <c r="F6356" s="116" t="str">
        <f t="shared" si="1"/>
        <v/>
      </c>
      <c r="P6356" s="52"/>
    </row>
    <row r="6357">
      <c r="F6357" s="116" t="str">
        <f t="shared" si="1"/>
        <v/>
      </c>
      <c r="P6357" s="52"/>
    </row>
    <row r="6358">
      <c r="F6358" s="116" t="str">
        <f t="shared" si="1"/>
        <v/>
      </c>
      <c r="P6358" s="52"/>
    </row>
    <row r="6359">
      <c r="F6359" s="116" t="str">
        <f t="shared" si="1"/>
        <v/>
      </c>
      <c r="P6359" s="52"/>
    </row>
    <row r="6360">
      <c r="F6360" s="116" t="str">
        <f t="shared" si="1"/>
        <v/>
      </c>
      <c r="P6360" s="52"/>
    </row>
    <row r="6361">
      <c r="F6361" s="116" t="str">
        <f t="shared" si="1"/>
        <v/>
      </c>
      <c r="P6361" s="52"/>
    </row>
    <row r="6362">
      <c r="F6362" s="116" t="str">
        <f t="shared" si="1"/>
        <v/>
      </c>
      <c r="P6362" s="52"/>
    </row>
    <row r="6363">
      <c r="F6363" s="116" t="str">
        <f t="shared" si="1"/>
        <v/>
      </c>
      <c r="P6363" s="52"/>
    </row>
    <row r="6364">
      <c r="F6364" s="116" t="str">
        <f t="shared" si="1"/>
        <v/>
      </c>
      <c r="P6364" s="52"/>
    </row>
    <row r="6365">
      <c r="F6365" s="116" t="str">
        <f t="shared" si="1"/>
        <v/>
      </c>
      <c r="P6365" s="52"/>
    </row>
    <row r="6366">
      <c r="F6366" s="116" t="str">
        <f t="shared" si="1"/>
        <v/>
      </c>
      <c r="P6366" s="52"/>
    </row>
    <row r="6367">
      <c r="F6367" s="116" t="str">
        <f t="shared" si="1"/>
        <v/>
      </c>
      <c r="P6367" s="52"/>
    </row>
    <row r="6368">
      <c r="F6368" s="116" t="str">
        <f t="shared" si="1"/>
        <v/>
      </c>
      <c r="P6368" s="52"/>
    </row>
    <row r="6369">
      <c r="F6369" s="116" t="str">
        <f t="shared" si="1"/>
        <v/>
      </c>
      <c r="P6369" s="52"/>
    </row>
    <row r="6370">
      <c r="F6370" s="116" t="str">
        <f t="shared" si="1"/>
        <v/>
      </c>
      <c r="P6370" s="52"/>
    </row>
    <row r="6371">
      <c r="F6371" s="116" t="str">
        <f t="shared" si="1"/>
        <v/>
      </c>
      <c r="P6371" s="52"/>
    </row>
    <row r="6372">
      <c r="F6372" s="116" t="str">
        <f t="shared" si="1"/>
        <v/>
      </c>
      <c r="P6372" s="52"/>
    </row>
    <row r="6373">
      <c r="F6373" s="116" t="str">
        <f t="shared" si="1"/>
        <v/>
      </c>
      <c r="P6373" s="52"/>
    </row>
    <row r="6374">
      <c r="F6374" s="116" t="str">
        <f t="shared" si="1"/>
        <v/>
      </c>
      <c r="P6374" s="52"/>
    </row>
    <row r="6375">
      <c r="F6375" s="116" t="str">
        <f t="shared" si="1"/>
        <v/>
      </c>
      <c r="P6375" s="52"/>
    </row>
    <row r="6376">
      <c r="F6376" s="116" t="str">
        <f t="shared" si="1"/>
        <v/>
      </c>
      <c r="P6376" s="52"/>
    </row>
    <row r="6377">
      <c r="F6377" s="116" t="str">
        <f t="shared" si="1"/>
        <v/>
      </c>
      <c r="P6377" s="52"/>
    </row>
    <row r="6378">
      <c r="F6378" s="116" t="str">
        <f t="shared" si="1"/>
        <v/>
      </c>
      <c r="P6378" s="52"/>
    </row>
    <row r="6379">
      <c r="F6379" s="116" t="str">
        <f t="shared" si="1"/>
        <v/>
      </c>
      <c r="P6379" s="52"/>
    </row>
    <row r="6380">
      <c r="F6380" s="116" t="str">
        <f t="shared" si="1"/>
        <v/>
      </c>
      <c r="P6380" s="52"/>
    </row>
    <row r="6381">
      <c r="F6381" s="116" t="str">
        <f t="shared" si="1"/>
        <v/>
      </c>
      <c r="P6381" s="52"/>
    </row>
    <row r="6382">
      <c r="F6382" s="116" t="str">
        <f t="shared" si="1"/>
        <v/>
      </c>
      <c r="P6382" s="52"/>
    </row>
    <row r="6383">
      <c r="F6383" s="116" t="str">
        <f t="shared" si="1"/>
        <v/>
      </c>
      <c r="P6383" s="52"/>
    </row>
    <row r="6384">
      <c r="F6384" s="116" t="str">
        <f t="shared" si="1"/>
        <v/>
      </c>
      <c r="P6384" s="52"/>
    </row>
    <row r="6385">
      <c r="F6385" s="116" t="str">
        <f t="shared" si="1"/>
        <v/>
      </c>
      <c r="P6385" s="52"/>
    </row>
    <row r="6386">
      <c r="F6386" s="116" t="str">
        <f t="shared" si="1"/>
        <v/>
      </c>
      <c r="P6386" s="52"/>
    </row>
    <row r="6387">
      <c r="F6387" s="116" t="str">
        <f t="shared" si="1"/>
        <v/>
      </c>
      <c r="P6387" s="52"/>
    </row>
    <row r="6388">
      <c r="F6388" s="116" t="str">
        <f t="shared" si="1"/>
        <v/>
      </c>
      <c r="P6388" s="52"/>
    </row>
    <row r="6389">
      <c r="F6389" s="116" t="str">
        <f t="shared" si="1"/>
        <v/>
      </c>
      <c r="P6389" s="52"/>
    </row>
    <row r="6390">
      <c r="F6390" s="116" t="str">
        <f t="shared" si="1"/>
        <v/>
      </c>
      <c r="P6390" s="52"/>
    </row>
    <row r="6391">
      <c r="F6391" s="116" t="str">
        <f t="shared" si="1"/>
        <v/>
      </c>
      <c r="P6391" s="52"/>
    </row>
    <row r="6392">
      <c r="F6392" s="116" t="str">
        <f t="shared" si="1"/>
        <v/>
      </c>
      <c r="P6392" s="52"/>
    </row>
    <row r="6393">
      <c r="F6393" s="116" t="str">
        <f t="shared" si="1"/>
        <v/>
      </c>
      <c r="P6393" s="52"/>
    </row>
    <row r="6394">
      <c r="F6394" s="116" t="str">
        <f t="shared" si="1"/>
        <v/>
      </c>
      <c r="P6394" s="52"/>
    </row>
    <row r="6395">
      <c r="F6395" s="116" t="str">
        <f t="shared" si="1"/>
        <v/>
      </c>
      <c r="P6395" s="52"/>
    </row>
    <row r="6396">
      <c r="F6396" s="116" t="str">
        <f t="shared" si="1"/>
        <v/>
      </c>
      <c r="P6396" s="52"/>
    </row>
    <row r="6397">
      <c r="F6397" s="116" t="str">
        <f t="shared" si="1"/>
        <v/>
      </c>
      <c r="P6397" s="52"/>
    </row>
    <row r="6398">
      <c r="F6398" s="116" t="str">
        <f t="shared" si="1"/>
        <v/>
      </c>
      <c r="P6398" s="52"/>
    </row>
    <row r="6399">
      <c r="F6399" s="116" t="str">
        <f t="shared" si="1"/>
        <v/>
      </c>
      <c r="P6399" s="52"/>
    </row>
    <row r="6400">
      <c r="F6400" s="116" t="str">
        <f t="shared" si="1"/>
        <v/>
      </c>
      <c r="P6400" s="52"/>
    </row>
    <row r="6401">
      <c r="F6401" s="116" t="str">
        <f t="shared" si="1"/>
        <v/>
      </c>
      <c r="P6401" s="52"/>
    </row>
    <row r="6402">
      <c r="F6402" s="116" t="str">
        <f t="shared" si="1"/>
        <v/>
      </c>
      <c r="P6402" s="52"/>
    </row>
    <row r="6403">
      <c r="F6403" s="116" t="str">
        <f t="shared" si="1"/>
        <v/>
      </c>
      <c r="P6403" s="52"/>
    </row>
    <row r="6404">
      <c r="F6404" s="116" t="str">
        <f t="shared" si="1"/>
        <v/>
      </c>
      <c r="P6404" s="52"/>
    </row>
    <row r="6405">
      <c r="F6405" s="116" t="str">
        <f t="shared" si="1"/>
        <v/>
      </c>
      <c r="P6405" s="52"/>
    </row>
    <row r="6406">
      <c r="F6406" s="116" t="str">
        <f t="shared" si="1"/>
        <v/>
      </c>
      <c r="P6406" s="52"/>
    </row>
    <row r="6407">
      <c r="F6407" s="116" t="str">
        <f t="shared" si="1"/>
        <v/>
      </c>
      <c r="P6407" s="52"/>
    </row>
    <row r="6408">
      <c r="F6408" s="116" t="str">
        <f t="shared" si="1"/>
        <v/>
      </c>
      <c r="P6408" s="52"/>
    </row>
    <row r="6409">
      <c r="F6409" s="116" t="str">
        <f t="shared" si="1"/>
        <v/>
      </c>
      <c r="P6409" s="52"/>
    </row>
    <row r="6410">
      <c r="F6410" s="116" t="str">
        <f t="shared" si="1"/>
        <v/>
      </c>
      <c r="P6410" s="52"/>
    </row>
    <row r="6411">
      <c r="F6411" s="116" t="str">
        <f t="shared" si="1"/>
        <v/>
      </c>
      <c r="P6411" s="52"/>
    </row>
    <row r="6412">
      <c r="F6412" s="116" t="str">
        <f t="shared" si="1"/>
        <v/>
      </c>
      <c r="P6412" s="52"/>
    </row>
    <row r="6413">
      <c r="F6413" s="116" t="str">
        <f t="shared" si="1"/>
        <v/>
      </c>
      <c r="P6413" s="52"/>
    </row>
    <row r="6414">
      <c r="F6414" s="116" t="str">
        <f t="shared" si="1"/>
        <v/>
      </c>
      <c r="P6414" s="52"/>
    </row>
    <row r="6415">
      <c r="F6415" s="116" t="str">
        <f t="shared" si="1"/>
        <v/>
      </c>
      <c r="P6415" s="52"/>
    </row>
    <row r="6416">
      <c r="F6416" s="116" t="str">
        <f t="shared" si="1"/>
        <v/>
      </c>
      <c r="P6416" s="52"/>
    </row>
    <row r="6417">
      <c r="F6417" s="116" t="str">
        <f t="shared" si="1"/>
        <v/>
      </c>
      <c r="P6417" s="52"/>
    </row>
    <row r="6418">
      <c r="F6418" s="116" t="str">
        <f t="shared" si="1"/>
        <v/>
      </c>
      <c r="P6418" s="52"/>
    </row>
    <row r="6419">
      <c r="F6419" s="116" t="str">
        <f t="shared" si="1"/>
        <v/>
      </c>
      <c r="P6419" s="52"/>
    </row>
    <row r="6420">
      <c r="F6420" s="116" t="str">
        <f t="shared" si="1"/>
        <v/>
      </c>
      <c r="P6420" s="52"/>
    </row>
    <row r="6421">
      <c r="F6421" s="116" t="str">
        <f t="shared" si="1"/>
        <v/>
      </c>
      <c r="P6421" s="52"/>
    </row>
    <row r="6422">
      <c r="F6422" s="116" t="str">
        <f t="shared" si="1"/>
        <v/>
      </c>
      <c r="P6422" s="52"/>
    </row>
    <row r="6423">
      <c r="F6423" s="116" t="str">
        <f t="shared" si="1"/>
        <v/>
      </c>
      <c r="P6423" s="52"/>
    </row>
    <row r="6424">
      <c r="F6424" s="116" t="str">
        <f t="shared" si="1"/>
        <v/>
      </c>
      <c r="P6424" s="52"/>
    </row>
    <row r="6425">
      <c r="F6425" s="116" t="str">
        <f t="shared" si="1"/>
        <v/>
      </c>
      <c r="P6425" s="52"/>
    </row>
    <row r="6426">
      <c r="F6426" s="116" t="str">
        <f t="shared" si="1"/>
        <v/>
      </c>
      <c r="P6426" s="52"/>
    </row>
    <row r="6427">
      <c r="F6427" s="116" t="str">
        <f t="shared" si="1"/>
        <v/>
      </c>
      <c r="P6427" s="52"/>
    </row>
    <row r="6428">
      <c r="F6428" s="116" t="str">
        <f t="shared" si="1"/>
        <v/>
      </c>
      <c r="P6428" s="52"/>
    </row>
    <row r="6429">
      <c r="F6429" s="116" t="str">
        <f t="shared" si="1"/>
        <v/>
      </c>
      <c r="P6429" s="52"/>
    </row>
    <row r="6430">
      <c r="F6430" s="116" t="str">
        <f t="shared" si="1"/>
        <v/>
      </c>
      <c r="P6430" s="52"/>
    </row>
    <row r="6431">
      <c r="F6431" s="116" t="str">
        <f t="shared" si="1"/>
        <v/>
      </c>
      <c r="P6431" s="52"/>
    </row>
    <row r="6432">
      <c r="F6432" s="116" t="str">
        <f t="shared" si="1"/>
        <v/>
      </c>
      <c r="P6432" s="52"/>
    </row>
    <row r="6433">
      <c r="F6433" s="116" t="str">
        <f t="shared" si="1"/>
        <v/>
      </c>
      <c r="P6433" s="52"/>
    </row>
    <row r="6434">
      <c r="F6434" s="116" t="str">
        <f t="shared" si="1"/>
        <v/>
      </c>
      <c r="P6434" s="52"/>
    </row>
    <row r="6435">
      <c r="F6435" s="116" t="str">
        <f t="shared" si="1"/>
        <v/>
      </c>
      <c r="P6435" s="52"/>
    </row>
    <row r="6436">
      <c r="F6436" s="116" t="str">
        <f t="shared" si="1"/>
        <v/>
      </c>
      <c r="P6436" s="52"/>
    </row>
    <row r="6437">
      <c r="F6437" s="116" t="str">
        <f t="shared" si="1"/>
        <v/>
      </c>
      <c r="P6437" s="52"/>
    </row>
    <row r="6438">
      <c r="F6438" s="116" t="str">
        <f t="shared" si="1"/>
        <v/>
      </c>
      <c r="P6438" s="52"/>
    </row>
    <row r="6439">
      <c r="F6439" s="116" t="str">
        <f t="shared" si="1"/>
        <v/>
      </c>
      <c r="P6439" s="52"/>
    </row>
    <row r="6440">
      <c r="F6440" s="116" t="str">
        <f t="shared" si="1"/>
        <v/>
      </c>
      <c r="P6440" s="52"/>
    </row>
    <row r="6441">
      <c r="F6441" s="116" t="str">
        <f t="shared" si="1"/>
        <v/>
      </c>
      <c r="P6441" s="52"/>
    </row>
    <row r="6442">
      <c r="F6442" s="116" t="str">
        <f t="shared" si="1"/>
        <v/>
      </c>
      <c r="P6442" s="52"/>
    </row>
    <row r="6443">
      <c r="F6443" s="116" t="str">
        <f t="shared" si="1"/>
        <v/>
      </c>
      <c r="P6443" s="52"/>
    </row>
    <row r="6444">
      <c r="F6444" s="116" t="str">
        <f t="shared" si="1"/>
        <v/>
      </c>
      <c r="P6444" s="52"/>
    </row>
    <row r="6445">
      <c r="F6445" s="116" t="str">
        <f t="shared" si="1"/>
        <v/>
      </c>
      <c r="P6445" s="52"/>
    </row>
    <row r="6446">
      <c r="F6446" s="116" t="str">
        <f t="shared" si="1"/>
        <v/>
      </c>
      <c r="P6446" s="52"/>
    </row>
    <row r="6447">
      <c r="F6447" s="116" t="str">
        <f t="shared" si="1"/>
        <v/>
      </c>
      <c r="P6447" s="52"/>
    </row>
    <row r="6448">
      <c r="F6448" s="116" t="str">
        <f t="shared" si="1"/>
        <v/>
      </c>
      <c r="P6448" s="52"/>
    </row>
    <row r="6449">
      <c r="F6449" s="116" t="str">
        <f t="shared" si="1"/>
        <v/>
      </c>
      <c r="P6449" s="52"/>
    </row>
    <row r="6450">
      <c r="F6450" s="116" t="str">
        <f t="shared" si="1"/>
        <v/>
      </c>
      <c r="P6450" s="52"/>
    </row>
    <row r="6451">
      <c r="F6451" s="116" t="str">
        <f t="shared" si="1"/>
        <v/>
      </c>
      <c r="P6451" s="52"/>
    </row>
    <row r="6452">
      <c r="F6452" s="116" t="str">
        <f t="shared" si="1"/>
        <v/>
      </c>
      <c r="P6452" s="52"/>
    </row>
    <row r="6453">
      <c r="F6453" s="116" t="str">
        <f t="shared" si="1"/>
        <v/>
      </c>
      <c r="P6453" s="52"/>
    </row>
    <row r="6454">
      <c r="F6454" s="116" t="str">
        <f t="shared" si="1"/>
        <v/>
      </c>
      <c r="P6454" s="52"/>
    </row>
    <row r="6455">
      <c r="F6455" s="116" t="str">
        <f t="shared" si="1"/>
        <v/>
      </c>
      <c r="P6455" s="52"/>
    </row>
    <row r="6456">
      <c r="F6456" s="116" t="str">
        <f t="shared" si="1"/>
        <v/>
      </c>
      <c r="P6456" s="52"/>
    </row>
    <row r="6457">
      <c r="F6457" s="116" t="str">
        <f t="shared" si="1"/>
        <v/>
      </c>
      <c r="P6457" s="52"/>
    </row>
    <row r="6458">
      <c r="F6458" s="116" t="str">
        <f t="shared" si="1"/>
        <v/>
      </c>
      <c r="P6458" s="52"/>
    </row>
    <row r="6459">
      <c r="F6459" s="116" t="str">
        <f t="shared" si="1"/>
        <v/>
      </c>
      <c r="P6459" s="52"/>
    </row>
    <row r="6460">
      <c r="F6460" s="116" t="str">
        <f t="shared" si="1"/>
        <v/>
      </c>
      <c r="P6460" s="52"/>
    </row>
    <row r="6461">
      <c r="F6461" s="116" t="str">
        <f t="shared" si="1"/>
        <v/>
      </c>
      <c r="P6461" s="52"/>
    </row>
    <row r="6462">
      <c r="F6462" s="116" t="str">
        <f t="shared" si="1"/>
        <v/>
      </c>
      <c r="P6462" s="52"/>
    </row>
    <row r="6463">
      <c r="F6463" s="116" t="str">
        <f t="shared" si="1"/>
        <v/>
      </c>
      <c r="P6463" s="52"/>
    </row>
    <row r="6464">
      <c r="F6464" s="116" t="str">
        <f t="shared" si="1"/>
        <v/>
      </c>
      <c r="P6464" s="52"/>
    </row>
    <row r="6465">
      <c r="F6465" s="116" t="str">
        <f t="shared" si="1"/>
        <v/>
      </c>
      <c r="P6465" s="52"/>
    </row>
    <row r="6466">
      <c r="F6466" s="116" t="str">
        <f t="shared" si="1"/>
        <v/>
      </c>
      <c r="P6466" s="52"/>
    </row>
    <row r="6467">
      <c r="F6467" s="116" t="str">
        <f t="shared" si="1"/>
        <v/>
      </c>
      <c r="P6467" s="52"/>
    </row>
    <row r="6468">
      <c r="F6468" s="116" t="str">
        <f t="shared" si="1"/>
        <v/>
      </c>
      <c r="P6468" s="52"/>
    </row>
    <row r="6469">
      <c r="F6469" s="116" t="str">
        <f t="shared" si="1"/>
        <v/>
      </c>
      <c r="P6469" s="52"/>
    </row>
    <row r="6470">
      <c r="F6470" s="116" t="str">
        <f t="shared" si="1"/>
        <v/>
      </c>
      <c r="P6470" s="52"/>
    </row>
    <row r="6471">
      <c r="F6471" s="116" t="str">
        <f t="shared" si="1"/>
        <v/>
      </c>
      <c r="P6471" s="52"/>
    </row>
    <row r="6472">
      <c r="F6472" s="116" t="str">
        <f t="shared" si="1"/>
        <v/>
      </c>
      <c r="P6472" s="52"/>
    </row>
    <row r="6473">
      <c r="F6473" s="116" t="str">
        <f t="shared" si="1"/>
        <v/>
      </c>
      <c r="P6473" s="52"/>
    </row>
    <row r="6474">
      <c r="F6474" s="116" t="str">
        <f t="shared" si="1"/>
        <v/>
      </c>
      <c r="P6474" s="52"/>
    </row>
    <row r="6475">
      <c r="F6475" s="116" t="str">
        <f t="shared" si="1"/>
        <v/>
      </c>
      <c r="P6475" s="52"/>
    </row>
    <row r="6476">
      <c r="F6476" s="116" t="str">
        <f t="shared" si="1"/>
        <v/>
      </c>
      <c r="P6476" s="52"/>
    </row>
    <row r="6477">
      <c r="F6477" s="116" t="str">
        <f t="shared" si="1"/>
        <v/>
      </c>
      <c r="P6477" s="52"/>
    </row>
    <row r="6478">
      <c r="F6478" s="116" t="str">
        <f t="shared" si="1"/>
        <v/>
      </c>
      <c r="P6478" s="52"/>
    </row>
    <row r="6479">
      <c r="F6479" s="116" t="str">
        <f t="shared" si="1"/>
        <v/>
      </c>
      <c r="P6479" s="52"/>
    </row>
    <row r="6480">
      <c r="F6480" s="116" t="str">
        <f t="shared" si="1"/>
        <v/>
      </c>
      <c r="P6480" s="52"/>
    </row>
    <row r="6481">
      <c r="F6481" s="116" t="str">
        <f t="shared" si="1"/>
        <v/>
      </c>
      <c r="P6481" s="52"/>
    </row>
    <row r="6482">
      <c r="F6482" s="116" t="str">
        <f t="shared" si="1"/>
        <v/>
      </c>
      <c r="P6482" s="52"/>
    </row>
    <row r="6483">
      <c r="F6483" s="116" t="str">
        <f t="shared" si="1"/>
        <v/>
      </c>
      <c r="P6483" s="52"/>
    </row>
    <row r="6484">
      <c r="F6484" s="116" t="str">
        <f t="shared" si="1"/>
        <v/>
      </c>
      <c r="P6484" s="52"/>
    </row>
    <row r="6485">
      <c r="F6485" s="116" t="str">
        <f t="shared" si="1"/>
        <v/>
      </c>
      <c r="P6485" s="52"/>
    </row>
    <row r="6486">
      <c r="F6486" s="116" t="str">
        <f t="shared" si="1"/>
        <v/>
      </c>
      <c r="P6486" s="52"/>
    </row>
    <row r="6487">
      <c r="F6487" s="116" t="str">
        <f t="shared" si="1"/>
        <v/>
      </c>
      <c r="P6487" s="52"/>
    </row>
    <row r="6488">
      <c r="F6488" s="116" t="str">
        <f t="shared" si="1"/>
        <v/>
      </c>
      <c r="P6488" s="52"/>
    </row>
    <row r="6489">
      <c r="F6489" s="116" t="str">
        <f t="shared" si="1"/>
        <v/>
      </c>
      <c r="P6489" s="52"/>
    </row>
    <row r="6490">
      <c r="F6490" s="116" t="str">
        <f t="shared" si="1"/>
        <v/>
      </c>
      <c r="P6490" s="52"/>
    </row>
    <row r="6491">
      <c r="F6491" s="116" t="str">
        <f t="shared" si="1"/>
        <v/>
      </c>
      <c r="P6491" s="52"/>
    </row>
    <row r="6492">
      <c r="F6492" s="116" t="str">
        <f t="shared" si="1"/>
        <v/>
      </c>
      <c r="P6492" s="52"/>
    </row>
    <row r="6493">
      <c r="F6493" s="116" t="str">
        <f t="shared" si="1"/>
        <v/>
      </c>
      <c r="P6493" s="52"/>
    </row>
    <row r="6494">
      <c r="F6494" s="116" t="str">
        <f t="shared" si="1"/>
        <v/>
      </c>
      <c r="P6494" s="52"/>
    </row>
    <row r="6495">
      <c r="F6495" s="116" t="str">
        <f t="shared" si="1"/>
        <v/>
      </c>
      <c r="P6495" s="52"/>
    </row>
    <row r="6496">
      <c r="F6496" s="116" t="str">
        <f t="shared" si="1"/>
        <v/>
      </c>
      <c r="P6496" s="52"/>
    </row>
    <row r="6497">
      <c r="F6497" s="116" t="str">
        <f t="shared" si="1"/>
        <v/>
      </c>
      <c r="P6497" s="52"/>
    </row>
    <row r="6498">
      <c r="F6498" s="116" t="str">
        <f t="shared" si="1"/>
        <v/>
      </c>
      <c r="P6498" s="52"/>
    </row>
    <row r="6499">
      <c r="F6499" s="116" t="str">
        <f t="shared" si="1"/>
        <v/>
      </c>
      <c r="P6499" s="52"/>
    </row>
    <row r="6500">
      <c r="F6500" s="116" t="str">
        <f t="shared" si="1"/>
        <v/>
      </c>
      <c r="P6500" s="52"/>
    </row>
    <row r="6501">
      <c r="F6501" s="116" t="str">
        <f t="shared" si="1"/>
        <v/>
      </c>
      <c r="P6501" s="52"/>
    </row>
    <row r="6502">
      <c r="F6502" s="116" t="str">
        <f t="shared" si="1"/>
        <v/>
      </c>
      <c r="P6502" s="52"/>
    </row>
    <row r="6503">
      <c r="F6503" s="116" t="str">
        <f t="shared" si="1"/>
        <v/>
      </c>
      <c r="P6503" s="52"/>
    </row>
    <row r="6504">
      <c r="F6504" s="116" t="str">
        <f t="shared" si="1"/>
        <v/>
      </c>
      <c r="P6504" s="52"/>
    </row>
    <row r="6505">
      <c r="F6505" s="116" t="str">
        <f t="shared" si="1"/>
        <v/>
      </c>
      <c r="P6505" s="52"/>
    </row>
    <row r="6506">
      <c r="F6506" s="116" t="str">
        <f t="shared" si="1"/>
        <v/>
      </c>
      <c r="P6506" s="52"/>
    </row>
    <row r="6507">
      <c r="F6507" s="116" t="str">
        <f t="shared" si="1"/>
        <v/>
      </c>
      <c r="P6507" s="52"/>
    </row>
    <row r="6508">
      <c r="F6508" s="116" t="str">
        <f t="shared" si="1"/>
        <v/>
      </c>
      <c r="P6508" s="52"/>
    </row>
    <row r="6509">
      <c r="F6509" s="116" t="str">
        <f t="shared" si="1"/>
        <v/>
      </c>
      <c r="P6509" s="52"/>
    </row>
    <row r="6510">
      <c r="F6510" s="116" t="str">
        <f t="shared" si="1"/>
        <v/>
      </c>
      <c r="P6510" s="52"/>
    </row>
    <row r="6511">
      <c r="F6511" s="116" t="str">
        <f t="shared" si="1"/>
        <v/>
      </c>
      <c r="P6511" s="52"/>
    </row>
    <row r="6512">
      <c r="F6512" s="116" t="str">
        <f t="shared" si="1"/>
        <v/>
      </c>
      <c r="P6512" s="52"/>
    </row>
    <row r="6513">
      <c r="F6513" s="116" t="str">
        <f t="shared" si="1"/>
        <v/>
      </c>
      <c r="P6513" s="52"/>
    </row>
    <row r="6514">
      <c r="F6514" s="116" t="str">
        <f t="shared" si="1"/>
        <v/>
      </c>
      <c r="P6514" s="52"/>
    </row>
    <row r="6515">
      <c r="F6515" s="116" t="str">
        <f t="shared" si="1"/>
        <v/>
      </c>
      <c r="P6515" s="52"/>
    </row>
    <row r="6516">
      <c r="F6516" s="116" t="str">
        <f t="shared" si="1"/>
        <v/>
      </c>
      <c r="P6516" s="52"/>
    </row>
    <row r="6517">
      <c r="F6517" s="116" t="str">
        <f t="shared" si="1"/>
        <v/>
      </c>
      <c r="P6517" s="52"/>
    </row>
    <row r="6518">
      <c r="F6518" s="116" t="str">
        <f t="shared" si="1"/>
        <v/>
      </c>
      <c r="P6518" s="52"/>
    </row>
    <row r="6519">
      <c r="F6519" s="116" t="str">
        <f t="shared" si="1"/>
        <v/>
      </c>
      <c r="P6519" s="52"/>
    </row>
    <row r="6520">
      <c r="F6520" s="116" t="str">
        <f t="shared" si="1"/>
        <v/>
      </c>
      <c r="P6520" s="52"/>
    </row>
    <row r="6521">
      <c r="F6521" s="116" t="str">
        <f t="shared" si="1"/>
        <v/>
      </c>
      <c r="P6521" s="52"/>
    </row>
    <row r="6522">
      <c r="F6522" s="116" t="str">
        <f t="shared" si="1"/>
        <v/>
      </c>
      <c r="P6522" s="52"/>
    </row>
    <row r="6523">
      <c r="F6523" s="116" t="str">
        <f t="shared" si="1"/>
        <v/>
      </c>
      <c r="P6523" s="52"/>
    </row>
    <row r="6524">
      <c r="F6524" s="116" t="str">
        <f t="shared" si="1"/>
        <v/>
      </c>
      <c r="P6524" s="52"/>
    </row>
    <row r="6525">
      <c r="F6525" s="116" t="str">
        <f t="shared" si="1"/>
        <v/>
      </c>
      <c r="P6525" s="52"/>
    </row>
    <row r="6526">
      <c r="F6526" s="116" t="str">
        <f t="shared" si="1"/>
        <v/>
      </c>
      <c r="P6526" s="52"/>
    </row>
    <row r="6527">
      <c r="F6527" s="116" t="str">
        <f t="shared" si="1"/>
        <v/>
      </c>
      <c r="P6527" s="52"/>
    </row>
    <row r="6528">
      <c r="F6528" s="116" t="str">
        <f t="shared" si="1"/>
        <v/>
      </c>
      <c r="P6528" s="52"/>
    </row>
    <row r="6529">
      <c r="F6529" s="116" t="str">
        <f t="shared" si="1"/>
        <v/>
      </c>
      <c r="P6529" s="52"/>
    </row>
    <row r="6530">
      <c r="F6530" s="116" t="str">
        <f t="shared" si="1"/>
        <v/>
      </c>
      <c r="P6530" s="52"/>
    </row>
    <row r="6531">
      <c r="F6531" s="116" t="str">
        <f t="shared" si="1"/>
        <v/>
      </c>
      <c r="P6531" s="52"/>
    </row>
    <row r="6532">
      <c r="F6532" s="116" t="str">
        <f t="shared" si="1"/>
        <v/>
      </c>
      <c r="P6532" s="52"/>
    </row>
    <row r="6533">
      <c r="F6533" s="116" t="str">
        <f t="shared" si="1"/>
        <v/>
      </c>
      <c r="P6533" s="52"/>
    </row>
    <row r="6534">
      <c r="F6534" s="116" t="str">
        <f t="shared" si="1"/>
        <v/>
      </c>
      <c r="P6534" s="52"/>
    </row>
    <row r="6535">
      <c r="F6535" s="116" t="str">
        <f t="shared" si="1"/>
        <v/>
      </c>
      <c r="P6535" s="52"/>
    </row>
    <row r="6536">
      <c r="F6536" s="116" t="str">
        <f t="shared" si="1"/>
        <v/>
      </c>
      <c r="P6536" s="52"/>
    </row>
    <row r="6537">
      <c r="F6537" s="116" t="str">
        <f t="shared" si="1"/>
        <v/>
      </c>
      <c r="P6537" s="52"/>
    </row>
    <row r="6538">
      <c r="F6538" s="116" t="str">
        <f t="shared" si="1"/>
        <v/>
      </c>
      <c r="P6538" s="52"/>
    </row>
    <row r="6539">
      <c r="F6539" s="116" t="str">
        <f t="shared" si="1"/>
        <v/>
      </c>
      <c r="P6539" s="52"/>
    </row>
    <row r="6540">
      <c r="F6540" s="116" t="str">
        <f t="shared" si="1"/>
        <v/>
      </c>
      <c r="P6540" s="52"/>
    </row>
    <row r="6541">
      <c r="F6541" s="116" t="str">
        <f t="shared" si="1"/>
        <v/>
      </c>
      <c r="P6541" s="52"/>
    </row>
    <row r="6542">
      <c r="F6542" s="116" t="str">
        <f t="shared" si="1"/>
        <v/>
      </c>
      <c r="P6542" s="52"/>
    </row>
    <row r="6543">
      <c r="F6543" s="116" t="str">
        <f t="shared" si="1"/>
        <v/>
      </c>
      <c r="P6543" s="52"/>
    </row>
    <row r="6544">
      <c r="F6544" s="116" t="str">
        <f t="shared" si="1"/>
        <v/>
      </c>
      <c r="P6544" s="52"/>
    </row>
    <row r="6545">
      <c r="F6545" s="116" t="str">
        <f t="shared" si="1"/>
        <v/>
      </c>
      <c r="P6545" s="52"/>
    </row>
    <row r="6546">
      <c r="F6546" s="116" t="str">
        <f t="shared" si="1"/>
        <v/>
      </c>
      <c r="P6546" s="52"/>
    </row>
    <row r="6547">
      <c r="F6547" s="116" t="str">
        <f t="shared" si="1"/>
        <v/>
      </c>
      <c r="P6547" s="52"/>
    </row>
    <row r="6548">
      <c r="F6548" s="116" t="str">
        <f t="shared" si="1"/>
        <v/>
      </c>
      <c r="P6548" s="52"/>
    </row>
    <row r="6549">
      <c r="F6549" s="116" t="str">
        <f t="shared" si="1"/>
        <v/>
      </c>
      <c r="P6549" s="52"/>
    </row>
    <row r="6550">
      <c r="F6550" s="116" t="str">
        <f t="shared" si="1"/>
        <v/>
      </c>
      <c r="P6550" s="52"/>
    </row>
    <row r="6551">
      <c r="F6551" s="116" t="str">
        <f t="shared" si="1"/>
        <v/>
      </c>
      <c r="P6551" s="52"/>
    </row>
    <row r="6552">
      <c r="F6552" s="116" t="str">
        <f t="shared" si="1"/>
        <v/>
      </c>
      <c r="P6552" s="52"/>
    </row>
    <row r="6553">
      <c r="F6553" s="116" t="str">
        <f t="shared" si="1"/>
        <v/>
      </c>
      <c r="P6553" s="52"/>
    </row>
    <row r="6554">
      <c r="F6554" s="116" t="str">
        <f t="shared" si="1"/>
        <v/>
      </c>
      <c r="P6554" s="52"/>
    </row>
    <row r="6555">
      <c r="F6555" s="116" t="str">
        <f t="shared" si="1"/>
        <v/>
      </c>
      <c r="P6555" s="52"/>
    </row>
    <row r="6556">
      <c r="F6556" s="116" t="str">
        <f t="shared" si="1"/>
        <v/>
      </c>
      <c r="P6556" s="52"/>
    </row>
    <row r="6557">
      <c r="F6557" s="116" t="str">
        <f t="shared" si="1"/>
        <v/>
      </c>
      <c r="P6557" s="52"/>
    </row>
    <row r="6558">
      <c r="F6558" s="116" t="str">
        <f t="shared" si="1"/>
        <v/>
      </c>
      <c r="P6558" s="52"/>
    </row>
    <row r="6559">
      <c r="F6559" s="116" t="str">
        <f t="shared" si="1"/>
        <v/>
      </c>
      <c r="P6559" s="52"/>
    </row>
    <row r="6560">
      <c r="F6560" s="116" t="str">
        <f t="shared" si="1"/>
        <v/>
      </c>
      <c r="P6560" s="52"/>
    </row>
    <row r="6561">
      <c r="F6561" s="116" t="str">
        <f t="shared" si="1"/>
        <v/>
      </c>
      <c r="P6561" s="52"/>
    </row>
    <row r="6562">
      <c r="F6562" s="116" t="str">
        <f t="shared" si="1"/>
        <v/>
      </c>
      <c r="P6562" s="52"/>
    </row>
    <row r="6563">
      <c r="F6563" s="116" t="str">
        <f t="shared" si="1"/>
        <v/>
      </c>
      <c r="P6563" s="52"/>
    </row>
    <row r="6564">
      <c r="F6564" s="116" t="str">
        <f t="shared" si="1"/>
        <v/>
      </c>
      <c r="P6564" s="52"/>
    </row>
    <row r="6565">
      <c r="F6565" s="116" t="str">
        <f t="shared" si="1"/>
        <v/>
      </c>
      <c r="P6565" s="52"/>
    </row>
    <row r="6566">
      <c r="F6566" s="116" t="str">
        <f t="shared" si="1"/>
        <v/>
      </c>
      <c r="P6566" s="52"/>
    </row>
    <row r="6567">
      <c r="F6567" s="116" t="str">
        <f t="shared" si="1"/>
        <v/>
      </c>
      <c r="P6567" s="52"/>
    </row>
    <row r="6568">
      <c r="F6568" s="116" t="str">
        <f t="shared" si="1"/>
        <v/>
      </c>
      <c r="P6568" s="52"/>
    </row>
    <row r="6569">
      <c r="F6569" s="116" t="str">
        <f t="shared" si="1"/>
        <v/>
      </c>
      <c r="P6569" s="52"/>
    </row>
    <row r="6570">
      <c r="F6570" s="116" t="str">
        <f t="shared" si="1"/>
        <v/>
      </c>
      <c r="P6570" s="52"/>
    </row>
    <row r="6571">
      <c r="F6571" s="116" t="str">
        <f t="shared" si="1"/>
        <v/>
      </c>
      <c r="P6571" s="52"/>
    </row>
    <row r="6572">
      <c r="F6572" s="116" t="str">
        <f t="shared" si="1"/>
        <v/>
      </c>
      <c r="P6572" s="52"/>
    </row>
    <row r="6573">
      <c r="F6573" s="116" t="str">
        <f t="shared" si="1"/>
        <v/>
      </c>
      <c r="P6573" s="52"/>
    </row>
    <row r="6574">
      <c r="F6574" s="116" t="str">
        <f t="shared" si="1"/>
        <v/>
      </c>
      <c r="P6574" s="52"/>
    </row>
    <row r="6575">
      <c r="F6575" s="116" t="str">
        <f t="shared" si="1"/>
        <v/>
      </c>
      <c r="P6575" s="52"/>
    </row>
    <row r="6576">
      <c r="F6576" s="116" t="str">
        <f t="shared" si="1"/>
        <v/>
      </c>
      <c r="P6576" s="52"/>
    </row>
    <row r="6577">
      <c r="F6577" s="116" t="str">
        <f t="shared" si="1"/>
        <v/>
      </c>
      <c r="P6577" s="52"/>
    </row>
    <row r="6578">
      <c r="F6578" s="116" t="str">
        <f t="shared" si="1"/>
        <v/>
      </c>
      <c r="P6578" s="52"/>
    </row>
    <row r="6579">
      <c r="F6579" s="116" t="str">
        <f t="shared" si="1"/>
        <v/>
      </c>
      <c r="P6579" s="52"/>
    </row>
    <row r="6580">
      <c r="F6580" s="116" t="str">
        <f t="shared" si="1"/>
        <v/>
      </c>
      <c r="P6580" s="52"/>
    </row>
    <row r="6581">
      <c r="F6581" s="116" t="str">
        <f t="shared" si="1"/>
        <v/>
      </c>
      <c r="P6581" s="52"/>
    </row>
    <row r="6582">
      <c r="F6582" s="116" t="str">
        <f t="shared" si="1"/>
        <v/>
      </c>
      <c r="P6582" s="52"/>
    </row>
    <row r="6583">
      <c r="F6583" s="116" t="str">
        <f t="shared" si="1"/>
        <v/>
      </c>
      <c r="P6583" s="52"/>
    </row>
    <row r="6584">
      <c r="F6584" s="116" t="str">
        <f t="shared" si="1"/>
        <v/>
      </c>
      <c r="P6584" s="52"/>
    </row>
    <row r="6585">
      <c r="F6585" s="116" t="str">
        <f t="shared" si="1"/>
        <v/>
      </c>
      <c r="P6585" s="52"/>
    </row>
    <row r="6586">
      <c r="F6586" s="116" t="str">
        <f t="shared" si="1"/>
        <v/>
      </c>
      <c r="P6586" s="52"/>
    </row>
    <row r="6587">
      <c r="F6587" s="116" t="str">
        <f t="shared" si="1"/>
        <v/>
      </c>
      <c r="P6587" s="52"/>
    </row>
    <row r="6588">
      <c r="F6588" s="116" t="str">
        <f t="shared" si="1"/>
        <v/>
      </c>
      <c r="P6588" s="52"/>
    </row>
    <row r="6589">
      <c r="F6589" s="116" t="str">
        <f t="shared" si="1"/>
        <v/>
      </c>
      <c r="P6589" s="52"/>
    </row>
    <row r="6590">
      <c r="F6590" s="116" t="str">
        <f t="shared" si="1"/>
        <v/>
      </c>
      <c r="P6590" s="52"/>
    </row>
    <row r="6591">
      <c r="F6591" s="116" t="str">
        <f t="shared" si="1"/>
        <v/>
      </c>
      <c r="P6591" s="52"/>
    </row>
    <row r="6592">
      <c r="F6592" s="116" t="str">
        <f t="shared" si="1"/>
        <v/>
      </c>
      <c r="P6592" s="52"/>
    </row>
    <row r="6593">
      <c r="F6593" s="116" t="str">
        <f t="shared" si="1"/>
        <v/>
      </c>
      <c r="P6593" s="52"/>
    </row>
    <row r="6594">
      <c r="F6594" s="116" t="str">
        <f t="shared" si="1"/>
        <v/>
      </c>
      <c r="P6594" s="52"/>
    </row>
    <row r="6595">
      <c r="F6595" s="116" t="str">
        <f t="shared" si="1"/>
        <v/>
      </c>
      <c r="P6595" s="52"/>
    </row>
    <row r="6596">
      <c r="F6596" s="116" t="str">
        <f t="shared" si="1"/>
        <v/>
      </c>
      <c r="P6596" s="52"/>
    </row>
    <row r="6597">
      <c r="F6597" s="116" t="str">
        <f t="shared" si="1"/>
        <v/>
      </c>
      <c r="P6597" s="52"/>
    </row>
    <row r="6598">
      <c r="F6598" s="116" t="str">
        <f t="shared" si="1"/>
        <v/>
      </c>
      <c r="P6598" s="52"/>
    </row>
    <row r="6599">
      <c r="F6599" s="116" t="str">
        <f t="shared" si="1"/>
        <v/>
      </c>
      <c r="P6599" s="52"/>
    </row>
    <row r="6600">
      <c r="F6600" s="116" t="str">
        <f t="shared" si="1"/>
        <v/>
      </c>
      <c r="P6600" s="52"/>
    </row>
    <row r="6601">
      <c r="F6601" s="116" t="str">
        <f t="shared" si="1"/>
        <v/>
      </c>
      <c r="P6601" s="52"/>
    </row>
    <row r="6602">
      <c r="F6602" s="116" t="str">
        <f t="shared" si="1"/>
        <v/>
      </c>
      <c r="P6602" s="52"/>
    </row>
    <row r="6603">
      <c r="F6603" s="116" t="str">
        <f t="shared" si="1"/>
        <v/>
      </c>
      <c r="P6603" s="52"/>
    </row>
    <row r="6604">
      <c r="F6604" s="116" t="str">
        <f t="shared" si="1"/>
        <v/>
      </c>
      <c r="P6604" s="52"/>
    </row>
    <row r="6605">
      <c r="F6605" s="116" t="str">
        <f t="shared" si="1"/>
        <v/>
      </c>
      <c r="P6605" s="52"/>
    </row>
    <row r="6606">
      <c r="F6606" s="116" t="str">
        <f t="shared" si="1"/>
        <v/>
      </c>
      <c r="P6606" s="52"/>
    </row>
    <row r="6607">
      <c r="F6607" s="116" t="str">
        <f t="shared" si="1"/>
        <v/>
      </c>
      <c r="P6607" s="52"/>
    </row>
    <row r="6608">
      <c r="F6608" s="116" t="str">
        <f t="shared" si="1"/>
        <v/>
      </c>
      <c r="P6608" s="52"/>
    </row>
    <row r="6609">
      <c r="F6609" s="116" t="str">
        <f t="shared" si="1"/>
        <v/>
      </c>
      <c r="P6609" s="52"/>
    </row>
    <row r="6610">
      <c r="F6610" s="116" t="str">
        <f t="shared" si="1"/>
        <v/>
      </c>
      <c r="P6610" s="52"/>
    </row>
    <row r="6611">
      <c r="F6611" s="116" t="str">
        <f t="shared" si="1"/>
        <v/>
      </c>
      <c r="P6611" s="52"/>
    </row>
    <row r="6612">
      <c r="F6612" s="116" t="str">
        <f t="shared" si="1"/>
        <v/>
      </c>
      <c r="P6612" s="52"/>
    </row>
    <row r="6613">
      <c r="F6613" s="116" t="str">
        <f t="shared" si="1"/>
        <v/>
      </c>
      <c r="P6613" s="52"/>
    </row>
    <row r="6614">
      <c r="F6614" s="116" t="str">
        <f t="shared" si="1"/>
        <v/>
      </c>
      <c r="P6614" s="52"/>
    </row>
    <row r="6615">
      <c r="F6615" s="116" t="str">
        <f t="shared" si="1"/>
        <v/>
      </c>
      <c r="P6615" s="52"/>
    </row>
    <row r="6616">
      <c r="F6616" s="116" t="str">
        <f t="shared" si="1"/>
        <v/>
      </c>
      <c r="P6616" s="52"/>
    </row>
    <row r="6617">
      <c r="F6617" s="116" t="str">
        <f t="shared" si="1"/>
        <v/>
      </c>
      <c r="P6617" s="52"/>
    </row>
    <row r="6618">
      <c r="F6618" s="116" t="str">
        <f t="shared" si="1"/>
        <v/>
      </c>
      <c r="P6618" s="52"/>
    </row>
    <row r="6619">
      <c r="F6619" s="116" t="str">
        <f t="shared" si="1"/>
        <v/>
      </c>
      <c r="P6619" s="52"/>
    </row>
    <row r="6620">
      <c r="F6620" s="116" t="str">
        <f t="shared" si="1"/>
        <v/>
      </c>
      <c r="P6620" s="52"/>
    </row>
    <row r="6621">
      <c r="F6621" s="116" t="str">
        <f t="shared" si="1"/>
        <v/>
      </c>
      <c r="P6621" s="52"/>
    </row>
    <row r="6622">
      <c r="F6622" s="116" t="str">
        <f t="shared" si="1"/>
        <v/>
      </c>
      <c r="P6622" s="52"/>
    </row>
    <row r="6623">
      <c r="F6623" s="116" t="str">
        <f t="shared" si="1"/>
        <v/>
      </c>
      <c r="P6623" s="52"/>
    </row>
    <row r="6624">
      <c r="F6624" s="116" t="str">
        <f t="shared" si="1"/>
        <v/>
      </c>
      <c r="P6624" s="52"/>
    </row>
    <row r="6625">
      <c r="F6625" s="116" t="str">
        <f t="shared" si="1"/>
        <v/>
      </c>
      <c r="P6625" s="52"/>
    </row>
    <row r="6626">
      <c r="F6626" s="116" t="str">
        <f t="shared" si="1"/>
        <v/>
      </c>
      <c r="P6626" s="52"/>
    </row>
    <row r="6627">
      <c r="F6627" s="116" t="str">
        <f t="shared" si="1"/>
        <v/>
      </c>
      <c r="P6627" s="52"/>
    </row>
    <row r="6628">
      <c r="F6628" s="116" t="str">
        <f t="shared" si="1"/>
        <v/>
      </c>
      <c r="P6628" s="52"/>
    </row>
    <row r="6629">
      <c r="F6629" s="116" t="str">
        <f t="shared" si="1"/>
        <v/>
      </c>
      <c r="P6629" s="52"/>
    </row>
    <row r="6630">
      <c r="F6630" s="116" t="str">
        <f t="shared" si="1"/>
        <v/>
      </c>
      <c r="P6630" s="52"/>
    </row>
    <row r="6631">
      <c r="F6631" s="116" t="str">
        <f t="shared" si="1"/>
        <v/>
      </c>
      <c r="P6631" s="52"/>
    </row>
    <row r="6632">
      <c r="F6632" s="116" t="str">
        <f t="shared" si="1"/>
        <v/>
      </c>
      <c r="P6632" s="52"/>
    </row>
    <row r="6633">
      <c r="F6633" s="116" t="str">
        <f t="shared" si="1"/>
        <v/>
      </c>
      <c r="P6633" s="52"/>
    </row>
    <row r="6634">
      <c r="F6634" s="116" t="str">
        <f t="shared" si="1"/>
        <v/>
      </c>
      <c r="P6634" s="52"/>
    </row>
    <row r="6635">
      <c r="F6635" s="116" t="str">
        <f t="shared" si="1"/>
        <v/>
      </c>
      <c r="P6635" s="52"/>
    </row>
    <row r="6636">
      <c r="F6636" s="116" t="str">
        <f t="shared" si="1"/>
        <v/>
      </c>
      <c r="P6636" s="52"/>
    </row>
    <row r="6637">
      <c r="F6637" s="116" t="str">
        <f t="shared" si="1"/>
        <v/>
      </c>
      <c r="P6637" s="52"/>
    </row>
    <row r="6638">
      <c r="F6638" s="116" t="str">
        <f t="shared" si="1"/>
        <v/>
      </c>
      <c r="P6638" s="52"/>
    </row>
    <row r="6639">
      <c r="F6639" s="116" t="str">
        <f t="shared" si="1"/>
        <v/>
      </c>
      <c r="P6639" s="52"/>
    </row>
    <row r="6640">
      <c r="F6640" s="116" t="str">
        <f t="shared" si="1"/>
        <v/>
      </c>
      <c r="P6640" s="52"/>
    </row>
    <row r="6641">
      <c r="F6641" s="116" t="str">
        <f t="shared" si="1"/>
        <v/>
      </c>
      <c r="P6641" s="52"/>
    </row>
    <row r="6642">
      <c r="F6642" s="116" t="str">
        <f t="shared" si="1"/>
        <v/>
      </c>
      <c r="P6642" s="52"/>
    </row>
    <row r="6643">
      <c r="F6643" s="116" t="str">
        <f t="shared" si="1"/>
        <v/>
      </c>
      <c r="P6643" s="52"/>
    </row>
    <row r="6644">
      <c r="F6644" s="116" t="str">
        <f t="shared" si="1"/>
        <v/>
      </c>
      <c r="P6644" s="52"/>
    </row>
    <row r="6645">
      <c r="F6645" s="116" t="str">
        <f t="shared" si="1"/>
        <v/>
      </c>
      <c r="P6645" s="52"/>
    </row>
    <row r="6646">
      <c r="F6646" s="116" t="str">
        <f t="shared" si="1"/>
        <v/>
      </c>
      <c r="P6646" s="52"/>
    </row>
    <row r="6647">
      <c r="F6647" s="116" t="str">
        <f t="shared" si="1"/>
        <v/>
      </c>
      <c r="P6647" s="52"/>
    </row>
    <row r="6648">
      <c r="F6648" s="116" t="str">
        <f t="shared" si="1"/>
        <v/>
      </c>
      <c r="P6648" s="52"/>
    </row>
    <row r="6649">
      <c r="F6649" s="116" t="str">
        <f t="shared" si="1"/>
        <v/>
      </c>
      <c r="P6649" s="52"/>
    </row>
    <row r="6650">
      <c r="F6650" s="116" t="str">
        <f t="shared" si="1"/>
        <v/>
      </c>
      <c r="P6650" s="52"/>
    </row>
    <row r="6651">
      <c r="F6651" s="116" t="str">
        <f t="shared" si="1"/>
        <v/>
      </c>
      <c r="P6651" s="52"/>
    </row>
    <row r="6652">
      <c r="F6652" s="116" t="str">
        <f t="shared" si="1"/>
        <v/>
      </c>
      <c r="P6652" s="52"/>
    </row>
    <row r="6653">
      <c r="F6653" s="116" t="str">
        <f t="shared" si="1"/>
        <v/>
      </c>
      <c r="P6653" s="52"/>
    </row>
    <row r="6654">
      <c r="F6654" s="116" t="str">
        <f t="shared" si="1"/>
        <v/>
      </c>
      <c r="P6654" s="52"/>
    </row>
    <row r="6655">
      <c r="F6655" s="116" t="str">
        <f t="shared" si="1"/>
        <v/>
      </c>
      <c r="P6655" s="52"/>
    </row>
    <row r="6656">
      <c r="F6656" s="116" t="str">
        <f t="shared" si="1"/>
        <v/>
      </c>
      <c r="P6656" s="52"/>
    </row>
    <row r="6657">
      <c r="F6657" s="116" t="str">
        <f t="shared" si="1"/>
        <v/>
      </c>
      <c r="P6657" s="52"/>
    </row>
    <row r="6658">
      <c r="F6658" s="116" t="str">
        <f t="shared" si="1"/>
        <v/>
      </c>
      <c r="P6658" s="52"/>
    </row>
    <row r="6659">
      <c r="F6659" s="116" t="str">
        <f t="shared" si="1"/>
        <v/>
      </c>
      <c r="P6659" s="52"/>
    </row>
    <row r="6660">
      <c r="F6660" s="116" t="str">
        <f t="shared" si="1"/>
        <v/>
      </c>
      <c r="P6660" s="52"/>
    </row>
    <row r="6661">
      <c r="F6661" s="116" t="str">
        <f t="shared" si="1"/>
        <v/>
      </c>
      <c r="P6661" s="52"/>
    </row>
    <row r="6662">
      <c r="F6662" s="116" t="str">
        <f t="shared" si="1"/>
        <v/>
      </c>
      <c r="P6662" s="52"/>
    </row>
    <row r="6663">
      <c r="F6663" s="116" t="str">
        <f t="shared" si="1"/>
        <v/>
      </c>
      <c r="P6663" s="52"/>
    </row>
    <row r="6664">
      <c r="F6664" s="116" t="str">
        <f t="shared" si="1"/>
        <v/>
      </c>
      <c r="P6664" s="52"/>
    </row>
    <row r="6665">
      <c r="F6665" s="116" t="str">
        <f t="shared" si="1"/>
        <v/>
      </c>
      <c r="P6665" s="52"/>
    </row>
    <row r="6666">
      <c r="F6666" s="116" t="str">
        <f t="shared" si="1"/>
        <v/>
      </c>
      <c r="P6666" s="52"/>
    </row>
    <row r="6667">
      <c r="F6667" s="116" t="str">
        <f t="shared" si="1"/>
        <v/>
      </c>
      <c r="P6667" s="52"/>
    </row>
    <row r="6668">
      <c r="F6668" s="116" t="str">
        <f t="shared" si="1"/>
        <v/>
      </c>
      <c r="P6668" s="52"/>
    </row>
    <row r="6669">
      <c r="F6669" s="116" t="str">
        <f t="shared" si="1"/>
        <v/>
      </c>
      <c r="P6669" s="52"/>
    </row>
    <row r="6670">
      <c r="F6670" s="116" t="str">
        <f t="shared" si="1"/>
        <v/>
      </c>
      <c r="P6670" s="52"/>
    </row>
    <row r="6671">
      <c r="F6671" s="116" t="str">
        <f t="shared" si="1"/>
        <v/>
      </c>
      <c r="P6671" s="52"/>
    </row>
    <row r="6672">
      <c r="F6672" s="116" t="str">
        <f t="shared" si="1"/>
        <v/>
      </c>
      <c r="P6672" s="52"/>
    </row>
    <row r="6673">
      <c r="F6673" s="116" t="str">
        <f t="shared" si="1"/>
        <v/>
      </c>
      <c r="P6673" s="52"/>
    </row>
    <row r="6674">
      <c r="F6674" s="116" t="str">
        <f t="shared" si="1"/>
        <v/>
      </c>
      <c r="P6674" s="52"/>
    </row>
    <row r="6675">
      <c r="F6675" s="116" t="str">
        <f t="shared" si="1"/>
        <v/>
      </c>
      <c r="P6675" s="52"/>
    </row>
    <row r="6676">
      <c r="F6676" s="116" t="str">
        <f t="shared" si="1"/>
        <v/>
      </c>
      <c r="P6676" s="52"/>
    </row>
    <row r="6677">
      <c r="F6677" s="116" t="str">
        <f t="shared" si="1"/>
        <v/>
      </c>
      <c r="P6677" s="52"/>
    </row>
    <row r="6678">
      <c r="F6678" s="116" t="str">
        <f t="shared" si="1"/>
        <v/>
      </c>
      <c r="P6678" s="52"/>
    </row>
    <row r="6679">
      <c r="F6679" s="116" t="str">
        <f t="shared" si="1"/>
        <v/>
      </c>
      <c r="P6679" s="52"/>
    </row>
    <row r="6680">
      <c r="F6680" s="116" t="str">
        <f t="shared" si="1"/>
        <v/>
      </c>
      <c r="P6680" s="52"/>
    </row>
    <row r="6681">
      <c r="F6681" s="116" t="str">
        <f t="shared" si="1"/>
        <v/>
      </c>
      <c r="P6681" s="52"/>
    </row>
    <row r="6682">
      <c r="F6682" s="116" t="str">
        <f t="shared" si="1"/>
        <v/>
      </c>
      <c r="P6682" s="52"/>
    </row>
    <row r="6683">
      <c r="F6683" s="116" t="str">
        <f t="shared" si="1"/>
        <v/>
      </c>
      <c r="P6683" s="52"/>
    </row>
    <row r="6684">
      <c r="F6684" s="116" t="str">
        <f t="shared" si="1"/>
        <v/>
      </c>
      <c r="P6684" s="52"/>
    </row>
    <row r="6685">
      <c r="F6685" s="116" t="str">
        <f t="shared" si="1"/>
        <v/>
      </c>
      <c r="P6685" s="52"/>
    </row>
    <row r="6686">
      <c r="F6686" s="116" t="str">
        <f t="shared" si="1"/>
        <v/>
      </c>
      <c r="P6686" s="52"/>
    </row>
    <row r="6687">
      <c r="F6687" s="116" t="str">
        <f t="shared" si="1"/>
        <v/>
      </c>
      <c r="P6687" s="52"/>
    </row>
    <row r="6688">
      <c r="F6688" s="116" t="str">
        <f t="shared" si="1"/>
        <v/>
      </c>
      <c r="P6688" s="52"/>
    </row>
    <row r="6689">
      <c r="F6689" s="116" t="str">
        <f t="shared" si="1"/>
        <v/>
      </c>
      <c r="P6689" s="52"/>
    </row>
    <row r="6690">
      <c r="F6690" s="116" t="str">
        <f t="shared" si="1"/>
        <v/>
      </c>
      <c r="P6690" s="52"/>
    </row>
    <row r="6691">
      <c r="F6691" s="116" t="str">
        <f t="shared" si="1"/>
        <v/>
      </c>
      <c r="P6691" s="52"/>
    </row>
    <row r="6692">
      <c r="F6692" s="116" t="str">
        <f t="shared" si="1"/>
        <v/>
      </c>
      <c r="P6692" s="52"/>
    </row>
    <row r="6693">
      <c r="F6693" s="116" t="str">
        <f t="shared" si="1"/>
        <v/>
      </c>
      <c r="P6693" s="52"/>
    </row>
    <row r="6694">
      <c r="F6694" s="116" t="str">
        <f t="shared" si="1"/>
        <v/>
      </c>
      <c r="P6694" s="52"/>
    </row>
    <row r="6695">
      <c r="F6695" s="116" t="str">
        <f t="shared" si="1"/>
        <v/>
      </c>
      <c r="P6695" s="52"/>
    </row>
    <row r="6696">
      <c r="F6696" s="116" t="str">
        <f t="shared" si="1"/>
        <v/>
      </c>
      <c r="P6696" s="52"/>
    </row>
    <row r="6697">
      <c r="F6697" s="116" t="str">
        <f t="shared" si="1"/>
        <v/>
      </c>
      <c r="P6697" s="52"/>
    </row>
    <row r="6698">
      <c r="F6698" s="116" t="str">
        <f t="shared" si="1"/>
        <v/>
      </c>
      <c r="P6698" s="52"/>
    </row>
    <row r="6699">
      <c r="F6699" s="116" t="str">
        <f t="shared" si="1"/>
        <v/>
      </c>
      <c r="P6699" s="52"/>
    </row>
    <row r="6700">
      <c r="F6700" s="116" t="str">
        <f t="shared" si="1"/>
        <v/>
      </c>
      <c r="P6700" s="52"/>
    </row>
    <row r="6701">
      <c r="F6701" s="116" t="str">
        <f t="shared" si="1"/>
        <v/>
      </c>
      <c r="P6701" s="52"/>
    </row>
    <row r="6702">
      <c r="F6702" s="116" t="str">
        <f t="shared" si="1"/>
        <v/>
      </c>
      <c r="P6702" s="52"/>
    </row>
    <row r="6703">
      <c r="F6703" s="116" t="str">
        <f t="shared" si="1"/>
        <v/>
      </c>
      <c r="P6703" s="52"/>
    </row>
    <row r="6704">
      <c r="F6704" s="116" t="str">
        <f t="shared" si="1"/>
        <v/>
      </c>
      <c r="P6704" s="52"/>
    </row>
    <row r="6705">
      <c r="F6705" s="116" t="str">
        <f t="shared" si="1"/>
        <v/>
      </c>
      <c r="P6705" s="52"/>
    </row>
    <row r="6706">
      <c r="F6706" s="116" t="str">
        <f t="shared" si="1"/>
        <v/>
      </c>
      <c r="P6706" s="52"/>
    </row>
    <row r="6707">
      <c r="F6707" s="116" t="str">
        <f t="shared" si="1"/>
        <v/>
      </c>
      <c r="P6707" s="52"/>
    </row>
    <row r="6708">
      <c r="F6708" s="116" t="str">
        <f t="shared" si="1"/>
        <v/>
      </c>
      <c r="P6708" s="52"/>
    </row>
    <row r="6709">
      <c r="F6709" s="116" t="str">
        <f t="shared" si="1"/>
        <v/>
      </c>
      <c r="P6709" s="52"/>
    </row>
    <row r="6710">
      <c r="F6710" s="116" t="str">
        <f t="shared" si="1"/>
        <v/>
      </c>
      <c r="P6710" s="52"/>
    </row>
    <row r="6711">
      <c r="F6711" s="116" t="str">
        <f t="shared" si="1"/>
        <v/>
      </c>
      <c r="P6711" s="52"/>
    </row>
    <row r="6712">
      <c r="F6712" s="116" t="str">
        <f t="shared" si="1"/>
        <v/>
      </c>
      <c r="P6712" s="52"/>
    </row>
    <row r="6713">
      <c r="F6713" s="116" t="str">
        <f t="shared" si="1"/>
        <v/>
      </c>
      <c r="P6713" s="52"/>
    </row>
    <row r="6714">
      <c r="F6714" s="116" t="str">
        <f t="shared" si="1"/>
        <v/>
      </c>
      <c r="P6714" s="52"/>
    </row>
    <row r="6715">
      <c r="F6715" s="116" t="str">
        <f t="shared" si="1"/>
        <v/>
      </c>
      <c r="P6715" s="52"/>
    </row>
    <row r="6716">
      <c r="F6716" s="116" t="str">
        <f t="shared" si="1"/>
        <v/>
      </c>
      <c r="P6716" s="52"/>
    </row>
    <row r="6717">
      <c r="F6717" s="116" t="str">
        <f t="shared" si="1"/>
        <v/>
      </c>
      <c r="P6717" s="52"/>
    </row>
    <row r="6718">
      <c r="F6718" s="116" t="str">
        <f t="shared" si="1"/>
        <v/>
      </c>
      <c r="P6718" s="52"/>
    </row>
    <row r="6719">
      <c r="F6719" s="116" t="str">
        <f t="shared" si="1"/>
        <v/>
      </c>
      <c r="P6719" s="52"/>
    </row>
    <row r="6720">
      <c r="F6720" s="116" t="str">
        <f t="shared" si="1"/>
        <v/>
      </c>
      <c r="P6720" s="52"/>
    </row>
    <row r="6721">
      <c r="F6721" s="116" t="str">
        <f t="shared" si="1"/>
        <v/>
      </c>
      <c r="P6721" s="52"/>
    </row>
    <row r="6722">
      <c r="F6722" s="116" t="str">
        <f t="shared" si="1"/>
        <v/>
      </c>
      <c r="P6722" s="52"/>
    </row>
    <row r="6723">
      <c r="F6723" s="116" t="str">
        <f t="shared" si="1"/>
        <v/>
      </c>
      <c r="P6723" s="52"/>
    </row>
    <row r="6724">
      <c r="F6724" s="116" t="str">
        <f t="shared" si="1"/>
        <v/>
      </c>
      <c r="P6724" s="52"/>
    </row>
    <row r="6725">
      <c r="F6725" s="116" t="str">
        <f t="shared" si="1"/>
        <v/>
      </c>
      <c r="P6725" s="52"/>
    </row>
    <row r="6726">
      <c r="F6726" s="116" t="str">
        <f t="shared" si="1"/>
        <v/>
      </c>
      <c r="P6726" s="52"/>
    </row>
    <row r="6727">
      <c r="F6727" s="116" t="str">
        <f t="shared" si="1"/>
        <v/>
      </c>
      <c r="P6727" s="52"/>
    </row>
    <row r="6728">
      <c r="F6728" s="116" t="str">
        <f t="shared" si="1"/>
        <v/>
      </c>
      <c r="P6728" s="52"/>
    </row>
    <row r="6729">
      <c r="F6729" s="116" t="str">
        <f t="shared" si="1"/>
        <v/>
      </c>
      <c r="P6729" s="52"/>
    </row>
    <row r="6730">
      <c r="F6730" s="116" t="str">
        <f t="shared" si="1"/>
        <v/>
      </c>
      <c r="P6730" s="52"/>
    </row>
    <row r="6731">
      <c r="F6731" s="116" t="str">
        <f t="shared" si="1"/>
        <v/>
      </c>
      <c r="P6731" s="52"/>
    </row>
    <row r="6732">
      <c r="F6732" s="116" t="str">
        <f t="shared" si="1"/>
        <v/>
      </c>
      <c r="P6732" s="52"/>
    </row>
    <row r="6733">
      <c r="F6733" s="116" t="str">
        <f t="shared" si="1"/>
        <v/>
      </c>
      <c r="P6733" s="52"/>
    </row>
    <row r="6734">
      <c r="F6734" s="116" t="str">
        <f t="shared" si="1"/>
        <v/>
      </c>
      <c r="P6734" s="52"/>
    </row>
    <row r="6735">
      <c r="F6735" s="116" t="str">
        <f t="shared" si="1"/>
        <v/>
      </c>
      <c r="P6735" s="52"/>
    </row>
    <row r="6736">
      <c r="F6736" s="116" t="str">
        <f t="shared" si="1"/>
        <v/>
      </c>
      <c r="P6736" s="52"/>
    </row>
    <row r="6737">
      <c r="F6737" s="116" t="str">
        <f t="shared" si="1"/>
        <v/>
      </c>
      <c r="P6737" s="52"/>
    </row>
    <row r="6738">
      <c r="F6738" s="116" t="str">
        <f t="shared" si="1"/>
        <v/>
      </c>
      <c r="P6738" s="52"/>
    </row>
    <row r="6739">
      <c r="F6739" s="116" t="str">
        <f t="shared" si="1"/>
        <v/>
      </c>
      <c r="P6739" s="52"/>
    </row>
    <row r="6740">
      <c r="F6740" s="116" t="str">
        <f t="shared" si="1"/>
        <v/>
      </c>
      <c r="P6740" s="52"/>
    </row>
    <row r="6741">
      <c r="F6741" s="116" t="str">
        <f t="shared" si="1"/>
        <v/>
      </c>
      <c r="P6741" s="52"/>
    </row>
    <row r="6742">
      <c r="F6742" s="116" t="str">
        <f t="shared" si="1"/>
        <v/>
      </c>
      <c r="P6742" s="52"/>
    </row>
    <row r="6743">
      <c r="F6743" s="116" t="str">
        <f t="shared" si="1"/>
        <v/>
      </c>
      <c r="P6743" s="52"/>
    </row>
    <row r="6744">
      <c r="F6744" s="116" t="str">
        <f t="shared" si="1"/>
        <v/>
      </c>
      <c r="P6744" s="52"/>
    </row>
    <row r="6745">
      <c r="F6745" s="116" t="str">
        <f t="shared" si="1"/>
        <v/>
      </c>
      <c r="P6745" s="52"/>
    </row>
    <row r="6746">
      <c r="F6746" s="116" t="str">
        <f t="shared" si="1"/>
        <v/>
      </c>
      <c r="P6746" s="52"/>
    </row>
    <row r="6747">
      <c r="F6747" s="116" t="str">
        <f t="shared" si="1"/>
        <v/>
      </c>
      <c r="P6747" s="52"/>
    </row>
    <row r="6748">
      <c r="F6748" s="116" t="str">
        <f t="shared" si="1"/>
        <v/>
      </c>
      <c r="P6748" s="52"/>
    </row>
    <row r="6749">
      <c r="F6749" s="116" t="str">
        <f t="shared" si="1"/>
        <v/>
      </c>
      <c r="P6749" s="52"/>
    </row>
    <row r="6750">
      <c r="F6750" s="116" t="str">
        <f t="shared" si="1"/>
        <v/>
      </c>
      <c r="P6750" s="52"/>
    </row>
    <row r="6751">
      <c r="F6751" s="116" t="str">
        <f t="shared" si="1"/>
        <v/>
      </c>
      <c r="P6751" s="52"/>
    </row>
    <row r="6752">
      <c r="F6752" s="116" t="str">
        <f t="shared" si="1"/>
        <v/>
      </c>
      <c r="P6752" s="52"/>
    </row>
    <row r="6753">
      <c r="F6753" s="116" t="str">
        <f t="shared" si="1"/>
        <v/>
      </c>
      <c r="P6753" s="52"/>
    </row>
    <row r="6754">
      <c r="F6754" s="116" t="str">
        <f t="shared" si="1"/>
        <v/>
      </c>
      <c r="P6754" s="52"/>
    </row>
    <row r="6755">
      <c r="F6755" s="116" t="str">
        <f t="shared" si="1"/>
        <v/>
      </c>
      <c r="P6755" s="52"/>
    </row>
    <row r="6756">
      <c r="F6756" s="116" t="str">
        <f t="shared" si="1"/>
        <v/>
      </c>
      <c r="P6756" s="52"/>
    </row>
    <row r="6757">
      <c r="F6757" s="116" t="str">
        <f t="shared" si="1"/>
        <v/>
      </c>
      <c r="P6757" s="52"/>
    </row>
    <row r="6758">
      <c r="F6758" s="116" t="str">
        <f t="shared" si="1"/>
        <v/>
      </c>
      <c r="P6758" s="52"/>
    </row>
    <row r="6759">
      <c r="F6759" s="116" t="str">
        <f t="shared" si="1"/>
        <v/>
      </c>
      <c r="P6759" s="52"/>
    </row>
    <row r="6760">
      <c r="F6760" s="116" t="str">
        <f t="shared" si="1"/>
        <v/>
      </c>
      <c r="P6760" s="52"/>
    </row>
    <row r="6761">
      <c r="F6761" s="116" t="str">
        <f t="shared" si="1"/>
        <v/>
      </c>
      <c r="P6761" s="52"/>
    </row>
    <row r="6762">
      <c r="F6762" s="116" t="str">
        <f t="shared" si="1"/>
        <v/>
      </c>
      <c r="P6762" s="52"/>
    </row>
    <row r="6763">
      <c r="F6763" s="116" t="str">
        <f t="shared" si="1"/>
        <v/>
      </c>
      <c r="P6763" s="52"/>
    </row>
    <row r="6764">
      <c r="F6764" s="116" t="str">
        <f t="shared" si="1"/>
        <v/>
      </c>
      <c r="P6764" s="52"/>
    </row>
    <row r="6765">
      <c r="F6765" s="116" t="str">
        <f t="shared" si="1"/>
        <v/>
      </c>
      <c r="P6765" s="52"/>
    </row>
    <row r="6766">
      <c r="F6766" s="116" t="str">
        <f t="shared" si="1"/>
        <v/>
      </c>
      <c r="P6766" s="52"/>
    </row>
    <row r="6767">
      <c r="F6767" s="116" t="str">
        <f t="shared" si="1"/>
        <v/>
      </c>
      <c r="P6767" s="52"/>
    </row>
    <row r="6768">
      <c r="F6768" s="116" t="str">
        <f t="shared" si="1"/>
        <v/>
      </c>
      <c r="P6768" s="52"/>
    </row>
    <row r="6769">
      <c r="F6769" s="116" t="str">
        <f t="shared" si="1"/>
        <v/>
      </c>
      <c r="P6769" s="52"/>
    </row>
    <row r="6770">
      <c r="F6770" s="116" t="str">
        <f t="shared" si="1"/>
        <v/>
      </c>
      <c r="P6770" s="52"/>
    </row>
    <row r="6771">
      <c r="F6771" s="116" t="str">
        <f t="shared" si="1"/>
        <v/>
      </c>
      <c r="P6771" s="52"/>
    </row>
    <row r="6772">
      <c r="F6772" s="116" t="str">
        <f t="shared" si="1"/>
        <v/>
      </c>
      <c r="P6772" s="52"/>
    </row>
    <row r="6773">
      <c r="F6773" s="116" t="str">
        <f t="shared" si="1"/>
        <v/>
      </c>
      <c r="P6773" s="52"/>
    </row>
    <row r="6774">
      <c r="F6774" s="116" t="str">
        <f t="shared" si="1"/>
        <v/>
      </c>
      <c r="P6774" s="52"/>
    </row>
    <row r="6775">
      <c r="F6775" s="116" t="str">
        <f t="shared" si="1"/>
        <v/>
      </c>
      <c r="P6775" s="52"/>
    </row>
    <row r="6776">
      <c r="F6776" s="116" t="str">
        <f t="shared" si="1"/>
        <v/>
      </c>
      <c r="P6776" s="52"/>
    </row>
    <row r="6777">
      <c r="F6777" s="116" t="str">
        <f t="shared" si="1"/>
        <v/>
      </c>
      <c r="P6777" s="52"/>
    </row>
    <row r="6778">
      <c r="F6778" s="116" t="str">
        <f t="shared" si="1"/>
        <v/>
      </c>
      <c r="P6778" s="52"/>
    </row>
    <row r="6779">
      <c r="F6779" s="116" t="str">
        <f t="shared" si="1"/>
        <v/>
      </c>
      <c r="P6779" s="52"/>
    </row>
    <row r="6780">
      <c r="F6780" s="116" t="str">
        <f t="shared" si="1"/>
        <v/>
      </c>
      <c r="P6780" s="52"/>
    </row>
    <row r="6781">
      <c r="F6781" s="116" t="str">
        <f t="shared" si="1"/>
        <v/>
      </c>
      <c r="P6781" s="52"/>
    </row>
    <row r="6782">
      <c r="F6782" s="116" t="str">
        <f t="shared" si="1"/>
        <v/>
      </c>
      <c r="P6782" s="52"/>
    </row>
    <row r="6783">
      <c r="F6783" s="116" t="str">
        <f t="shared" si="1"/>
        <v/>
      </c>
      <c r="P6783" s="52"/>
    </row>
    <row r="6784">
      <c r="F6784" s="116" t="str">
        <f t="shared" si="1"/>
        <v/>
      </c>
      <c r="P6784" s="52"/>
    </row>
    <row r="6785">
      <c r="F6785" s="116" t="str">
        <f t="shared" si="1"/>
        <v/>
      </c>
      <c r="P6785" s="52"/>
    </row>
    <row r="6786">
      <c r="F6786" s="116" t="str">
        <f t="shared" si="1"/>
        <v/>
      </c>
      <c r="P6786" s="52"/>
    </row>
    <row r="6787">
      <c r="F6787" s="116" t="str">
        <f t="shared" si="1"/>
        <v/>
      </c>
      <c r="P6787" s="52"/>
    </row>
    <row r="6788">
      <c r="F6788" s="116" t="str">
        <f t="shared" si="1"/>
        <v/>
      </c>
      <c r="P6788" s="52"/>
    </row>
    <row r="6789">
      <c r="F6789" s="116" t="str">
        <f t="shared" si="1"/>
        <v/>
      </c>
      <c r="P6789" s="52"/>
    </row>
    <row r="6790">
      <c r="F6790" s="116" t="str">
        <f t="shared" si="1"/>
        <v/>
      </c>
      <c r="P6790" s="52"/>
    </row>
    <row r="6791">
      <c r="F6791" s="116" t="str">
        <f t="shared" si="1"/>
        <v/>
      </c>
      <c r="P6791" s="52"/>
    </row>
    <row r="6792">
      <c r="F6792" s="116" t="str">
        <f t="shared" si="1"/>
        <v/>
      </c>
      <c r="P6792" s="52"/>
    </row>
    <row r="6793">
      <c r="F6793" s="116" t="str">
        <f t="shared" si="1"/>
        <v/>
      </c>
      <c r="P6793" s="52"/>
    </row>
    <row r="6794">
      <c r="F6794" s="116" t="str">
        <f t="shared" si="1"/>
        <v/>
      </c>
      <c r="P6794" s="52"/>
    </row>
    <row r="6795">
      <c r="F6795" s="116" t="str">
        <f t="shared" si="1"/>
        <v/>
      </c>
      <c r="P6795" s="52"/>
    </row>
    <row r="6796">
      <c r="F6796" s="116" t="str">
        <f t="shared" si="1"/>
        <v/>
      </c>
      <c r="P6796" s="52"/>
    </row>
    <row r="6797">
      <c r="F6797" s="116" t="str">
        <f t="shared" si="1"/>
        <v/>
      </c>
      <c r="P6797" s="52"/>
    </row>
    <row r="6798">
      <c r="F6798" s="116" t="str">
        <f t="shared" si="1"/>
        <v/>
      </c>
      <c r="P6798" s="52"/>
    </row>
    <row r="6799">
      <c r="F6799" s="116" t="str">
        <f t="shared" si="1"/>
        <v/>
      </c>
      <c r="P6799" s="52"/>
    </row>
    <row r="6800">
      <c r="F6800" s="116" t="str">
        <f t="shared" si="1"/>
        <v/>
      </c>
      <c r="P6800" s="52"/>
    </row>
    <row r="6801">
      <c r="F6801" s="116" t="str">
        <f t="shared" si="1"/>
        <v/>
      </c>
      <c r="P6801" s="52"/>
    </row>
    <row r="6802">
      <c r="F6802" s="116" t="str">
        <f t="shared" si="1"/>
        <v/>
      </c>
      <c r="P6802" s="52"/>
    </row>
    <row r="6803">
      <c r="F6803" s="116" t="str">
        <f t="shared" si="1"/>
        <v/>
      </c>
      <c r="P6803" s="52"/>
    </row>
    <row r="6804">
      <c r="F6804" s="116" t="str">
        <f t="shared" si="1"/>
        <v/>
      </c>
      <c r="P6804" s="52"/>
    </row>
    <row r="6805">
      <c r="F6805" s="116" t="str">
        <f t="shared" si="1"/>
        <v/>
      </c>
      <c r="P6805" s="52"/>
    </row>
    <row r="6806">
      <c r="F6806" s="116" t="str">
        <f t="shared" si="1"/>
        <v/>
      </c>
      <c r="P6806" s="52"/>
    </row>
    <row r="6807">
      <c r="F6807" s="116" t="str">
        <f t="shared" si="1"/>
        <v/>
      </c>
      <c r="P6807" s="52"/>
    </row>
    <row r="6808">
      <c r="F6808" s="116" t="str">
        <f t="shared" si="1"/>
        <v/>
      </c>
      <c r="P6808" s="52"/>
    </row>
    <row r="6809">
      <c r="F6809" s="116" t="str">
        <f t="shared" si="1"/>
        <v/>
      </c>
      <c r="P6809" s="52"/>
    </row>
    <row r="6810">
      <c r="F6810" s="116" t="str">
        <f t="shared" si="1"/>
        <v/>
      </c>
      <c r="P6810" s="52"/>
    </row>
    <row r="6811">
      <c r="F6811" s="116" t="str">
        <f t="shared" si="1"/>
        <v/>
      </c>
      <c r="P6811" s="52"/>
    </row>
    <row r="6812">
      <c r="F6812" s="116" t="str">
        <f t="shared" si="1"/>
        <v/>
      </c>
      <c r="P6812" s="52"/>
    </row>
    <row r="6813">
      <c r="F6813" s="116" t="str">
        <f t="shared" si="1"/>
        <v/>
      </c>
      <c r="P6813" s="52"/>
    </row>
    <row r="6814">
      <c r="F6814" s="116" t="str">
        <f t="shared" si="1"/>
        <v/>
      </c>
      <c r="P6814" s="52"/>
    </row>
    <row r="6815">
      <c r="F6815" s="116" t="str">
        <f t="shared" si="1"/>
        <v/>
      </c>
      <c r="P6815" s="52"/>
    </row>
    <row r="6816">
      <c r="F6816" s="116" t="str">
        <f t="shared" si="1"/>
        <v/>
      </c>
      <c r="P6816" s="52"/>
    </row>
    <row r="6817">
      <c r="F6817" s="116" t="str">
        <f t="shared" si="1"/>
        <v/>
      </c>
      <c r="P6817" s="52"/>
    </row>
    <row r="6818">
      <c r="F6818" s="116" t="str">
        <f t="shared" si="1"/>
        <v/>
      </c>
      <c r="P6818" s="52"/>
    </row>
    <row r="6819">
      <c r="F6819" s="116" t="str">
        <f t="shared" si="1"/>
        <v/>
      </c>
      <c r="P6819" s="52"/>
    </row>
    <row r="6820">
      <c r="F6820" s="116" t="str">
        <f t="shared" si="1"/>
        <v/>
      </c>
      <c r="P6820" s="52"/>
    </row>
    <row r="6821">
      <c r="F6821" s="116" t="str">
        <f t="shared" si="1"/>
        <v/>
      </c>
      <c r="P6821" s="52"/>
    </row>
    <row r="6822">
      <c r="F6822" s="116" t="str">
        <f t="shared" si="1"/>
        <v/>
      </c>
      <c r="P6822" s="52"/>
    </row>
    <row r="6823">
      <c r="F6823" s="116" t="str">
        <f t="shared" si="1"/>
        <v/>
      </c>
      <c r="P6823" s="52"/>
    </row>
    <row r="6824">
      <c r="F6824" s="116" t="str">
        <f t="shared" si="1"/>
        <v/>
      </c>
      <c r="P6824" s="52"/>
    </row>
    <row r="6825">
      <c r="F6825" s="116" t="str">
        <f t="shared" si="1"/>
        <v/>
      </c>
      <c r="P6825" s="52"/>
    </row>
    <row r="6826">
      <c r="F6826" s="116" t="str">
        <f t="shared" si="1"/>
        <v/>
      </c>
      <c r="P6826" s="52"/>
    </row>
    <row r="6827">
      <c r="F6827" s="116" t="str">
        <f t="shared" si="1"/>
        <v/>
      </c>
      <c r="P6827" s="52"/>
    </row>
    <row r="6828">
      <c r="F6828" s="116" t="str">
        <f t="shared" si="1"/>
        <v/>
      </c>
      <c r="P6828" s="52"/>
    </row>
    <row r="6829">
      <c r="F6829" s="116" t="str">
        <f t="shared" si="1"/>
        <v/>
      </c>
      <c r="P6829" s="52"/>
    </row>
    <row r="6830">
      <c r="F6830" s="116" t="str">
        <f t="shared" si="1"/>
        <v/>
      </c>
      <c r="P6830" s="52"/>
    </row>
    <row r="6831">
      <c r="F6831" s="116" t="str">
        <f t="shared" si="1"/>
        <v/>
      </c>
      <c r="P6831" s="52"/>
    </row>
    <row r="6832">
      <c r="F6832" s="116" t="str">
        <f t="shared" si="1"/>
        <v/>
      </c>
      <c r="P6832" s="52"/>
    </row>
    <row r="6833">
      <c r="F6833" s="116" t="str">
        <f t="shared" si="1"/>
        <v/>
      </c>
      <c r="P6833" s="52"/>
    </row>
    <row r="6834">
      <c r="F6834" s="116" t="str">
        <f t="shared" si="1"/>
        <v/>
      </c>
      <c r="P6834" s="52"/>
    </row>
    <row r="6835">
      <c r="F6835" s="116" t="str">
        <f t="shared" si="1"/>
        <v/>
      </c>
      <c r="P6835" s="52"/>
    </row>
    <row r="6836">
      <c r="F6836" s="116" t="str">
        <f t="shared" si="1"/>
        <v/>
      </c>
      <c r="P6836" s="52"/>
    </row>
    <row r="6837">
      <c r="F6837" s="116" t="str">
        <f t="shared" si="1"/>
        <v/>
      </c>
      <c r="P6837" s="52"/>
    </row>
    <row r="6838">
      <c r="F6838" s="116" t="str">
        <f t="shared" si="1"/>
        <v/>
      </c>
      <c r="P6838" s="52"/>
    </row>
    <row r="6839">
      <c r="F6839" s="116" t="str">
        <f t="shared" si="1"/>
        <v/>
      </c>
      <c r="P6839" s="52"/>
    </row>
    <row r="6840">
      <c r="F6840" s="116" t="str">
        <f t="shared" si="1"/>
        <v/>
      </c>
      <c r="P6840" s="52"/>
    </row>
    <row r="6841">
      <c r="F6841" s="116" t="str">
        <f t="shared" si="1"/>
        <v/>
      </c>
      <c r="P6841" s="52"/>
    </row>
    <row r="6842">
      <c r="F6842" s="116" t="str">
        <f t="shared" si="1"/>
        <v/>
      </c>
      <c r="P6842" s="52"/>
    </row>
    <row r="6843">
      <c r="F6843" s="116" t="str">
        <f t="shared" si="1"/>
        <v/>
      </c>
      <c r="P6843" s="52"/>
    </row>
    <row r="6844">
      <c r="F6844" s="116" t="str">
        <f t="shared" si="1"/>
        <v/>
      </c>
      <c r="P6844" s="52"/>
    </row>
    <row r="6845">
      <c r="F6845" s="116" t="str">
        <f t="shared" si="1"/>
        <v/>
      </c>
      <c r="P6845" s="52"/>
    </row>
    <row r="6846">
      <c r="F6846" s="116" t="str">
        <f t="shared" si="1"/>
        <v/>
      </c>
      <c r="P6846" s="52"/>
    </row>
    <row r="6847">
      <c r="F6847" s="116" t="str">
        <f t="shared" si="1"/>
        <v/>
      </c>
      <c r="P6847" s="52"/>
    </row>
    <row r="6848">
      <c r="F6848" s="116" t="str">
        <f t="shared" si="1"/>
        <v/>
      </c>
      <c r="P6848" s="52"/>
    </row>
    <row r="6849">
      <c r="F6849" s="116" t="str">
        <f t="shared" si="1"/>
        <v/>
      </c>
      <c r="P6849" s="52"/>
    </row>
    <row r="6850">
      <c r="F6850" s="116" t="str">
        <f t="shared" si="1"/>
        <v/>
      </c>
      <c r="P6850" s="52"/>
    </row>
    <row r="6851">
      <c r="F6851" s="116" t="str">
        <f t="shared" si="1"/>
        <v/>
      </c>
      <c r="P6851" s="52"/>
    </row>
    <row r="6852">
      <c r="F6852" s="116" t="str">
        <f t="shared" si="1"/>
        <v/>
      </c>
      <c r="P6852" s="52"/>
    </row>
    <row r="6853">
      <c r="F6853" s="116" t="str">
        <f t="shared" si="1"/>
        <v/>
      </c>
      <c r="P6853" s="52"/>
    </row>
    <row r="6854">
      <c r="F6854" s="116" t="str">
        <f t="shared" si="1"/>
        <v/>
      </c>
      <c r="P6854" s="52"/>
    </row>
    <row r="6855">
      <c r="F6855" s="116" t="str">
        <f t="shared" si="1"/>
        <v/>
      </c>
      <c r="P6855" s="52"/>
    </row>
    <row r="6856">
      <c r="F6856" s="116" t="str">
        <f t="shared" si="1"/>
        <v/>
      </c>
      <c r="P6856" s="52"/>
    </row>
    <row r="6857">
      <c r="F6857" s="116" t="str">
        <f t="shared" si="1"/>
        <v/>
      </c>
      <c r="P6857" s="52"/>
    </row>
    <row r="6858">
      <c r="F6858" s="116" t="str">
        <f t="shared" si="1"/>
        <v/>
      </c>
      <c r="P6858" s="52"/>
    </row>
    <row r="6859">
      <c r="F6859" s="116" t="str">
        <f t="shared" si="1"/>
        <v/>
      </c>
      <c r="P6859" s="52"/>
    </row>
    <row r="6860">
      <c r="F6860" s="116" t="str">
        <f t="shared" si="1"/>
        <v/>
      </c>
      <c r="P6860" s="52"/>
    </row>
    <row r="6861">
      <c r="F6861" s="116" t="str">
        <f t="shared" si="1"/>
        <v/>
      </c>
      <c r="P6861" s="52"/>
    </row>
    <row r="6862">
      <c r="F6862" s="116" t="str">
        <f t="shared" si="1"/>
        <v/>
      </c>
      <c r="P6862" s="52"/>
    </row>
    <row r="6863">
      <c r="F6863" s="116" t="str">
        <f t="shared" si="1"/>
        <v/>
      </c>
      <c r="P6863" s="52"/>
    </row>
    <row r="6864">
      <c r="F6864" s="116" t="str">
        <f t="shared" si="1"/>
        <v/>
      </c>
      <c r="P6864" s="52"/>
    </row>
    <row r="6865">
      <c r="F6865" s="116" t="str">
        <f t="shared" si="1"/>
        <v/>
      </c>
      <c r="P6865" s="52"/>
    </row>
    <row r="6866">
      <c r="F6866" s="116" t="str">
        <f t="shared" si="1"/>
        <v/>
      </c>
      <c r="P6866" s="52"/>
    </row>
    <row r="6867">
      <c r="F6867" s="116" t="str">
        <f t="shared" si="1"/>
        <v/>
      </c>
      <c r="P6867" s="52"/>
    </row>
    <row r="6868">
      <c r="F6868" s="116" t="str">
        <f t="shared" si="1"/>
        <v/>
      </c>
      <c r="P6868" s="52"/>
    </row>
    <row r="6869">
      <c r="F6869" s="116" t="str">
        <f t="shared" si="1"/>
        <v/>
      </c>
      <c r="P6869" s="52"/>
    </row>
    <row r="6870">
      <c r="F6870" s="116" t="str">
        <f t="shared" si="1"/>
        <v/>
      </c>
      <c r="P6870" s="52"/>
    </row>
    <row r="6871">
      <c r="F6871" s="116" t="str">
        <f t="shared" si="1"/>
        <v/>
      </c>
      <c r="P6871" s="52"/>
    </row>
    <row r="6872">
      <c r="F6872" s="116" t="str">
        <f t="shared" si="1"/>
        <v/>
      </c>
      <c r="P6872" s="52"/>
    </row>
    <row r="6873">
      <c r="F6873" s="116" t="str">
        <f t="shared" si="1"/>
        <v/>
      </c>
      <c r="P6873" s="52"/>
    </row>
    <row r="6874">
      <c r="F6874" s="116" t="str">
        <f t="shared" si="1"/>
        <v/>
      </c>
      <c r="P6874" s="52"/>
    </row>
    <row r="6875">
      <c r="F6875" s="116" t="str">
        <f t="shared" si="1"/>
        <v/>
      </c>
      <c r="P6875" s="52"/>
    </row>
    <row r="6876">
      <c r="F6876" s="116" t="str">
        <f t="shared" si="1"/>
        <v/>
      </c>
      <c r="P6876" s="52"/>
    </row>
    <row r="6877">
      <c r="F6877" s="116" t="str">
        <f t="shared" si="1"/>
        <v/>
      </c>
      <c r="P6877" s="52"/>
    </row>
    <row r="6878">
      <c r="F6878" s="116" t="str">
        <f t="shared" si="1"/>
        <v/>
      </c>
      <c r="P6878" s="52"/>
    </row>
    <row r="6879">
      <c r="F6879" s="116" t="str">
        <f t="shared" si="1"/>
        <v/>
      </c>
      <c r="P6879" s="52"/>
    </row>
    <row r="6880">
      <c r="F6880" s="116" t="str">
        <f t="shared" si="1"/>
        <v/>
      </c>
      <c r="P6880" s="52"/>
    </row>
    <row r="6881">
      <c r="F6881" s="116" t="str">
        <f t="shared" si="1"/>
        <v/>
      </c>
      <c r="P6881" s="52"/>
    </row>
    <row r="6882">
      <c r="F6882" s="116" t="str">
        <f t="shared" si="1"/>
        <v/>
      </c>
      <c r="P6882" s="52"/>
    </row>
    <row r="6883">
      <c r="F6883" s="116" t="str">
        <f t="shared" si="1"/>
        <v/>
      </c>
      <c r="P6883" s="52"/>
    </row>
    <row r="6884">
      <c r="F6884" s="116" t="str">
        <f t="shared" si="1"/>
        <v/>
      </c>
      <c r="P6884" s="52"/>
    </row>
    <row r="6885">
      <c r="F6885" s="116" t="str">
        <f t="shared" si="1"/>
        <v/>
      </c>
      <c r="P6885" s="52"/>
    </row>
    <row r="6886">
      <c r="F6886" s="116" t="str">
        <f t="shared" si="1"/>
        <v/>
      </c>
      <c r="P6886" s="52"/>
    </row>
    <row r="6887">
      <c r="F6887" s="116" t="str">
        <f t="shared" si="1"/>
        <v/>
      </c>
      <c r="P6887" s="52"/>
    </row>
    <row r="6888">
      <c r="F6888" s="116" t="str">
        <f t="shared" si="1"/>
        <v/>
      </c>
      <c r="P6888" s="52"/>
    </row>
    <row r="6889">
      <c r="F6889" s="116" t="str">
        <f t="shared" si="1"/>
        <v/>
      </c>
      <c r="P6889" s="52"/>
    </row>
    <row r="6890">
      <c r="F6890" s="116" t="str">
        <f t="shared" si="1"/>
        <v/>
      </c>
      <c r="P6890" s="52"/>
    </row>
    <row r="6891">
      <c r="F6891" s="116" t="str">
        <f t="shared" si="1"/>
        <v/>
      </c>
      <c r="P6891" s="52"/>
    </row>
    <row r="6892">
      <c r="F6892" s="116" t="str">
        <f t="shared" si="1"/>
        <v/>
      </c>
      <c r="P6892" s="52"/>
    </row>
    <row r="6893">
      <c r="F6893" s="116" t="str">
        <f t="shared" si="1"/>
        <v/>
      </c>
      <c r="P6893" s="52"/>
    </row>
    <row r="6894">
      <c r="F6894" s="116" t="str">
        <f t="shared" si="1"/>
        <v/>
      </c>
      <c r="P6894" s="52"/>
    </row>
    <row r="6895">
      <c r="F6895" s="116" t="str">
        <f t="shared" si="1"/>
        <v/>
      </c>
      <c r="P6895" s="52"/>
    </row>
    <row r="6896">
      <c r="F6896" s="116" t="str">
        <f t="shared" si="1"/>
        <v/>
      </c>
      <c r="P6896" s="52"/>
    </row>
    <row r="6897">
      <c r="F6897" s="116" t="str">
        <f t="shared" si="1"/>
        <v/>
      </c>
      <c r="P6897" s="52"/>
    </row>
    <row r="6898">
      <c r="F6898" s="116" t="str">
        <f t="shared" si="1"/>
        <v/>
      </c>
      <c r="P6898" s="52"/>
    </row>
    <row r="6899">
      <c r="F6899" s="116" t="str">
        <f t="shared" si="1"/>
        <v/>
      </c>
      <c r="P6899" s="52"/>
    </row>
    <row r="6900">
      <c r="F6900" s="116" t="str">
        <f t="shared" si="1"/>
        <v/>
      </c>
      <c r="P6900" s="52"/>
    </row>
    <row r="6901">
      <c r="F6901" s="116" t="str">
        <f t="shared" si="1"/>
        <v/>
      </c>
      <c r="P6901" s="52"/>
    </row>
    <row r="6902">
      <c r="F6902" s="116" t="str">
        <f t="shared" si="1"/>
        <v/>
      </c>
      <c r="P6902" s="52"/>
    </row>
    <row r="6903">
      <c r="F6903" s="116" t="str">
        <f t="shared" si="1"/>
        <v/>
      </c>
      <c r="P6903" s="52"/>
    </row>
    <row r="6904">
      <c r="F6904" s="116" t="str">
        <f t="shared" si="1"/>
        <v/>
      </c>
      <c r="P6904" s="52"/>
    </row>
    <row r="6905">
      <c r="F6905" s="116" t="str">
        <f t="shared" si="1"/>
        <v/>
      </c>
      <c r="P6905" s="52"/>
    </row>
    <row r="6906">
      <c r="F6906" s="116" t="str">
        <f t="shared" si="1"/>
        <v/>
      </c>
      <c r="P6906" s="52"/>
    </row>
    <row r="6907">
      <c r="F6907" s="116" t="str">
        <f t="shared" si="1"/>
        <v/>
      </c>
      <c r="P6907" s="52"/>
    </row>
    <row r="6908">
      <c r="F6908" s="116" t="str">
        <f t="shared" si="1"/>
        <v/>
      </c>
      <c r="P6908" s="52"/>
    </row>
    <row r="6909">
      <c r="F6909" s="116" t="str">
        <f t="shared" si="1"/>
        <v/>
      </c>
      <c r="P6909" s="52"/>
    </row>
    <row r="6910">
      <c r="F6910" s="116" t="str">
        <f t="shared" si="1"/>
        <v/>
      </c>
      <c r="P6910" s="52"/>
    </row>
    <row r="6911">
      <c r="F6911" s="116" t="str">
        <f t="shared" si="1"/>
        <v/>
      </c>
      <c r="P6911" s="52"/>
    </row>
    <row r="6912">
      <c r="F6912" s="116" t="str">
        <f t="shared" si="1"/>
        <v/>
      </c>
      <c r="P6912" s="52"/>
    </row>
    <row r="6913">
      <c r="F6913" s="116" t="str">
        <f t="shared" si="1"/>
        <v/>
      </c>
      <c r="P6913" s="52"/>
    </row>
    <row r="6914">
      <c r="F6914" s="116" t="str">
        <f t="shared" si="1"/>
        <v/>
      </c>
      <c r="P6914" s="52"/>
    </row>
    <row r="6915">
      <c r="F6915" s="116" t="str">
        <f t="shared" si="1"/>
        <v/>
      </c>
      <c r="P6915" s="52"/>
    </row>
    <row r="6916">
      <c r="F6916" s="116" t="str">
        <f t="shared" si="1"/>
        <v/>
      </c>
      <c r="P6916" s="52"/>
    </row>
    <row r="6917">
      <c r="F6917" s="116" t="str">
        <f t="shared" si="1"/>
        <v/>
      </c>
      <c r="P6917" s="52"/>
    </row>
    <row r="6918">
      <c r="F6918" s="116" t="str">
        <f t="shared" si="1"/>
        <v/>
      </c>
      <c r="P6918" s="52"/>
    </row>
    <row r="6919">
      <c r="F6919" s="116" t="str">
        <f t="shared" si="1"/>
        <v/>
      </c>
      <c r="P6919" s="52"/>
    </row>
    <row r="6920">
      <c r="F6920" s="116" t="str">
        <f t="shared" si="1"/>
        <v/>
      </c>
      <c r="P6920" s="52"/>
    </row>
    <row r="6921">
      <c r="F6921" s="116" t="str">
        <f t="shared" si="1"/>
        <v/>
      </c>
      <c r="P6921" s="52"/>
    </row>
    <row r="6922">
      <c r="F6922" s="116" t="str">
        <f t="shared" si="1"/>
        <v/>
      </c>
      <c r="P6922" s="52"/>
    </row>
    <row r="6923">
      <c r="F6923" s="116" t="str">
        <f t="shared" si="1"/>
        <v/>
      </c>
      <c r="P6923" s="52"/>
    </row>
    <row r="6924">
      <c r="F6924" s="116" t="str">
        <f t="shared" si="1"/>
        <v/>
      </c>
      <c r="P6924" s="52"/>
    </row>
    <row r="6925">
      <c r="F6925" s="116" t="str">
        <f t="shared" si="1"/>
        <v/>
      </c>
      <c r="P6925" s="52"/>
    </row>
    <row r="6926">
      <c r="F6926" s="116" t="str">
        <f t="shared" si="1"/>
        <v/>
      </c>
      <c r="P6926" s="52"/>
    </row>
    <row r="6927">
      <c r="F6927" s="116" t="str">
        <f t="shared" si="1"/>
        <v/>
      </c>
      <c r="P6927" s="52"/>
    </row>
    <row r="6928">
      <c r="F6928" s="116" t="str">
        <f t="shared" si="1"/>
        <v/>
      </c>
      <c r="P6928" s="52"/>
    </row>
    <row r="6929">
      <c r="F6929" s="116" t="str">
        <f t="shared" si="1"/>
        <v/>
      </c>
      <c r="P6929" s="52"/>
    </row>
    <row r="6930">
      <c r="F6930" s="116" t="str">
        <f t="shared" si="1"/>
        <v/>
      </c>
      <c r="P6930" s="52"/>
    </row>
    <row r="6931">
      <c r="F6931" s="116" t="str">
        <f t="shared" si="1"/>
        <v/>
      </c>
      <c r="P6931" s="52"/>
    </row>
    <row r="6932">
      <c r="F6932" s="116" t="str">
        <f t="shared" si="1"/>
        <v/>
      </c>
      <c r="P6932" s="52"/>
    </row>
    <row r="6933">
      <c r="F6933" s="116" t="str">
        <f t="shared" si="1"/>
        <v/>
      </c>
      <c r="P6933" s="52"/>
    </row>
    <row r="6934">
      <c r="F6934" s="116" t="str">
        <f t="shared" si="1"/>
        <v/>
      </c>
      <c r="P6934" s="52"/>
    </row>
    <row r="6935">
      <c r="F6935" s="116" t="str">
        <f t="shared" si="1"/>
        <v/>
      </c>
      <c r="P6935" s="52"/>
    </row>
    <row r="6936">
      <c r="F6936" s="116" t="str">
        <f t="shared" si="1"/>
        <v/>
      </c>
      <c r="P6936" s="52"/>
    </row>
    <row r="6937">
      <c r="F6937" s="116" t="str">
        <f t="shared" si="1"/>
        <v/>
      </c>
      <c r="P6937" s="52"/>
    </row>
    <row r="6938">
      <c r="F6938" s="116" t="str">
        <f t="shared" si="1"/>
        <v/>
      </c>
      <c r="P6938" s="52"/>
    </row>
    <row r="6939">
      <c r="F6939" s="116" t="str">
        <f t="shared" si="1"/>
        <v/>
      </c>
      <c r="P6939" s="52"/>
    </row>
    <row r="6940">
      <c r="F6940" s="116" t="str">
        <f t="shared" si="1"/>
        <v/>
      </c>
      <c r="P6940" s="52"/>
    </row>
    <row r="6941">
      <c r="F6941" s="116" t="str">
        <f t="shared" si="1"/>
        <v/>
      </c>
      <c r="P6941" s="52"/>
    </row>
    <row r="6942">
      <c r="F6942" s="116" t="str">
        <f t="shared" si="1"/>
        <v/>
      </c>
      <c r="P6942" s="52"/>
    </row>
    <row r="6943">
      <c r="F6943" s="116" t="str">
        <f t="shared" si="1"/>
        <v/>
      </c>
      <c r="P6943" s="52"/>
    </row>
    <row r="6944">
      <c r="F6944" s="116" t="str">
        <f t="shared" si="1"/>
        <v/>
      </c>
      <c r="P6944" s="52"/>
    </row>
    <row r="6945">
      <c r="F6945" s="116" t="str">
        <f t="shared" si="1"/>
        <v/>
      </c>
      <c r="P6945" s="52"/>
    </row>
    <row r="6946">
      <c r="F6946" s="116" t="str">
        <f t="shared" si="1"/>
        <v/>
      </c>
      <c r="P6946" s="52"/>
    </row>
    <row r="6947">
      <c r="F6947" s="116" t="str">
        <f t="shared" si="1"/>
        <v/>
      </c>
      <c r="P6947" s="52"/>
    </row>
    <row r="6948">
      <c r="F6948" s="116" t="str">
        <f t="shared" si="1"/>
        <v/>
      </c>
      <c r="P6948" s="52"/>
    </row>
    <row r="6949">
      <c r="F6949" s="116" t="str">
        <f t="shared" si="1"/>
        <v/>
      </c>
      <c r="P6949" s="52"/>
    </row>
    <row r="6950">
      <c r="F6950" s="116" t="str">
        <f t="shared" si="1"/>
        <v/>
      </c>
      <c r="P6950" s="52"/>
    </row>
    <row r="6951">
      <c r="F6951" s="116" t="str">
        <f t="shared" si="1"/>
        <v/>
      </c>
      <c r="P6951" s="52"/>
    </row>
    <row r="6952">
      <c r="F6952" s="116" t="str">
        <f t="shared" si="1"/>
        <v/>
      </c>
      <c r="P6952" s="52"/>
    </row>
    <row r="6953">
      <c r="F6953" s="116" t="str">
        <f t="shared" si="1"/>
        <v/>
      </c>
      <c r="P6953" s="52"/>
    </row>
    <row r="6954">
      <c r="F6954" s="116" t="str">
        <f t="shared" si="1"/>
        <v/>
      </c>
      <c r="P6954" s="52"/>
    </row>
    <row r="6955">
      <c r="F6955" s="116" t="str">
        <f t="shared" si="1"/>
        <v/>
      </c>
      <c r="P6955" s="52"/>
    </row>
    <row r="6956">
      <c r="F6956" s="116" t="str">
        <f t="shared" si="1"/>
        <v/>
      </c>
      <c r="P6956" s="52"/>
    </row>
    <row r="6957">
      <c r="F6957" s="116" t="str">
        <f t="shared" si="1"/>
        <v/>
      </c>
      <c r="P6957" s="52"/>
    </row>
    <row r="6958">
      <c r="F6958" s="116" t="str">
        <f t="shared" si="1"/>
        <v/>
      </c>
      <c r="P6958" s="52"/>
    </row>
    <row r="6959">
      <c r="F6959" s="116" t="str">
        <f t="shared" si="1"/>
        <v/>
      </c>
      <c r="P6959" s="52"/>
    </row>
    <row r="6960">
      <c r="F6960" s="116" t="str">
        <f t="shared" si="1"/>
        <v/>
      </c>
      <c r="P6960" s="52"/>
    </row>
    <row r="6961">
      <c r="F6961" s="116" t="str">
        <f t="shared" si="1"/>
        <v/>
      </c>
      <c r="P6961" s="52"/>
    </row>
    <row r="6962">
      <c r="F6962" s="116" t="str">
        <f t="shared" si="1"/>
        <v/>
      </c>
      <c r="P6962" s="52"/>
    </row>
    <row r="6963">
      <c r="F6963" s="116" t="str">
        <f t="shared" si="1"/>
        <v/>
      </c>
      <c r="P6963" s="52"/>
    </row>
    <row r="6964">
      <c r="F6964" s="116" t="str">
        <f t="shared" si="1"/>
        <v/>
      </c>
      <c r="P6964" s="52"/>
    </row>
    <row r="6965">
      <c r="F6965" s="116" t="str">
        <f t="shared" si="1"/>
        <v/>
      </c>
      <c r="P6965" s="52"/>
    </row>
    <row r="6966">
      <c r="F6966" s="116" t="str">
        <f t="shared" si="1"/>
        <v/>
      </c>
      <c r="P6966" s="52"/>
    </row>
    <row r="6967">
      <c r="F6967" s="116" t="str">
        <f t="shared" si="1"/>
        <v/>
      </c>
      <c r="P6967" s="52"/>
    </row>
    <row r="6968">
      <c r="F6968" s="116" t="str">
        <f t="shared" si="1"/>
        <v/>
      </c>
      <c r="P6968" s="52"/>
    </row>
    <row r="6969">
      <c r="F6969" s="116" t="str">
        <f t="shared" si="1"/>
        <v/>
      </c>
      <c r="P6969" s="52"/>
    </row>
    <row r="6970">
      <c r="F6970" s="116" t="str">
        <f t="shared" si="1"/>
        <v/>
      </c>
      <c r="P6970" s="52"/>
    </row>
    <row r="6971">
      <c r="F6971" s="116" t="str">
        <f t="shared" si="1"/>
        <v/>
      </c>
      <c r="P6971" s="52"/>
    </row>
    <row r="6972">
      <c r="F6972" s="116" t="str">
        <f t="shared" si="1"/>
        <v/>
      </c>
      <c r="P6972" s="52"/>
    </row>
    <row r="6973">
      <c r="F6973" s="116" t="str">
        <f t="shared" si="1"/>
        <v/>
      </c>
      <c r="P6973" s="52"/>
    </row>
    <row r="6974">
      <c r="F6974" s="116" t="str">
        <f t="shared" si="1"/>
        <v/>
      </c>
      <c r="P6974" s="52"/>
    </row>
    <row r="6975">
      <c r="F6975" s="116" t="str">
        <f t="shared" si="1"/>
        <v/>
      </c>
      <c r="P6975" s="52"/>
    </row>
    <row r="6976">
      <c r="F6976" s="116" t="str">
        <f t="shared" si="1"/>
        <v/>
      </c>
      <c r="P6976" s="52"/>
    </row>
    <row r="6977">
      <c r="F6977" s="116" t="str">
        <f t="shared" si="1"/>
        <v/>
      </c>
      <c r="P6977" s="52"/>
    </row>
    <row r="6978">
      <c r="F6978" s="116" t="str">
        <f t="shared" si="1"/>
        <v/>
      </c>
      <c r="P6978" s="52"/>
    </row>
    <row r="6979">
      <c r="F6979" s="116" t="str">
        <f t="shared" si="1"/>
        <v/>
      </c>
      <c r="P6979" s="52"/>
    </row>
    <row r="6980">
      <c r="F6980" s="116" t="str">
        <f t="shared" si="1"/>
        <v/>
      </c>
      <c r="P6980" s="52"/>
    </row>
    <row r="6981">
      <c r="F6981" s="116" t="str">
        <f t="shared" si="1"/>
        <v/>
      </c>
      <c r="P6981" s="52"/>
    </row>
    <row r="6982">
      <c r="F6982" s="116" t="str">
        <f t="shared" si="1"/>
        <v/>
      </c>
      <c r="P6982" s="52"/>
    </row>
    <row r="6983">
      <c r="F6983" s="116" t="str">
        <f t="shared" si="1"/>
        <v/>
      </c>
      <c r="P6983" s="52"/>
    </row>
    <row r="6984">
      <c r="F6984" s="116" t="str">
        <f t="shared" si="1"/>
        <v/>
      </c>
      <c r="P6984" s="52"/>
    </row>
    <row r="6985">
      <c r="F6985" s="116" t="str">
        <f t="shared" si="1"/>
        <v/>
      </c>
      <c r="P6985" s="52"/>
    </row>
    <row r="6986">
      <c r="F6986" s="116" t="str">
        <f t="shared" si="1"/>
        <v/>
      </c>
      <c r="P6986" s="52"/>
    </row>
    <row r="6987">
      <c r="F6987" s="116" t="str">
        <f t="shared" si="1"/>
        <v/>
      </c>
      <c r="P6987" s="52"/>
    </row>
    <row r="6988">
      <c r="F6988" s="116" t="str">
        <f t="shared" si="1"/>
        <v/>
      </c>
      <c r="P6988" s="52"/>
    </row>
    <row r="6989">
      <c r="F6989" s="116" t="str">
        <f t="shared" si="1"/>
        <v/>
      </c>
      <c r="P6989" s="52"/>
    </row>
    <row r="6990">
      <c r="F6990" s="116" t="str">
        <f t="shared" si="1"/>
        <v/>
      </c>
      <c r="P6990" s="52"/>
    </row>
    <row r="6991">
      <c r="F6991" s="116" t="str">
        <f t="shared" si="1"/>
        <v/>
      </c>
      <c r="P6991" s="52"/>
    </row>
    <row r="6992">
      <c r="F6992" s="116" t="str">
        <f t="shared" si="1"/>
        <v/>
      </c>
      <c r="P6992" s="52"/>
    </row>
    <row r="6993">
      <c r="F6993" s="116" t="str">
        <f t="shared" si="1"/>
        <v/>
      </c>
      <c r="P6993" s="52"/>
    </row>
    <row r="6994">
      <c r="F6994" s="116" t="str">
        <f t="shared" si="1"/>
        <v/>
      </c>
      <c r="P6994" s="52"/>
    </row>
    <row r="6995">
      <c r="F6995" s="116" t="str">
        <f t="shared" si="1"/>
        <v/>
      </c>
      <c r="P6995" s="52"/>
    </row>
    <row r="6996">
      <c r="F6996" s="116" t="str">
        <f t="shared" si="1"/>
        <v/>
      </c>
      <c r="P6996" s="52"/>
    </row>
    <row r="6997">
      <c r="F6997" s="116" t="str">
        <f t="shared" si="1"/>
        <v/>
      </c>
      <c r="P6997" s="52"/>
    </row>
    <row r="6998">
      <c r="F6998" s="116" t="str">
        <f t="shared" si="1"/>
        <v/>
      </c>
      <c r="P6998" s="52"/>
    </row>
    <row r="6999">
      <c r="F6999" s="116" t="str">
        <f t="shared" si="1"/>
        <v/>
      </c>
      <c r="P6999" s="52"/>
    </row>
    <row r="7000">
      <c r="F7000" s="116" t="str">
        <f t="shared" si="1"/>
        <v/>
      </c>
      <c r="P7000" s="52"/>
    </row>
    <row r="7001">
      <c r="F7001" s="116" t="str">
        <f t="shared" si="1"/>
        <v/>
      </c>
      <c r="P7001" s="52"/>
    </row>
    <row r="7002">
      <c r="F7002" s="116" t="str">
        <f t="shared" si="1"/>
        <v/>
      </c>
      <c r="P7002" s="52"/>
    </row>
    <row r="7003">
      <c r="F7003" s="116" t="str">
        <f t="shared" si="1"/>
        <v/>
      </c>
      <c r="P7003" s="52"/>
    </row>
    <row r="7004">
      <c r="F7004" s="116" t="str">
        <f t="shared" si="1"/>
        <v/>
      </c>
      <c r="P7004" s="52"/>
    </row>
    <row r="7005">
      <c r="F7005" s="116" t="str">
        <f t="shared" si="1"/>
        <v/>
      </c>
      <c r="P7005" s="52"/>
    </row>
    <row r="7006">
      <c r="F7006" s="116" t="str">
        <f t="shared" si="1"/>
        <v/>
      </c>
      <c r="P7006" s="52"/>
    </row>
    <row r="7007">
      <c r="F7007" s="116" t="str">
        <f t="shared" si="1"/>
        <v/>
      </c>
      <c r="P7007" s="52"/>
    </row>
    <row r="7008">
      <c r="F7008" s="116" t="str">
        <f t="shared" si="1"/>
        <v/>
      </c>
      <c r="P7008" s="52"/>
    </row>
    <row r="7009">
      <c r="F7009" s="116" t="str">
        <f t="shared" si="1"/>
        <v/>
      </c>
      <c r="P7009" s="52"/>
    </row>
    <row r="7010">
      <c r="F7010" s="116" t="str">
        <f t="shared" si="1"/>
        <v/>
      </c>
      <c r="P7010" s="52"/>
    </row>
    <row r="7011">
      <c r="F7011" s="116" t="str">
        <f t="shared" si="1"/>
        <v/>
      </c>
      <c r="P7011" s="52"/>
    </row>
    <row r="7012">
      <c r="F7012" s="116" t="str">
        <f t="shared" si="1"/>
        <v/>
      </c>
      <c r="P7012" s="52"/>
    </row>
    <row r="7013">
      <c r="F7013" s="116" t="str">
        <f t="shared" si="1"/>
        <v/>
      </c>
      <c r="P7013" s="52"/>
    </row>
    <row r="7014">
      <c r="F7014" s="116" t="str">
        <f t="shared" si="1"/>
        <v/>
      </c>
      <c r="P7014" s="52"/>
    </row>
    <row r="7015">
      <c r="F7015" s="116" t="str">
        <f t="shared" si="1"/>
        <v/>
      </c>
      <c r="P7015" s="52"/>
    </row>
    <row r="7016">
      <c r="F7016" s="116" t="str">
        <f t="shared" si="1"/>
        <v/>
      </c>
      <c r="P7016" s="52"/>
    </row>
    <row r="7017">
      <c r="F7017" s="116" t="str">
        <f t="shared" si="1"/>
        <v/>
      </c>
      <c r="P7017" s="52"/>
    </row>
    <row r="7018">
      <c r="F7018" s="116" t="str">
        <f t="shared" si="1"/>
        <v/>
      </c>
      <c r="P7018" s="52"/>
    </row>
    <row r="7019">
      <c r="F7019" s="116" t="str">
        <f t="shared" si="1"/>
        <v/>
      </c>
      <c r="P7019" s="52"/>
    </row>
    <row r="7020">
      <c r="F7020" s="116" t="str">
        <f t="shared" si="1"/>
        <v/>
      </c>
      <c r="P7020" s="52"/>
    </row>
    <row r="7021">
      <c r="F7021" s="116" t="str">
        <f t="shared" si="1"/>
        <v/>
      </c>
      <c r="P7021" s="52"/>
    </row>
    <row r="7022">
      <c r="F7022" s="116" t="str">
        <f t="shared" si="1"/>
        <v/>
      </c>
      <c r="P7022" s="52"/>
    </row>
    <row r="7023">
      <c r="F7023" s="116" t="str">
        <f t="shared" si="1"/>
        <v/>
      </c>
      <c r="P7023" s="52"/>
    </row>
    <row r="7024">
      <c r="F7024" s="116" t="str">
        <f t="shared" si="1"/>
        <v/>
      </c>
      <c r="P7024" s="52"/>
    </row>
    <row r="7025">
      <c r="F7025" s="116" t="str">
        <f t="shared" si="1"/>
        <v/>
      </c>
      <c r="P7025" s="52"/>
    </row>
    <row r="7026">
      <c r="F7026" s="116" t="str">
        <f t="shared" si="1"/>
        <v/>
      </c>
      <c r="P7026" s="52"/>
    </row>
    <row r="7027">
      <c r="F7027" s="116" t="str">
        <f t="shared" si="1"/>
        <v/>
      </c>
      <c r="P7027" s="52"/>
    </row>
    <row r="7028">
      <c r="F7028" s="116" t="str">
        <f t="shared" si="1"/>
        <v/>
      </c>
      <c r="P7028" s="52"/>
    </row>
    <row r="7029">
      <c r="F7029" s="116" t="str">
        <f t="shared" si="1"/>
        <v/>
      </c>
      <c r="P7029" s="52"/>
    </row>
    <row r="7030">
      <c r="F7030" s="116" t="str">
        <f t="shared" si="1"/>
        <v/>
      </c>
      <c r="P7030" s="52"/>
    </row>
    <row r="7031">
      <c r="F7031" s="116" t="str">
        <f t="shared" si="1"/>
        <v/>
      </c>
      <c r="P7031" s="52"/>
    </row>
    <row r="7032">
      <c r="F7032" s="116" t="str">
        <f t="shared" si="1"/>
        <v/>
      </c>
      <c r="P7032" s="52"/>
    </row>
    <row r="7033">
      <c r="F7033" s="116" t="str">
        <f t="shared" si="1"/>
        <v/>
      </c>
      <c r="P7033" s="52"/>
    </row>
    <row r="7034">
      <c r="F7034" s="116" t="str">
        <f t="shared" si="1"/>
        <v/>
      </c>
      <c r="P7034" s="52"/>
    </row>
    <row r="7035">
      <c r="F7035" s="116" t="str">
        <f t="shared" si="1"/>
        <v/>
      </c>
      <c r="P7035" s="52"/>
    </row>
    <row r="7036">
      <c r="F7036" s="116" t="str">
        <f t="shared" si="1"/>
        <v/>
      </c>
      <c r="P7036" s="52"/>
    </row>
    <row r="7037">
      <c r="F7037" s="116" t="str">
        <f t="shared" si="1"/>
        <v/>
      </c>
      <c r="P7037" s="52"/>
    </row>
    <row r="7038">
      <c r="F7038" s="116" t="str">
        <f t="shared" si="1"/>
        <v/>
      </c>
      <c r="P7038" s="52"/>
    </row>
    <row r="7039">
      <c r="F7039" s="116" t="str">
        <f t="shared" si="1"/>
        <v/>
      </c>
      <c r="P7039" s="52"/>
    </row>
    <row r="7040">
      <c r="F7040" s="116" t="str">
        <f t="shared" si="1"/>
        <v/>
      </c>
      <c r="P7040" s="52"/>
    </row>
    <row r="7041">
      <c r="F7041" s="116" t="str">
        <f t="shared" si="1"/>
        <v/>
      </c>
      <c r="P7041" s="52"/>
    </row>
    <row r="7042">
      <c r="F7042" s="116" t="str">
        <f t="shared" si="1"/>
        <v/>
      </c>
      <c r="P7042" s="52"/>
    </row>
    <row r="7043">
      <c r="F7043" s="116" t="str">
        <f t="shared" si="1"/>
        <v/>
      </c>
      <c r="P7043" s="52"/>
    </row>
    <row r="7044">
      <c r="F7044" s="116" t="str">
        <f t="shared" si="1"/>
        <v/>
      </c>
      <c r="P7044" s="52"/>
    </row>
    <row r="7045">
      <c r="F7045" s="116" t="str">
        <f t="shared" si="1"/>
        <v/>
      </c>
      <c r="P7045" s="52"/>
    </row>
    <row r="7046">
      <c r="F7046" s="116" t="str">
        <f t="shared" si="1"/>
        <v/>
      </c>
      <c r="P7046" s="52"/>
    </row>
    <row r="7047">
      <c r="F7047" s="116" t="str">
        <f t="shared" si="1"/>
        <v/>
      </c>
      <c r="P7047" s="52"/>
    </row>
    <row r="7048">
      <c r="F7048" s="116" t="str">
        <f t="shared" si="1"/>
        <v/>
      </c>
      <c r="P7048" s="52"/>
    </row>
    <row r="7049">
      <c r="F7049" s="116" t="str">
        <f t="shared" si="1"/>
        <v/>
      </c>
      <c r="P7049" s="52"/>
    </row>
    <row r="7050">
      <c r="F7050" s="116" t="str">
        <f t="shared" si="1"/>
        <v/>
      </c>
      <c r="P7050" s="52"/>
    </row>
    <row r="7051">
      <c r="F7051" s="116" t="str">
        <f t="shared" si="1"/>
        <v/>
      </c>
      <c r="P7051" s="52"/>
    </row>
    <row r="7052">
      <c r="F7052" s="116" t="str">
        <f t="shared" si="1"/>
        <v/>
      </c>
      <c r="P7052" s="52"/>
    </row>
    <row r="7053">
      <c r="F7053" s="116" t="str">
        <f t="shared" si="1"/>
        <v/>
      </c>
      <c r="P7053" s="52"/>
    </row>
    <row r="7054">
      <c r="F7054" s="116" t="str">
        <f t="shared" si="1"/>
        <v/>
      </c>
      <c r="P7054" s="52"/>
    </row>
    <row r="7055">
      <c r="F7055" s="116" t="str">
        <f t="shared" si="1"/>
        <v/>
      </c>
      <c r="P7055" s="52"/>
    </row>
    <row r="7056">
      <c r="F7056" s="116" t="str">
        <f t="shared" si="1"/>
        <v/>
      </c>
      <c r="P7056" s="52"/>
    </row>
    <row r="7057">
      <c r="F7057" s="116" t="str">
        <f t="shared" si="1"/>
        <v/>
      </c>
      <c r="P7057" s="52"/>
    </row>
    <row r="7058">
      <c r="F7058" s="116" t="str">
        <f t="shared" si="1"/>
        <v/>
      </c>
      <c r="P7058" s="52"/>
    </row>
    <row r="7059">
      <c r="F7059" s="116" t="str">
        <f t="shared" si="1"/>
        <v/>
      </c>
      <c r="P7059" s="52"/>
    </row>
    <row r="7060">
      <c r="F7060" s="116" t="str">
        <f t="shared" si="1"/>
        <v/>
      </c>
      <c r="P7060" s="52"/>
    </row>
    <row r="7061">
      <c r="F7061" s="116" t="str">
        <f t="shared" si="1"/>
        <v/>
      </c>
      <c r="P7061" s="52"/>
    </row>
    <row r="7062">
      <c r="F7062" s="116" t="str">
        <f t="shared" si="1"/>
        <v/>
      </c>
      <c r="P7062" s="52"/>
    </row>
    <row r="7063">
      <c r="F7063" s="116" t="str">
        <f t="shared" si="1"/>
        <v/>
      </c>
      <c r="P7063" s="52"/>
    </row>
    <row r="7064">
      <c r="F7064" s="116" t="str">
        <f t="shared" si="1"/>
        <v/>
      </c>
      <c r="P7064" s="52"/>
    </row>
    <row r="7065">
      <c r="F7065" s="116" t="str">
        <f t="shared" si="1"/>
        <v/>
      </c>
      <c r="P7065" s="52"/>
    </row>
    <row r="7066">
      <c r="F7066" s="116" t="str">
        <f t="shared" si="1"/>
        <v/>
      </c>
      <c r="P7066" s="52"/>
    </row>
    <row r="7067">
      <c r="F7067" s="116" t="str">
        <f t="shared" si="1"/>
        <v/>
      </c>
      <c r="P7067" s="52"/>
    </row>
    <row r="7068">
      <c r="F7068" s="116" t="str">
        <f t="shared" si="1"/>
        <v/>
      </c>
      <c r="P7068" s="52"/>
    </row>
    <row r="7069">
      <c r="F7069" s="116" t="str">
        <f t="shared" si="1"/>
        <v/>
      </c>
      <c r="P7069" s="52"/>
    </row>
    <row r="7070">
      <c r="F7070" s="116" t="str">
        <f t="shared" si="1"/>
        <v/>
      </c>
      <c r="P7070" s="52"/>
    </row>
    <row r="7071">
      <c r="F7071" s="116" t="str">
        <f t="shared" si="1"/>
        <v/>
      </c>
      <c r="P7071" s="52"/>
    </row>
    <row r="7072">
      <c r="F7072" s="116" t="str">
        <f t="shared" si="1"/>
        <v/>
      </c>
      <c r="P7072" s="52"/>
    </row>
    <row r="7073">
      <c r="F7073" s="116" t="str">
        <f t="shared" si="1"/>
        <v/>
      </c>
      <c r="P7073" s="52"/>
    </row>
    <row r="7074">
      <c r="F7074" s="116" t="str">
        <f t="shared" si="1"/>
        <v/>
      </c>
      <c r="P7074" s="52"/>
    </row>
    <row r="7075">
      <c r="F7075" s="116" t="str">
        <f t="shared" si="1"/>
        <v/>
      </c>
      <c r="P7075" s="52"/>
    </row>
    <row r="7076">
      <c r="F7076" s="116" t="str">
        <f t="shared" si="1"/>
        <v/>
      </c>
      <c r="P7076" s="52"/>
    </row>
    <row r="7077">
      <c r="F7077" s="116" t="str">
        <f t="shared" si="1"/>
        <v/>
      </c>
      <c r="P7077" s="52"/>
    </row>
    <row r="7078">
      <c r="F7078" s="116" t="str">
        <f t="shared" si="1"/>
        <v/>
      </c>
      <c r="P7078" s="52"/>
    </row>
    <row r="7079">
      <c r="F7079" s="116" t="str">
        <f t="shared" si="1"/>
        <v/>
      </c>
      <c r="P7079" s="52"/>
    </row>
    <row r="7080">
      <c r="F7080" s="116" t="str">
        <f t="shared" si="1"/>
        <v/>
      </c>
      <c r="P7080" s="52"/>
    </row>
    <row r="7081">
      <c r="F7081" s="116" t="str">
        <f t="shared" si="1"/>
        <v/>
      </c>
      <c r="P7081" s="52"/>
    </row>
    <row r="7082">
      <c r="F7082" s="116" t="str">
        <f t="shared" si="1"/>
        <v/>
      </c>
      <c r="P7082" s="52"/>
    </row>
    <row r="7083">
      <c r="F7083" s="116" t="str">
        <f t="shared" si="1"/>
        <v/>
      </c>
      <c r="P7083" s="52"/>
    </row>
    <row r="7084">
      <c r="F7084" s="116" t="str">
        <f t="shared" si="1"/>
        <v/>
      </c>
      <c r="P7084" s="52"/>
    </row>
    <row r="7085">
      <c r="F7085" s="116" t="str">
        <f t="shared" si="1"/>
        <v/>
      </c>
      <c r="P7085" s="52"/>
    </row>
    <row r="7086">
      <c r="F7086" s="116" t="str">
        <f t="shared" si="1"/>
        <v/>
      </c>
      <c r="P7086" s="52"/>
    </row>
    <row r="7087">
      <c r="F7087" s="116" t="str">
        <f t="shared" si="1"/>
        <v/>
      </c>
      <c r="P7087" s="52"/>
    </row>
    <row r="7088">
      <c r="F7088" s="116" t="str">
        <f t="shared" si="1"/>
        <v/>
      </c>
      <c r="P7088" s="52"/>
    </row>
    <row r="7089">
      <c r="F7089" s="116" t="str">
        <f t="shared" si="1"/>
        <v/>
      </c>
      <c r="P7089" s="52"/>
    </row>
    <row r="7090">
      <c r="F7090" s="116" t="str">
        <f t="shared" si="1"/>
        <v/>
      </c>
      <c r="P7090" s="52"/>
    </row>
    <row r="7091">
      <c r="F7091" s="116" t="str">
        <f t="shared" si="1"/>
        <v/>
      </c>
      <c r="P7091" s="52"/>
    </row>
    <row r="7092">
      <c r="F7092" s="116" t="str">
        <f t="shared" si="1"/>
        <v/>
      </c>
      <c r="P7092" s="52"/>
    </row>
    <row r="7093">
      <c r="F7093" s="116" t="str">
        <f t="shared" si="1"/>
        <v/>
      </c>
      <c r="P7093" s="52"/>
    </row>
    <row r="7094">
      <c r="F7094" s="116" t="str">
        <f t="shared" si="1"/>
        <v/>
      </c>
      <c r="P7094" s="52"/>
    </row>
    <row r="7095">
      <c r="F7095" s="116" t="str">
        <f t="shared" si="1"/>
        <v/>
      </c>
      <c r="P7095" s="52"/>
    </row>
    <row r="7096">
      <c r="F7096" s="116" t="str">
        <f t="shared" si="1"/>
        <v/>
      </c>
      <c r="P7096" s="52"/>
    </row>
    <row r="7097">
      <c r="F7097" s="116" t="str">
        <f t="shared" si="1"/>
        <v/>
      </c>
      <c r="P7097" s="52"/>
    </row>
    <row r="7098">
      <c r="F7098" s="116" t="str">
        <f t="shared" si="1"/>
        <v/>
      </c>
      <c r="P7098" s="52"/>
    </row>
    <row r="7099">
      <c r="F7099" s="116" t="str">
        <f t="shared" si="1"/>
        <v/>
      </c>
      <c r="P7099" s="52"/>
    </row>
    <row r="7100">
      <c r="F7100" s="116" t="str">
        <f t="shared" si="1"/>
        <v/>
      </c>
      <c r="P7100" s="52"/>
    </row>
    <row r="7101">
      <c r="F7101" s="116" t="str">
        <f t="shared" si="1"/>
        <v/>
      </c>
      <c r="P7101" s="52"/>
    </row>
    <row r="7102">
      <c r="F7102" s="116" t="str">
        <f t="shared" si="1"/>
        <v/>
      </c>
      <c r="P7102" s="52"/>
    </row>
    <row r="7103">
      <c r="F7103" s="116" t="str">
        <f t="shared" si="1"/>
        <v/>
      </c>
      <c r="P7103" s="52"/>
    </row>
    <row r="7104">
      <c r="F7104" s="116" t="str">
        <f t="shared" si="1"/>
        <v/>
      </c>
      <c r="P7104" s="52"/>
    </row>
    <row r="7105">
      <c r="F7105" s="116" t="str">
        <f t="shared" si="1"/>
        <v/>
      </c>
      <c r="P7105" s="52"/>
    </row>
    <row r="7106">
      <c r="F7106" s="116" t="str">
        <f t="shared" si="1"/>
        <v/>
      </c>
      <c r="P7106" s="52"/>
    </row>
    <row r="7107">
      <c r="F7107" s="116" t="str">
        <f t="shared" si="1"/>
        <v/>
      </c>
      <c r="P7107" s="52"/>
    </row>
    <row r="7108">
      <c r="F7108" s="116" t="str">
        <f t="shared" si="1"/>
        <v/>
      </c>
      <c r="P7108" s="52"/>
    </row>
    <row r="7109">
      <c r="F7109" s="116" t="str">
        <f t="shared" si="1"/>
        <v/>
      </c>
      <c r="P7109" s="52"/>
    </row>
    <row r="7110">
      <c r="F7110" s="116" t="str">
        <f t="shared" si="1"/>
        <v/>
      </c>
      <c r="P7110" s="52"/>
    </row>
    <row r="7111">
      <c r="F7111" s="116" t="str">
        <f t="shared" si="1"/>
        <v/>
      </c>
      <c r="P7111" s="52"/>
    </row>
    <row r="7112">
      <c r="F7112" s="116" t="str">
        <f t="shared" si="1"/>
        <v/>
      </c>
      <c r="P7112" s="52"/>
    </row>
    <row r="7113">
      <c r="F7113" s="116" t="str">
        <f t="shared" si="1"/>
        <v/>
      </c>
      <c r="P7113" s="52"/>
    </row>
    <row r="7114">
      <c r="F7114" s="116" t="str">
        <f t="shared" si="1"/>
        <v/>
      </c>
      <c r="P7114" s="52"/>
    </row>
    <row r="7115">
      <c r="F7115" s="116" t="str">
        <f t="shared" si="1"/>
        <v/>
      </c>
      <c r="P7115" s="52"/>
    </row>
    <row r="7116">
      <c r="F7116" s="116" t="str">
        <f t="shared" si="1"/>
        <v/>
      </c>
      <c r="P7116" s="52"/>
    </row>
    <row r="7117">
      <c r="F7117" s="116" t="str">
        <f t="shared" si="1"/>
        <v/>
      </c>
      <c r="P7117" s="52"/>
    </row>
    <row r="7118">
      <c r="F7118" s="116" t="str">
        <f t="shared" si="1"/>
        <v/>
      </c>
      <c r="P7118" s="52"/>
    </row>
    <row r="7119">
      <c r="F7119" s="116" t="str">
        <f t="shared" si="1"/>
        <v/>
      </c>
      <c r="P7119" s="52"/>
    </row>
    <row r="7120">
      <c r="F7120" s="116" t="str">
        <f t="shared" si="1"/>
        <v/>
      </c>
      <c r="P7120" s="52"/>
    </row>
    <row r="7121">
      <c r="F7121" s="116" t="str">
        <f t="shared" si="1"/>
        <v/>
      </c>
      <c r="P7121" s="52"/>
    </row>
    <row r="7122">
      <c r="F7122" s="116" t="str">
        <f t="shared" si="1"/>
        <v/>
      </c>
      <c r="P7122" s="52"/>
    </row>
    <row r="7123">
      <c r="F7123" s="116" t="str">
        <f t="shared" si="1"/>
        <v/>
      </c>
      <c r="P7123" s="52"/>
    </row>
    <row r="7124">
      <c r="F7124" s="116" t="str">
        <f t="shared" si="1"/>
        <v/>
      </c>
      <c r="P7124" s="52"/>
    </row>
    <row r="7125">
      <c r="F7125" s="116" t="str">
        <f t="shared" si="1"/>
        <v/>
      </c>
      <c r="P7125" s="52"/>
    </row>
    <row r="7126">
      <c r="F7126" s="116" t="str">
        <f t="shared" si="1"/>
        <v/>
      </c>
      <c r="P7126" s="52"/>
    </row>
    <row r="7127">
      <c r="F7127" s="116" t="str">
        <f t="shared" si="1"/>
        <v/>
      </c>
      <c r="P7127" s="52"/>
    </row>
    <row r="7128">
      <c r="F7128" s="116" t="str">
        <f t="shared" si="1"/>
        <v/>
      </c>
      <c r="P7128" s="52"/>
    </row>
    <row r="7129">
      <c r="F7129" s="116" t="str">
        <f t="shared" si="1"/>
        <v/>
      </c>
      <c r="P7129" s="52"/>
    </row>
    <row r="7130">
      <c r="F7130" s="116" t="str">
        <f t="shared" si="1"/>
        <v/>
      </c>
      <c r="P7130" s="52"/>
    </row>
    <row r="7131">
      <c r="F7131" s="116" t="str">
        <f t="shared" si="1"/>
        <v/>
      </c>
      <c r="P7131" s="52"/>
    </row>
    <row r="7132">
      <c r="F7132" s="116" t="str">
        <f t="shared" si="1"/>
        <v/>
      </c>
      <c r="P7132" s="52"/>
    </row>
    <row r="7133">
      <c r="F7133" s="116" t="str">
        <f t="shared" si="1"/>
        <v/>
      </c>
      <c r="P7133" s="52"/>
    </row>
    <row r="7134">
      <c r="F7134" s="116" t="str">
        <f t="shared" si="1"/>
        <v/>
      </c>
      <c r="P7134" s="52"/>
    </row>
    <row r="7135">
      <c r="F7135" s="116" t="str">
        <f t="shared" si="1"/>
        <v/>
      </c>
      <c r="P7135" s="52"/>
    </row>
    <row r="7136">
      <c r="F7136" s="116" t="str">
        <f t="shared" si="1"/>
        <v/>
      </c>
      <c r="P7136" s="52"/>
    </row>
    <row r="7137">
      <c r="F7137" s="116" t="str">
        <f t="shared" si="1"/>
        <v/>
      </c>
      <c r="P7137" s="52"/>
    </row>
    <row r="7138">
      <c r="F7138" s="116" t="str">
        <f t="shared" si="1"/>
        <v/>
      </c>
      <c r="P7138" s="52"/>
    </row>
    <row r="7139">
      <c r="F7139" s="116" t="str">
        <f t="shared" si="1"/>
        <v/>
      </c>
      <c r="P7139" s="52"/>
    </row>
    <row r="7140">
      <c r="F7140" s="116" t="str">
        <f t="shared" si="1"/>
        <v/>
      </c>
      <c r="P7140" s="52"/>
    </row>
    <row r="7141">
      <c r="F7141" s="116" t="str">
        <f t="shared" si="1"/>
        <v/>
      </c>
      <c r="P7141" s="52"/>
    </row>
    <row r="7142">
      <c r="F7142" s="116" t="str">
        <f t="shared" si="1"/>
        <v/>
      </c>
      <c r="P7142" s="52"/>
    </row>
    <row r="7143">
      <c r="F7143" s="116" t="str">
        <f t="shared" si="1"/>
        <v/>
      </c>
      <c r="P7143" s="52"/>
    </row>
    <row r="7144">
      <c r="F7144" s="116" t="str">
        <f t="shared" si="1"/>
        <v/>
      </c>
      <c r="P7144" s="52"/>
    </row>
    <row r="7145">
      <c r="F7145" s="116" t="str">
        <f t="shared" si="1"/>
        <v/>
      </c>
      <c r="P7145" s="52"/>
    </row>
    <row r="7146">
      <c r="F7146" s="116" t="str">
        <f t="shared" si="1"/>
        <v/>
      </c>
      <c r="P7146" s="52"/>
    </row>
    <row r="7147">
      <c r="F7147" s="116" t="str">
        <f t="shared" si="1"/>
        <v/>
      </c>
      <c r="P7147" s="52"/>
    </row>
    <row r="7148">
      <c r="F7148" s="116" t="str">
        <f t="shared" si="1"/>
        <v/>
      </c>
      <c r="P7148" s="52"/>
    </row>
    <row r="7149">
      <c r="F7149" s="116" t="str">
        <f t="shared" si="1"/>
        <v/>
      </c>
      <c r="P7149" s="52"/>
    </row>
    <row r="7150">
      <c r="F7150" s="116" t="str">
        <f t="shared" si="1"/>
        <v/>
      </c>
      <c r="P7150" s="52"/>
    </row>
    <row r="7151">
      <c r="F7151" s="116" t="str">
        <f t="shared" si="1"/>
        <v/>
      </c>
      <c r="P7151" s="52"/>
    </row>
    <row r="7152">
      <c r="F7152" s="116" t="str">
        <f t="shared" si="1"/>
        <v/>
      </c>
      <c r="P7152" s="52"/>
    </row>
    <row r="7153">
      <c r="F7153" s="116" t="str">
        <f t="shared" si="1"/>
        <v/>
      </c>
      <c r="P7153" s="52"/>
    </row>
    <row r="7154">
      <c r="F7154" s="116" t="str">
        <f t="shared" si="1"/>
        <v/>
      </c>
      <c r="P7154" s="52"/>
    </row>
    <row r="7155">
      <c r="F7155" s="116" t="str">
        <f t="shared" si="1"/>
        <v/>
      </c>
      <c r="P7155" s="52"/>
    </row>
    <row r="7156">
      <c r="F7156" s="116" t="str">
        <f t="shared" si="1"/>
        <v/>
      </c>
      <c r="P7156" s="52"/>
    </row>
    <row r="7157">
      <c r="F7157" s="116" t="str">
        <f t="shared" si="1"/>
        <v/>
      </c>
      <c r="P7157" s="52"/>
    </row>
    <row r="7158">
      <c r="F7158" s="116" t="str">
        <f t="shared" si="1"/>
        <v/>
      </c>
      <c r="P7158" s="52"/>
    </row>
    <row r="7159">
      <c r="F7159" s="116" t="str">
        <f t="shared" si="1"/>
        <v/>
      </c>
      <c r="P7159" s="52"/>
    </row>
    <row r="7160">
      <c r="F7160" s="116" t="str">
        <f t="shared" si="1"/>
        <v/>
      </c>
      <c r="P7160" s="52"/>
    </row>
    <row r="7161">
      <c r="F7161" s="116" t="str">
        <f t="shared" si="1"/>
        <v/>
      </c>
      <c r="P7161" s="52"/>
    </row>
    <row r="7162">
      <c r="F7162" s="116" t="str">
        <f t="shared" si="1"/>
        <v/>
      </c>
      <c r="P7162" s="52"/>
    </row>
    <row r="7163">
      <c r="F7163" s="116" t="str">
        <f t="shared" si="1"/>
        <v/>
      </c>
      <c r="P7163" s="52"/>
    </row>
    <row r="7164">
      <c r="F7164" s="116" t="str">
        <f t="shared" si="1"/>
        <v/>
      </c>
      <c r="P7164" s="52"/>
    </row>
    <row r="7165">
      <c r="F7165" s="116" t="str">
        <f t="shared" si="1"/>
        <v/>
      </c>
      <c r="P7165" s="52"/>
    </row>
    <row r="7166">
      <c r="F7166" s="116" t="str">
        <f t="shared" si="1"/>
        <v/>
      </c>
      <c r="P7166" s="52"/>
    </row>
    <row r="7167">
      <c r="F7167" s="116" t="str">
        <f t="shared" si="1"/>
        <v/>
      </c>
      <c r="P7167" s="52"/>
    </row>
    <row r="7168">
      <c r="F7168" s="116" t="str">
        <f t="shared" si="1"/>
        <v/>
      </c>
      <c r="P7168" s="52"/>
    </row>
    <row r="7169">
      <c r="F7169" s="116" t="str">
        <f t="shared" si="1"/>
        <v/>
      </c>
      <c r="P7169" s="52"/>
    </row>
    <row r="7170">
      <c r="F7170" s="116" t="str">
        <f t="shared" si="1"/>
        <v/>
      </c>
      <c r="P7170" s="52"/>
    </row>
    <row r="7171">
      <c r="F7171" s="116" t="str">
        <f t="shared" si="1"/>
        <v/>
      </c>
      <c r="P7171" s="52"/>
    </row>
    <row r="7172">
      <c r="F7172" s="116" t="str">
        <f t="shared" si="1"/>
        <v/>
      </c>
      <c r="P7172" s="52"/>
    </row>
    <row r="7173">
      <c r="F7173" s="116" t="str">
        <f t="shared" si="1"/>
        <v/>
      </c>
      <c r="P7173" s="52"/>
    </row>
    <row r="7174">
      <c r="F7174" s="116" t="str">
        <f t="shared" si="1"/>
        <v/>
      </c>
      <c r="P7174" s="52"/>
    </row>
    <row r="7175">
      <c r="F7175" s="116" t="str">
        <f t="shared" si="1"/>
        <v/>
      </c>
      <c r="P7175" s="52"/>
    </row>
    <row r="7176">
      <c r="F7176" s="116" t="str">
        <f t="shared" si="1"/>
        <v/>
      </c>
      <c r="P7176" s="52"/>
    </row>
    <row r="7177">
      <c r="F7177" s="116" t="str">
        <f t="shared" si="1"/>
        <v/>
      </c>
      <c r="P7177" s="52"/>
    </row>
    <row r="7178">
      <c r="F7178" s="116" t="str">
        <f t="shared" si="1"/>
        <v/>
      </c>
      <c r="P7178" s="52"/>
    </row>
    <row r="7179">
      <c r="F7179" s="116" t="str">
        <f t="shared" si="1"/>
        <v/>
      </c>
      <c r="P7179" s="52"/>
    </row>
    <row r="7180">
      <c r="F7180" s="116" t="str">
        <f t="shared" si="1"/>
        <v/>
      </c>
      <c r="P7180" s="52"/>
    </row>
    <row r="7181">
      <c r="F7181" s="116" t="str">
        <f t="shared" si="1"/>
        <v/>
      </c>
      <c r="P7181" s="52"/>
    </row>
    <row r="7182">
      <c r="F7182" s="116" t="str">
        <f t="shared" si="1"/>
        <v/>
      </c>
      <c r="P7182" s="52"/>
    </row>
    <row r="7183">
      <c r="F7183" s="116" t="str">
        <f t="shared" si="1"/>
        <v/>
      </c>
      <c r="P7183" s="52"/>
    </row>
    <row r="7184">
      <c r="F7184" s="116" t="str">
        <f t="shared" si="1"/>
        <v/>
      </c>
      <c r="P7184" s="52"/>
    </row>
    <row r="7185">
      <c r="F7185" s="116" t="str">
        <f t="shared" si="1"/>
        <v/>
      </c>
      <c r="P7185" s="52"/>
    </row>
    <row r="7186">
      <c r="F7186" s="116" t="str">
        <f t="shared" si="1"/>
        <v/>
      </c>
      <c r="P7186" s="52"/>
    </row>
    <row r="7187">
      <c r="F7187" s="116" t="str">
        <f t="shared" si="1"/>
        <v/>
      </c>
      <c r="P7187" s="52"/>
    </row>
    <row r="7188">
      <c r="F7188" s="116" t="str">
        <f t="shared" si="1"/>
        <v/>
      </c>
      <c r="P7188" s="52"/>
    </row>
    <row r="7189">
      <c r="F7189" s="116" t="str">
        <f t="shared" si="1"/>
        <v/>
      </c>
      <c r="P7189" s="52"/>
    </row>
    <row r="7190">
      <c r="F7190" s="116" t="str">
        <f t="shared" si="1"/>
        <v/>
      </c>
      <c r="P7190" s="52"/>
    </row>
    <row r="7191">
      <c r="F7191" s="116" t="str">
        <f t="shared" si="1"/>
        <v/>
      </c>
      <c r="P7191" s="52"/>
    </row>
    <row r="7192">
      <c r="F7192" s="116" t="str">
        <f t="shared" si="1"/>
        <v/>
      </c>
      <c r="P7192" s="52"/>
    </row>
    <row r="7193">
      <c r="F7193" s="116" t="str">
        <f t="shared" si="1"/>
        <v/>
      </c>
      <c r="P7193" s="52"/>
    </row>
    <row r="7194">
      <c r="F7194" s="116" t="str">
        <f t="shared" si="1"/>
        <v/>
      </c>
      <c r="P7194" s="52"/>
    </row>
    <row r="7195">
      <c r="F7195" s="116" t="str">
        <f t="shared" si="1"/>
        <v/>
      </c>
      <c r="P7195" s="52"/>
    </row>
    <row r="7196">
      <c r="F7196" s="116" t="str">
        <f t="shared" si="1"/>
        <v/>
      </c>
      <c r="P7196" s="52"/>
    </row>
    <row r="7197">
      <c r="F7197" s="116" t="str">
        <f t="shared" si="1"/>
        <v/>
      </c>
      <c r="P7197" s="52"/>
    </row>
    <row r="7198">
      <c r="F7198" s="116" t="str">
        <f t="shared" si="1"/>
        <v/>
      </c>
      <c r="P7198" s="52"/>
    </row>
    <row r="7199">
      <c r="F7199" s="116" t="str">
        <f t="shared" si="1"/>
        <v/>
      </c>
      <c r="P7199" s="52"/>
    </row>
    <row r="7200">
      <c r="F7200" s="116" t="str">
        <f t="shared" si="1"/>
        <v/>
      </c>
      <c r="P7200" s="52"/>
    </row>
    <row r="7201">
      <c r="F7201" s="116" t="str">
        <f t="shared" si="1"/>
        <v/>
      </c>
      <c r="P7201" s="52"/>
    </row>
    <row r="7202">
      <c r="F7202" s="116" t="str">
        <f t="shared" si="1"/>
        <v/>
      </c>
      <c r="P7202" s="52"/>
    </row>
    <row r="7203">
      <c r="F7203" s="116" t="str">
        <f t="shared" si="1"/>
        <v/>
      </c>
      <c r="P7203" s="52"/>
    </row>
    <row r="7204">
      <c r="F7204" s="116" t="str">
        <f t="shared" si="1"/>
        <v/>
      </c>
      <c r="P7204" s="52"/>
    </row>
    <row r="7205">
      <c r="F7205" s="116" t="str">
        <f t="shared" si="1"/>
        <v/>
      </c>
      <c r="P7205" s="52"/>
    </row>
    <row r="7206">
      <c r="F7206" s="116" t="str">
        <f t="shared" si="1"/>
        <v/>
      </c>
      <c r="P7206" s="52"/>
    </row>
    <row r="7207">
      <c r="F7207" s="116" t="str">
        <f t="shared" si="1"/>
        <v/>
      </c>
      <c r="P7207" s="52"/>
    </row>
    <row r="7208">
      <c r="F7208" s="116" t="str">
        <f t="shared" si="1"/>
        <v/>
      </c>
      <c r="P7208" s="52"/>
    </row>
    <row r="7209">
      <c r="F7209" s="116" t="str">
        <f t="shared" si="1"/>
        <v/>
      </c>
      <c r="P7209" s="52"/>
    </row>
    <row r="7210">
      <c r="F7210" s="116" t="str">
        <f t="shared" si="1"/>
        <v/>
      </c>
      <c r="P7210" s="52"/>
    </row>
    <row r="7211">
      <c r="F7211" s="116" t="str">
        <f t="shared" si="1"/>
        <v/>
      </c>
      <c r="P7211" s="52"/>
    </row>
    <row r="7212">
      <c r="F7212" s="116" t="str">
        <f t="shared" si="1"/>
        <v/>
      </c>
      <c r="P7212" s="52"/>
    </row>
    <row r="7213">
      <c r="F7213" s="116" t="str">
        <f t="shared" si="1"/>
        <v/>
      </c>
      <c r="P7213" s="52"/>
    </row>
    <row r="7214">
      <c r="F7214" s="116" t="str">
        <f t="shared" si="1"/>
        <v/>
      </c>
      <c r="P7214" s="52"/>
    </row>
    <row r="7215">
      <c r="F7215" s="116" t="str">
        <f t="shared" si="1"/>
        <v/>
      </c>
      <c r="P7215" s="52"/>
    </row>
    <row r="7216">
      <c r="F7216" s="116" t="str">
        <f t="shared" si="1"/>
        <v/>
      </c>
      <c r="P7216" s="52"/>
    </row>
    <row r="7217">
      <c r="F7217" s="116" t="str">
        <f t="shared" si="1"/>
        <v/>
      </c>
      <c r="P7217" s="52"/>
    </row>
    <row r="7218">
      <c r="F7218" s="116" t="str">
        <f t="shared" si="1"/>
        <v/>
      </c>
      <c r="P7218" s="52"/>
    </row>
    <row r="7219">
      <c r="F7219" s="116" t="str">
        <f t="shared" si="1"/>
        <v/>
      </c>
      <c r="P7219" s="52"/>
    </row>
    <row r="7220">
      <c r="F7220" s="116" t="str">
        <f t="shared" si="1"/>
        <v/>
      </c>
      <c r="P7220" s="52"/>
    </row>
    <row r="7221">
      <c r="F7221" s="116" t="str">
        <f t="shared" si="1"/>
        <v/>
      </c>
      <c r="P7221" s="52"/>
    </row>
    <row r="7222">
      <c r="F7222" s="116" t="str">
        <f t="shared" si="1"/>
        <v/>
      </c>
      <c r="P7222" s="52"/>
    </row>
    <row r="7223">
      <c r="F7223" s="116" t="str">
        <f t="shared" si="1"/>
        <v/>
      </c>
      <c r="P7223" s="52"/>
    </row>
    <row r="7224">
      <c r="F7224" s="116" t="str">
        <f t="shared" si="1"/>
        <v/>
      </c>
      <c r="P7224" s="52"/>
    </row>
    <row r="7225">
      <c r="F7225" s="116" t="str">
        <f t="shared" si="1"/>
        <v/>
      </c>
      <c r="P7225" s="52"/>
    </row>
    <row r="7226">
      <c r="F7226" s="116" t="str">
        <f t="shared" si="1"/>
        <v/>
      </c>
      <c r="P7226" s="52"/>
    </row>
    <row r="7227">
      <c r="F7227" s="116" t="str">
        <f t="shared" si="1"/>
        <v/>
      </c>
      <c r="P7227" s="52"/>
    </row>
    <row r="7228">
      <c r="F7228" s="116" t="str">
        <f t="shared" si="1"/>
        <v/>
      </c>
      <c r="P7228" s="52"/>
    </row>
    <row r="7229">
      <c r="F7229" s="116" t="str">
        <f t="shared" si="1"/>
        <v/>
      </c>
      <c r="P7229" s="52"/>
    </row>
    <row r="7230">
      <c r="F7230" s="116" t="str">
        <f t="shared" si="1"/>
        <v/>
      </c>
      <c r="P7230" s="52"/>
    </row>
    <row r="7231">
      <c r="F7231" s="116" t="str">
        <f t="shared" si="1"/>
        <v/>
      </c>
      <c r="P7231" s="52"/>
    </row>
    <row r="7232">
      <c r="F7232" s="116" t="str">
        <f t="shared" si="1"/>
        <v/>
      </c>
      <c r="P7232" s="52"/>
    </row>
    <row r="7233">
      <c r="F7233" s="116" t="str">
        <f t="shared" si="1"/>
        <v/>
      </c>
      <c r="P7233" s="52"/>
    </row>
    <row r="7234">
      <c r="F7234" s="116" t="str">
        <f t="shared" si="1"/>
        <v/>
      </c>
      <c r="P7234" s="52"/>
    </row>
    <row r="7235">
      <c r="F7235" s="116" t="str">
        <f t="shared" si="1"/>
        <v/>
      </c>
      <c r="P7235" s="52"/>
    </row>
    <row r="7236">
      <c r="F7236" s="116" t="str">
        <f t="shared" si="1"/>
        <v/>
      </c>
      <c r="P7236" s="52"/>
    </row>
    <row r="7237">
      <c r="F7237" s="116" t="str">
        <f t="shared" si="1"/>
        <v/>
      </c>
      <c r="P7237" s="52"/>
    </row>
    <row r="7238">
      <c r="F7238" s="116" t="str">
        <f t="shared" si="1"/>
        <v/>
      </c>
      <c r="P7238" s="52"/>
    </row>
    <row r="7239">
      <c r="F7239" s="116" t="str">
        <f t="shared" si="1"/>
        <v/>
      </c>
      <c r="P7239" s="52"/>
    </row>
    <row r="7240">
      <c r="F7240" s="116" t="str">
        <f t="shared" si="1"/>
        <v/>
      </c>
      <c r="P7240" s="52"/>
    </row>
    <row r="7241">
      <c r="F7241" s="116" t="str">
        <f t="shared" si="1"/>
        <v/>
      </c>
      <c r="P7241" s="52"/>
    </row>
    <row r="7242">
      <c r="F7242" s="116" t="str">
        <f t="shared" si="1"/>
        <v/>
      </c>
      <c r="P7242" s="52"/>
    </row>
    <row r="7243">
      <c r="F7243" s="116" t="str">
        <f t="shared" si="1"/>
        <v/>
      </c>
      <c r="P7243" s="52"/>
    </row>
    <row r="7244">
      <c r="F7244" s="116" t="str">
        <f t="shared" si="1"/>
        <v/>
      </c>
      <c r="P7244" s="52"/>
    </row>
    <row r="7245">
      <c r="F7245" s="116" t="str">
        <f t="shared" si="1"/>
        <v/>
      </c>
      <c r="P7245" s="52"/>
    </row>
    <row r="7246">
      <c r="F7246" s="116" t="str">
        <f t="shared" si="1"/>
        <v/>
      </c>
      <c r="P7246" s="52"/>
    </row>
    <row r="7247">
      <c r="F7247" s="116" t="str">
        <f t="shared" si="1"/>
        <v/>
      </c>
      <c r="P7247" s="52"/>
    </row>
    <row r="7248">
      <c r="F7248" s="116" t="str">
        <f t="shared" si="1"/>
        <v/>
      </c>
      <c r="P7248" s="52"/>
    </row>
    <row r="7249">
      <c r="F7249" s="116" t="str">
        <f t="shared" si="1"/>
        <v/>
      </c>
      <c r="P7249" s="52"/>
    </row>
    <row r="7250">
      <c r="F7250" s="116" t="str">
        <f t="shared" si="1"/>
        <v/>
      </c>
      <c r="P7250" s="52"/>
    </row>
    <row r="7251">
      <c r="F7251" s="116" t="str">
        <f t="shared" si="1"/>
        <v/>
      </c>
      <c r="P7251" s="52"/>
    </row>
    <row r="7252">
      <c r="F7252" s="116" t="str">
        <f t="shared" si="1"/>
        <v/>
      </c>
      <c r="P7252" s="52"/>
    </row>
    <row r="7253">
      <c r="F7253" s="116" t="str">
        <f t="shared" si="1"/>
        <v/>
      </c>
      <c r="P7253" s="52"/>
    </row>
    <row r="7254">
      <c r="F7254" s="116" t="str">
        <f t="shared" si="1"/>
        <v/>
      </c>
      <c r="P7254" s="52"/>
    </row>
    <row r="7255">
      <c r="F7255" s="116" t="str">
        <f t="shared" si="1"/>
        <v/>
      </c>
      <c r="P7255" s="52"/>
    </row>
    <row r="7256">
      <c r="F7256" s="116" t="str">
        <f t="shared" si="1"/>
        <v/>
      </c>
      <c r="P7256" s="52"/>
    </row>
    <row r="7257">
      <c r="F7257" s="116" t="str">
        <f t="shared" si="1"/>
        <v/>
      </c>
      <c r="P7257" s="52"/>
    </row>
    <row r="7258">
      <c r="F7258" s="116" t="str">
        <f t="shared" si="1"/>
        <v/>
      </c>
      <c r="P7258" s="52"/>
    </row>
    <row r="7259">
      <c r="F7259" s="116" t="str">
        <f t="shared" si="1"/>
        <v/>
      </c>
      <c r="P7259" s="52"/>
    </row>
    <row r="7260">
      <c r="F7260" s="116" t="str">
        <f t="shared" si="1"/>
        <v/>
      </c>
      <c r="P7260" s="52"/>
    </row>
    <row r="7261">
      <c r="F7261" s="116" t="str">
        <f t="shared" si="1"/>
        <v/>
      </c>
      <c r="P7261" s="52"/>
    </row>
    <row r="7262">
      <c r="F7262" s="116" t="str">
        <f t="shared" si="1"/>
        <v/>
      </c>
      <c r="P7262" s="52"/>
    </row>
    <row r="7263">
      <c r="F7263" s="116" t="str">
        <f t="shared" si="1"/>
        <v/>
      </c>
      <c r="P7263" s="52"/>
    </row>
    <row r="7264">
      <c r="F7264" s="116" t="str">
        <f t="shared" si="1"/>
        <v/>
      </c>
      <c r="P7264" s="52"/>
    </row>
    <row r="7265">
      <c r="F7265" s="116" t="str">
        <f t="shared" si="1"/>
        <v/>
      </c>
      <c r="P7265" s="52"/>
    </row>
    <row r="7266">
      <c r="F7266" s="116" t="str">
        <f t="shared" si="1"/>
        <v/>
      </c>
      <c r="P7266" s="52"/>
    </row>
    <row r="7267">
      <c r="F7267" s="116" t="str">
        <f t="shared" si="1"/>
        <v/>
      </c>
      <c r="P7267" s="52"/>
    </row>
    <row r="7268">
      <c r="F7268" s="116" t="str">
        <f t="shared" si="1"/>
        <v/>
      </c>
      <c r="P7268" s="52"/>
    </row>
    <row r="7269">
      <c r="F7269" s="116" t="str">
        <f t="shared" si="1"/>
        <v/>
      </c>
      <c r="P7269" s="52"/>
    </row>
    <row r="7270">
      <c r="F7270" s="116" t="str">
        <f t="shared" si="1"/>
        <v/>
      </c>
      <c r="P7270" s="52"/>
    </row>
    <row r="7271">
      <c r="F7271" s="116" t="str">
        <f t="shared" si="1"/>
        <v/>
      </c>
      <c r="P7271" s="52"/>
    </row>
    <row r="7272">
      <c r="F7272" s="116" t="str">
        <f t="shared" si="1"/>
        <v/>
      </c>
      <c r="P7272" s="52"/>
    </row>
    <row r="7273">
      <c r="F7273" s="116" t="str">
        <f t="shared" si="1"/>
        <v/>
      </c>
      <c r="P7273" s="52"/>
    </row>
    <row r="7274">
      <c r="F7274" s="116" t="str">
        <f t="shared" si="1"/>
        <v/>
      </c>
      <c r="P7274" s="52"/>
    </row>
    <row r="7275">
      <c r="F7275" s="116" t="str">
        <f t="shared" si="1"/>
        <v/>
      </c>
      <c r="P7275" s="52"/>
    </row>
    <row r="7276">
      <c r="F7276" s="116" t="str">
        <f t="shared" si="1"/>
        <v/>
      </c>
      <c r="P7276" s="52"/>
    </row>
    <row r="7277">
      <c r="F7277" s="116" t="str">
        <f t="shared" si="1"/>
        <v/>
      </c>
      <c r="P7277" s="52"/>
    </row>
    <row r="7278">
      <c r="F7278" s="116" t="str">
        <f t="shared" si="1"/>
        <v/>
      </c>
      <c r="P7278" s="52"/>
    </row>
    <row r="7279">
      <c r="F7279" s="116" t="str">
        <f t="shared" si="1"/>
        <v/>
      </c>
      <c r="P7279" s="52"/>
    </row>
    <row r="7280">
      <c r="F7280" s="116" t="str">
        <f t="shared" si="1"/>
        <v/>
      </c>
      <c r="P7280" s="52"/>
    </row>
    <row r="7281">
      <c r="F7281" s="116" t="str">
        <f t="shared" si="1"/>
        <v/>
      </c>
      <c r="P7281" s="52"/>
    </row>
    <row r="7282">
      <c r="F7282" s="116" t="str">
        <f t="shared" si="1"/>
        <v/>
      </c>
      <c r="P7282" s="52"/>
    </row>
    <row r="7283">
      <c r="F7283" s="116" t="str">
        <f t="shared" si="1"/>
        <v/>
      </c>
      <c r="P7283" s="52"/>
    </row>
    <row r="7284">
      <c r="F7284" s="116" t="str">
        <f t="shared" si="1"/>
        <v/>
      </c>
      <c r="P7284" s="52"/>
    </row>
    <row r="7285">
      <c r="F7285" s="116" t="str">
        <f t="shared" si="1"/>
        <v/>
      </c>
      <c r="P7285" s="52"/>
    </row>
    <row r="7286">
      <c r="F7286" s="116" t="str">
        <f t="shared" si="1"/>
        <v/>
      </c>
      <c r="P7286" s="52"/>
    </row>
    <row r="7287">
      <c r="F7287" s="116" t="str">
        <f t="shared" si="1"/>
        <v/>
      </c>
      <c r="P7287" s="52"/>
    </row>
    <row r="7288">
      <c r="F7288" s="116" t="str">
        <f t="shared" si="1"/>
        <v/>
      </c>
      <c r="P7288" s="52"/>
    </row>
    <row r="7289">
      <c r="F7289" s="116" t="str">
        <f t="shared" si="1"/>
        <v/>
      </c>
      <c r="P7289" s="52"/>
    </row>
    <row r="7290">
      <c r="F7290" s="116" t="str">
        <f t="shared" si="1"/>
        <v/>
      </c>
      <c r="P7290" s="52"/>
    </row>
    <row r="7291">
      <c r="F7291" s="116" t="str">
        <f t="shared" si="1"/>
        <v/>
      </c>
      <c r="P7291" s="52"/>
    </row>
    <row r="7292">
      <c r="F7292" s="116" t="str">
        <f t="shared" si="1"/>
        <v/>
      </c>
      <c r="P7292" s="52"/>
    </row>
    <row r="7293">
      <c r="F7293" s="116" t="str">
        <f t="shared" si="1"/>
        <v/>
      </c>
      <c r="P7293" s="52"/>
    </row>
    <row r="7294">
      <c r="F7294" s="116" t="str">
        <f t="shared" si="1"/>
        <v/>
      </c>
      <c r="P7294" s="52"/>
    </row>
    <row r="7295">
      <c r="F7295" s="116" t="str">
        <f t="shared" si="1"/>
        <v/>
      </c>
      <c r="P7295" s="52"/>
    </row>
    <row r="7296">
      <c r="F7296" s="116" t="str">
        <f t="shared" si="1"/>
        <v/>
      </c>
      <c r="P7296" s="52"/>
    </row>
    <row r="7297">
      <c r="F7297" s="116" t="str">
        <f t="shared" si="1"/>
        <v/>
      </c>
      <c r="P7297" s="52"/>
    </row>
    <row r="7298">
      <c r="F7298" s="116" t="str">
        <f t="shared" si="1"/>
        <v/>
      </c>
      <c r="P7298" s="52"/>
    </row>
    <row r="7299">
      <c r="F7299" s="116" t="str">
        <f t="shared" si="1"/>
        <v/>
      </c>
      <c r="P7299" s="52"/>
    </row>
    <row r="7300">
      <c r="F7300" s="116" t="str">
        <f t="shared" si="1"/>
        <v/>
      </c>
      <c r="P7300" s="52"/>
    </row>
    <row r="7301">
      <c r="F7301" s="116" t="str">
        <f t="shared" si="1"/>
        <v/>
      </c>
      <c r="P7301" s="52"/>
    </row>
    <row r="7302">
      <c r="F7302" s="116" t="str">
        <f t="shared" si="1"/>
        <v/>
      </c>
      <c r="P7302" s="52"/>
    </row>
    <row r="7303">
      <c r="F7303" s="116" t="str">
        <f t="shared" si="1"/>
        <v/>
      </c>
      <c r="P7303" s="52"/>
    </row>
    <row r="7304">
      <c r="F7304" s="116" t="str">
        <f t="shared" si="1"/>
        <v/>
      </c>
      <c r="P7304" s="52"/>
    </row>
    <row r="7305">
      <c r="F7305" s="116" t="str">
        <f t="shared" si="1"/>
        <v/>
      </c>
      <c r="P7305" s="52"/>
    </row>
    <row r="7306">
      <c r="F7306" s="116" t="str">
        <f t="shared" si="1"/>
        <v/>
      </c>
      <c r="P7306" s="52"/>
    </row>
    <row r="7307">
      <c r="F7307" s="116" t="str">
        <f t="shared" si="1"/>
        <v/>
      </c>
      <c r="P7307" s="52"/>
    </row>
    <row r="7308">
      <c r="F7308" s="116" t="str">
        <f t="shared" si="1"/>
        <v/>
      </c>
      <c r="P7308" s="52"/>
    </row>
    <row r="7309">
      <c r="F7309" s="116" t="str">
        <f t="shared" si="1"/>
        <v/>
      </c>
      <c r="P7309" s="52"/>
    </row>
    <row r="7310">
      <c r="F7310" s="116" t="str">
        <f t="shared" si="1"/>
        <v/>
      </c>
      <c r="P7310" s="52"/>
    </row>
    <row r="7311">
      <c r="F7311" s="116" t="str">
        <f t="shared" si="1"/>
        <v/>
      </c>
      <c r="P7311" s="52"/>
    </row>
    <row r="7312">
      <c r="F7312" s="116" t="str">
        <f t="shared" si="1"/>
        <v/>
      </c>
      <c r="P7312" s="52"/>
    </row>
    <row r="7313">
      <c r="F7313" s="116" t="str">
        <f t="shared" si="1"/>
        <v/>
      </c>
      <c r="P7313" s="52"/>
    </row>
    <row r="7314">
      <c r="F7314" s="116" t="str">
        <f t="shared" si="1"/>
        <v/>
      </c>
      <c r="P7314" s="52"/>
    </row>
    <row r="7315">
      <c r="F7315" s="116" t="str">
        <f t="shared" si="1"/>
        <v/>
      </c>
      <c r="P7315" s="52"/>
    </row>
    <row r="7316">
      <c r="F7316" s="116" t="str">
        <f t="shared" si="1"/>
        <v/>
      </c>
      <c r="P7316" s="52"/>
    </row>
    <row r="7317">
      <c r="F7317" s="116" t="str">
        <f t="shared" si="1"/>
        <v/>
      </c>
      <c r="P7317" s="52"/>
    </row>
    <row r="7318">
      <c r="F7318" s="116" t="str">
        <f t="shared" si="1"/>
        <v/>
      </c>
      <c r="P7318" s="52"/>
    </row>
    <row r="7319">
      <c r="F7319" s="116" t="str">
        <f t="shared" si="1"/>
        <v/>
      </c>
      <c r="P7319" s="52"/>
    </row>
    <row r="7320">
      <c r="F7320" s="116" t="str">
        <f t="shared" si="1"/>
        <v/>
      </c>
      <c r="P7320" s="52"/>
    </row>
    <row r="7321">
      <c r="F7321" s="116" t="str">
        <f t="shared" si="1"/>
        <v/>
      </c>
      <c r="P7321" s="52"/>
    </row>
    <row r="7322">
      <c r="F7322" s="116" t="str">
        <f t="shared" si="1"/>
        <v/>
      </c>
      <c r="P7322" s="52"/>
    </row>
    <row r="7323">
      <c r="F7323" s="116" t="str">
        <f t="shared" si="1"/>
        <v/>
      </c>
      <c r="P7323" s="52"/>
    </row>
    <row r="7324">
      <c r="F7324" s="116" t="str">
        <f t="shared" si="1"/>
        <v/>
      </c>
      <c r="P7324" s="52"/>
    </row>
    <row r="7325">
      <c r="F7325" s="116" t="str">
        <f t="shared" si="1"/>
        <v/>
      </c>
      <c r="P7325" s="52"/>
    </row>
    <row r="7326">
      <c r="F7326" s="116" t="str">
        <f t="shared" si="1"/>
        <v/>
      </c>
      <c r="P7326" s="52"/>
    </row>
    <row r="7327">
      <c r="F7327" s="116" t="str">
        <f t="shared" si="1"/>
        <v/>
      </c>
      <c r="P7327" s="52"/>
    </row>
    <row r="7328">
      <c r="F7328" s="116" t="str">
        <f t="shared" si="1"/>
        <v/>
      </c>
      <c r="P7328" s="52"/>
    </row>
    <row r="7329">
      <c r="F7329" s="116" t="str">
        <f t="shared" si="1"/>
        <v/>
      </c>
      <c r="P7329" s="52"/>
    </row>
    <row r="7330">
      <c r="F7330" s="116" t="str">
        <f t="shared" si="1"/>
        <v/>
      </c>
      <c r="P7330" s="52"/>
    </row>
    <row r="7331">
      <c r="F7331" s="116" t="str">
        <f t="shared" si="1"/>
        <v/>
      </c>
      <c r="P7331" s="52"/>
    </row>
    <row r="7332">
      <c r="F7332" s="116" t="str">
        <f t="shared" si="1"/>
        <v/>
      </c>
      <c r="P7332" s="52"/>
    </row>
    <row r="7333">
      <c r="F7333" s="116" t="str">
        <f t="shared" si="1"/>
        <v/>
      </c>
      <c r="P7333" s="52"/>
    </row>
    <row r="7334">
      <c r="F7334" s="116" t="str">
        <f t="shared" si="1"/>
        <v/>
      </c>
      <c r="P7334" s="52"/>
    </row>
    <row r="7335">
      <c r="F7335" s="116" t="str">
        <f t="shared" si="1"/>
        <v/>
      </c>
      <c r="P7335" s="52"/>
    </row>
    <row r="7336">
      <c r="F7336" s="116" t="str">
        <f t="shared" si="1"/>
        <v/>
      </c>
      <c r="P7336" s="52"/>
    </row>
    <row r="7337">
      <c r="F7337" s="116" t="str">
        <f t="shared" si="1"/>
        <v/>
      </c>
      <c r="P7337" s="52"/>
    </row>
    <row r="7338">
      <c r="F7338" s="116" t="str">
        <f t="shared" si="1"/>
        <v/>
      </c>
      <c r="P7338" s="52"/>
    </row>
    <row r="7339">
      <c r="F7339" s="116" t="str">
        <f t="shared" si="1"/>
        <v/>
      </c>
      <c r="P7339" s="52"/>
    </row>
    <row r="7340">
      <c r="F7340" s="116" t="str">
        <f t="shared" si="1"/>
        <v/>
      </c>
      <c r="P7340" s="52"/>
    </row>
    <row r="7341">
      <c r="F7341" s="116" t="str">
        <f t="shared" si="1"/>
        <v/>
      </c>
      <c r="P7341" s="52"/>
    </row>
    <row r="7342">
      <c r="F7342" s="116" t="str">
        <f t="shared" si="1"/>
        <v/>
      </c>
      <c r="P7342" s="52"/>
    </row>
    <row r="7343">
      <c r="F7343" s="116" t="str">
        <f t="shared" si="1"/>
        <v/>
      </c>
      <c r="P7343" s="52"/>
    </row>
    <row r="7344">
      <c r="F7344" s="116" t="str">
        <f t="shared" si="1"/>
        <v/>
      </c>
      <c r="P7344" s="52"/>
    </row>
    <row r="7345">
      <c r="F7345" s="116" t="str">
        <f t="shared" si="1"/>
        <v/>
      </c>
      <c r="P7345" s="52"/>
    </row>
    <row r="7346">
      <c r="F7346" s="116" t="str">
        <f t="shared" si="1"/>
        <v/>
      </c>
      <c r="P7346" s="52"/>
    </row>
    <row r="7347">
      <c r="F7347" s="116" t="str">
        <f t="shared" si="1"/>
        <v/>
      </c>
      <c r="P7347" s="52"/>
    </row>
    <row r="7348">
      <c r="F7348" s="116" t="str">
        <f t="shared" si="1"/>
        <v/>
      </c>
      <c r="P7348" s="52"/>
    </row>
    <row r="7349">
      <c r="F7349" s="116" t="str">
        <f t="shared" si="1"/>
        <v/>
      </c>
      <c r="P7349" s="52"/>
    </row>
    <row r="7350">
      <c r="F7350" s="116" t="str">
        <f t="shared" si="1"/>
        <v/>
      </c>
      <c r="P7350" s="52"/>
    </row>
    <row r="7351">
      <c r="F7351" s="116" t="str">
        <f t="shared" si="1"/>
        <v/>
      </c>
      <c r="P7351" s="52"/>
    </row>
    <row r="7352">
      <c r="F7352" s="116" t="str">
        <f t="shared" si="1"/>
        <v/>
      </c>
      <c r="P7352" s="52"/>
    </row>
    <row r="7353">
      <c r="F7353" s="116" t="str">
        <f t="shared" si="1"/>
        <v/>
      </c>
      <c r="P7353" s="52"/>
    </row>
    <row r="7354">
      <c r="F7354" s="116" t="str">
        <f t="shared" si="1"/>
        <v/>
      </c>
      <c r="P7354" s="52"/>
    </row>
    <row r="7355">
      <c r="F7355" s="116" t="str">
        <f t="shared" si="1"/>
        <v/>
      </c>
      <c r="P7355" s="52"/>
    </row>
    <row r="7356">
      <c r="F7356" s="116" t="str">
        <f t="shared" si="1"/>
        <v/>
      </c>
      <c r="P7356" s="52"/>
    </row>
    <row r="7357">
      <c r="F7357" s="116" t="str">
        <f t="shared" si="1"/>
        <v/>
      </c>
      <c r="P7357" s="52"/>
    </row>
    <row r="7358">
      <c r="F7358" s="116" t="str">
        <f t="shared" si="1"/>
        <v/>
      </c>
      <c r="P7358" s="52"/>
    </row>
    <row r="7359">
      <c r="F7359" s="116" t="str">
        <f t="shared" si="1"/>
        <v/>
      </c>
      <c r="P7359" s="52"/>
    </row>
    <row r="7360">
      <c r="F7360" s="116" t="str">
        <f t="shared" si="1"/>
        <v/>
      </c>
      <c r="P7360" s="52"/>
    </row>
    <row r="7361">
      <c r="F7361" s="116" t="str">
        <f t="shared" si="1"/>
        <v/>
      </c>
      <c r="P7361" s="52"/>
    </row>
    <row r="7362">
      <c r="F7362" s="116" t="str">
        <f t="shared" si="1"/>
        <v/>
      </c>
      <c r="P7362" s="52"/>
    </row>
    <row r="7363">
      <c r="F7363" s="116" t="str">
        <f t="shared" si="1"/>
        <v/>
      </c>
      <c r="P7363" s="52"/>
    </row>
    <row r="7364">
      <c r="F7364" s="116" t="str">
        <f t="shared" si="1"/>
        <v/>
      </c>
      <c r="P7364" s="52"/>
    </row>
    <row r="7365">
      <c r="F7365" s="116" t="str">
        <f t="shared" si="1"/>
        <v/>
      </c>
      <c r="P7365" s="52"/>
    </row>
    <row r="7366">
      <c r="F7366" s="116" t="str">
        <f t="shared" si="1"/>
        <v/>
      </c>
      <c r="P7366" s="52"/>
    </row>
    <row r="7367">
      <c r="F7367" s="116" t="str">
        <f t="shared" si="1"/>
        <v/>
      </c>
      <c r="P7367" s="52"/>
    </row>
    <row r="7368">
      <c r="F7368" s="116" t="str">
        <f t="shared" si="1"/>
        <v/>
      </c>
      <c r="P7368" s="52"/>
    </row>
    <row r="7369">
      <c r="F7369" s="116" t="str">
        <f t="shared" si="1"/>
        <v/>
      </c>
      <c r="P7369" s="52"/>
    </row>
    <row r="7370">
      <c r="F7370" s="116" t="str">
        <f t="shared" si="1"/>
        <v/>
      </c>
      <c r="P7370" s="52"/>
    </row>
    <row r="7371">
      <c r="F7371" s="116" t="str">
        <f t="shared" si="1"/>
        <v/>
      </c>
      <c r="P7371" s="52"/>
    </row>
    <row r="7372">
      <c r="F7372" s="116" t="str">
        <f t="shared" si="1"/>
        <v/>
      </c>
      <c r="P7372" s="52"/>
    </row>
    <row r="7373">
      <c r="F7373" s="116" t="str">
        <f t="shared" si="1"/>
        <v/>
      </c>
      <c r="P7373" s="52"/>
    </row>
    <row r="7374">
      <c r="F7374" s="116" t="str">
        <f t="shared" si="1"/>
        <v/>
      </c>
      <c r="P7374" s="52"/>
    </row>
    <row r="7375">
      <c r="F7375" s="116" t="str">
        <f t="shared" si="1"/>
        <v/>
      </c>
      <c r="P7375" s="52"/>
    </row>
    <row r="7376">
      <c r="F7376" s="116" t="str">
        <f t="shared" si="1"/>
        <v/>
      </c>
      <c r="P7376" s="52"/>
    </row>
    <row r="7377">
      <c r="F7377" s="116" t="str">
        <f t="shared" si="1"/>
        <v/>
      </c>
      <c r="P7377" s="52"/>
    </row>
    <row r="7378">
      <c r="F7378" s="116" t="str">
        <f t="shared" si="1"/>
        <v/>
      </c>
      <c r="P7378" s="52"/>
    </row>
    <row r="7379">
      <c r="F7379" s="116" t="str">
        <f t="shared" si="1"/>
        <v/>
      </c>
      <c r="P7379" s="52"/>
    </row>
    <row r="7380">
      <c r="F7380" s="116" t="str">
        <f t="shared" si="1"/>
        <v/>
      </c>
      <c r="P7380" s="52"/>
    </row>
    <row r="7381">
      <c r="F7381" s="116" t="str">
        <f t="shared" si="1"/>
        <v/>
      </c>
      <c r="P7381" s="52"/>
    </row>
    <row r="7382">
      <c r="F7382" s="116" t="str">
        <f t="shared" si="1"/>
        <v/>
      </c>
      <c r="P7382" s="52"/>
    </row>
    <row r="7383">
      <c r="F7383" s="116" t="str">
        <f t="shared" si="1"/>
        <v/>
      </c>
      <c r="P7383" s="52"/>
    </row>
    <row r="7384">
      <c r="F7384" s="116" t="str">
        <f t="shared" si="1"/>
        <v/>
      </c>
      <c r="P7384" s="52"/>
    </row>
    <row r="7385">
      <c r="F7385" s="116" t="str">
        <f t="shared" si="1"/>
        <v/>
      </c>
      <c r="P7385" s="52"/>
    </row>
    <row r="7386">
      <c r="F7386" s="116" t="str">
        <f t="shared" si="1"/>
        <v/>
      </c>
      <c r="P7386" s="52"/>
    </row>
    <row r="7387">
      <c r="F7387" s="116" t="str">
        <f t="shared" si="1"/>
        <v/>
      </c>
      <c r="P7387" s="52"/>
    </row>
    <row r="7388">
      <c r="F7388" s="116" t="str">
        <f t="shared" si="1"/>
        <v/>
      </c>
      <c r="P7388" s="52"/>
    </row>
    <row r="7389">
      <c r="F7389" s="116" t="str">
        <f t="shared" si="1"/>
        <v/>
      </c>
      <c r="P7389" s="52"/>
    </row>
    <row r="7390">
      <c r="F7390" s="116" t="str">
        <f t="shared" si="1"/>
        <v/>
      </c>
      <c r="P7390" s="52"/>
    </row>
    <row r="7391">
      <c r="F7391" s="116" t="str">
        <f t="shared" si="1"/>
        <v/>
      </c>
      <c r="P7391" s="52"/>
    </row>
    <row r="7392">
      <c r="F7392" s="116" t="str">
        <f t="shared" si="1"/>
        <v/>
      </c>
      <c r="P7392" s="52"/>
    </row>
    <row r="7393">
      <c r="F7393" s="116" t="str">
        <f t="shared" si="1"/>
        <v/>
      </c>
      <c r="P7393" s="52"/>
    </row>
    <row r="7394">
      <c r="F7394" s="116" t="str">
        <f t="shared" si="1"/>
        <v/>
      </c>
      <c r="P7394" s="52"/>
    </row>
    <row r="7395">
      <c r="F7395" s="116" t="str">
        <f t="shared" si="1"/>
        <v/>
      </c>
      <c r="P7395" s="52"/>
    </row>
    <row r="7396">
      <c r="F7396" s="116" t="str">
        <f t="shared" si="1"/>
        <v/>
      </c>
      <c r="P7396" s="52"/>
    </row>
    <row r="7397">
      <c r="F7397" s="116" t="str">
        <f t="shared" si="1"/>
        <v/>
      </c>
      <c r="P7397" s="52"/>
    </row>
    <row r="7398">
      <c r="F7398" s="116" t="str">
        <f t="shared" si="1"/>
        <v/>
      </c>
      <c r="P7398" s="52"/>
    </row>
    <row r="7399">
      <c r="F7399" s="116" t="str">
        <f t="shared" si="1"/>
        <v/>
      </c>
      <c r="P7399" s="52"/>
    </row>
    <row r="7400">
      <c r="F7400" s="116" t="str">
        <f t="shared" si="1"/>
        <v/>
      </c>
      <c r="P7400" s="52"/>
    </row>
    <row r="7401">
      <c r="F7401" s="116" t="str">
        <f t="shared" si="1"/>
        <v/>
      </c>
      <c r="P7401" s="52"/>
    </row>
    <row r="7402">
      <c r="F7402" s="116" t="str">
        <f t="shared" si="1"/>
        <v/>
      </c>
      <c r="P7402" s="52"/>
    </row>
    <row r="7403">
      <c r="F7403" s="116" t="str">
        <f t="shared" si="1"/>
        <v/>
      </c>
      <c r="P7403" s="52"/>
    </row>
    <row r="7404">
      <c r="F7404" s="116" t="str">
        <f t="shared" si="1"/>
        <v/>
      </c>
      <c r="P7404" s="52"/>
    </row>
    <row r="7405">
      <c r="F7405" s="116" t="str">
        <f t="shared" si="1"/>
        <v/>
      </c>
      <c r="P7405" s="52"/>
    </row>
    <row r="7406">
      <c r="F7406" s="116" t="str">
        <f t="shared" si="1"/>
        <v/>
      </c>
      <c r="P7406" s="52"/>
    </row>
    <row r="7407">
      <c r="F7407" s="116" t="str">
        <f t="shared" si="1"/>
        <v/>
      </c>
      <c r="P7407" s="52"/>
    </row>
    <row r="7408">
      <c r="F7408" s="116" t="str">
        <f t="shared" si="1"/>
        <v/>
      </c>
      <c r="P7408" s="52"/>
    </row>
    <row r="7409">
      <c r="F7409" s="116" t="str">
        <f t="shared" si="1"/>
        <v/>
      </c>
      <c r="P7409" s="52"/>
    </row>
    <row r="7410">
      <c r="F7410" s="116" t="str">
        <f t="shared" si="1"/>
        <v/>
      </c>
      <c r="P7410" s="52"/>
    </row>
    <row r="7411">
      <c r="F7411" s="116" t="str">
        <f t="shared" si="1"/>
        <v/>
      </c>
      <c r="P7411" s="52"/>
    </row>
    <row r="7412">
      <c r="F7412" s="116" t="str">
        <f t="shared" si="1"/>
        <v/>
      </c>
      <c r="P7412" s="52"/>
    </row>
    <row r="7413">
      <c r="F7413" s="116" t="str">
        <f t="shared" si="1"/>
        <v/>
      </c>
      <c r="P7413" s="52"/>
    </row>
    <row r="7414">
      <c r="F7414" s="116" t="str">
        <f t="shared" si="1"/>
        <v/>
      </c>
      <c r="P7414" s="52"/>
    </row>
    <row r="7415">
      <c r="F7415" s="116" t="str">
        <f t="shared" si="1"/>
        <v/>
      </c>
      <c r="P7415" s="52"/>
    </row>
    <row r="7416">
      <c r="F7416" s="116" t="str">
        <f t="shared" si="1"/>
        <v/>
      </c>
      <c r="P7416" s="52"/>
    </row>
    <row r="7417">
      <c r="F7417" s="116" t="str">
        <f t="shared" si="1"/>
        <v/>
      </c>
      <c r="P7417" s="52"/>
    </row>
    <row r="7418">
      <c r="F7418" s="116" t="str">
        <f t="shared" si="1"/>
        <v/>
      </c>
      <c r="P7418" s="52"/>
    </row>
    <row r="7419">
      <c r="F7419" s="116" t="str">
        <f t="shared" si="1"/>
        <v/>
      </c>
      <c r="P7419" s="52"/>
    </row>
    <row r="7420">
      <c r="F7420" s="116" t="str">
        <f t="shared" si="1"/>
        <v/>
      </c>
      <c r="P7420" s="52"/>
    </row>
    <row r="7421">
      <c r="F7421" s="116" t="str">
        <f t="shared" si="1"/>
        <v/>
      </c>
      <c r="P7421" s="52"/>
    </row>
    <row r="7422">
      <c r="F7422" s="116" t="str">
        <f t="shared" si="1"/>
        <v/>
      </c>
      <c r="P7422" s="52"/>
    </row>
    <row r="7423">
      <c r="F7423" s="116" t="str">
        <f t="shared" si="1"/>
        <v/>
      </c>
      <c r="P7423" s="52"/>
    </row>
    <row r="7424">
      <c r="F7424" s="116" t="str">
        <f t="shared" si="1"/>
        <v/>
      </c>
      <c r="P7424" s="52"/>
    </row>
    <row r="7425">
      <c r="F7425" s="116" t="str">
        <f t="shared" si="1"/>
        <v/>
      </c>
      <c r="P7425" s="52"/>
    </row>
    <row r="7426">
      <c r="F7426" s="116" t="str">
        <f t="shared" si="1"/>
        <v/>
      </c>
      <c r="P7426" s="52"/>
    </row>
    <row r="7427">
      <c r="F7427" s="116" t="str">
        <f t="shared" si="1"/>
        <v/>
      </c>
      <c r="P7427" s="52"/>
    </row>
    <row r="7428">
      <c r="F7428" s="116" t="str">
        <f t="shared" si="1"/>
        <v/>
      </c>
      <c r="P7428" s="52"/>
    </row>
    <row r="7429">
      <c r="F7429" s="116" t="str">
        <f t="shared" si="1"/>
        <v/>
      </c>
      <c r="P7429" s="52"/>
    </row>
    <row r="7430">
      <c r="F7430" s="116" t="str">
        <f t="shared" si="1"/>
        <v/>
      </c>
      <c r="P7430" s="52"/>
    </row>
    <row r="7431">
      <c r="F7431" s="116" t="str">
        <f t="shared" si="1"/>
        <v/>
      </c>
      <c r="P7431" s="52"/>
    </row>
    <row r="7432">
      <c r="F7432" s="116" t="str">
        <f t="shared" si="1"/>
        <v/>
      </c>
      <c r="P7432" s="52"/>
    </row>
    <row r="7433">
      <c r="F7433" s="116" t="str">
        <f t="shared" si="1"/>
        <v/>
      </c>
      <c r="P7433" s="52"/>
    </row>
    <row r="7434">
      <c r="F7434" s="116" t="str">
        <f t="shared" si="1"/>
        <v/>
      </c>
      <c r="P7434" s="52"/>
    </row>
    <row r="7435">
      <c r="F7435" s="116" t="str">
        <f t="shared" si="1"/>
        <v/>
      </c>
      <c r="P7435" s="52"/>
    </row>
    <row r="7436">
      <c r="F7436" s="116" t="str">
        <f t="shared" si="1"/>
        <v/>
      </c>
      <c r="P7436" s="52"/>
    </row>
    <row r="7437">
      <c r="F7437" s="116" t="str">
        <f t="shared" si="1"/>
        <v/>
      </c>
      <c r="P7437" s="52"/>
    </row>
    <row r="7438">
      <c r="F7438" s="116" t="str">
        <f t="shared" si="1"/>
        <v/>
      </c>
      <c r="P7438" s="52"/>
    </row>
    <row r="7439">
      <c r="F7439" s="116" t="str">
        <f t="shared" si="1"/>
        <v/>
      </c>
      <c r="P7439" s="52"/>
    </row>
    <row r="7440">
      <c r="F7440" s="116" t="str">
        <f t="shared" si="1"/>
        <v/>
      </c>
      <c r="P7440" s="52"/>
    </row>
    <row r="7441">
      <c r="F7441" s="116" t="str">
        <f t="shared" si="1"/>
        <v/>
      </c>
      <c r="P7441" s="52"/>
    </row>
    <row r="7442">
      <c r="F7442" s="116" t="str">
        <f t="shared" si="1"/>
        <v/>
      </c>
      <c r="P7442" s="52"/>
    </row>
    <row r="7443">
      <c r="F7443" s="116" t="str">
        <f t="shared" si="1"/>
        <v/>
      </c>
      <c r="P7443" s="52"/>
    </row>
    <row r="7444">
      <c r="F7444" s="116" t="str">
        <f t="shared" si="1"/>
        <v/>
      </c>
      <c r="P7444" s="52"/>
    </row>
    <row r="7445">
      <c r="F7445" s="116" t="str">
        <f t="shared" si="1"/>
        <v/>
      </c>
      <c r="P7445" s="52"/>
    </row>
    <row r="7446">
      <c r="F7446" s="116" t="str">
        <f t="shared" si="1"/>
        <v/>
      </c>
      <c r="P7446" s="52"/>
    </row>
    <row r="7447">
      <c r="F7447" s="116" t="str">
        <f t="shared" si="1"/>
        <v/>
      </c>
      <c r="P7447" s="52"/>
    </row>
    <row r="7448">
      <c r="F7448" s="116" t="str">
        <f t="shared" si="1"/>
        <v/>
      </c>
      <c r="P7448" s="52"/>
    </row>
    <row r="7449">
      <c r="F7449" s="116" t="str">
        <f t="shared" si="1"/>
        <v/>
      </c>
      <c r="P7449" s="52"/>
    </row>
    <row r="7450">
      <c r="F7450" s="116" t="str">
        <f t="shared" si="1"/>
        <v/>
      </c>
      <c r="P7450" s="52"/>
    </row>
    <row r="7451">
      <c r="F7451" s="116" t="str">
        <f t="shared" si="1"/>
        <v/>
      </c>
      <c r="P7451" s="52"/>
    </row>
    <row r="7452">
      <c r="F7452" s="116" t="str">
        <f t="shared" si="1"/>
        <v/>
      </c>
      <c r="P7452" s="52"/>
    </row>
    <row r="7453">
      <c r="F7453" s="116" t="str">
        <f t="shared" si="1"/>
        <v/>
      </c>
      <c r="P7453" s="52"/>
    </row>
    <row r="7454">
      <c r="F7454" s="116" t="str">
        <f t="shared" si="1"/>
        <v/>
      </c>
      <c r="P7454" s="52"/>
    </row>
    <row r="7455">
      <c r="F7455" s="116" t="str">
        <f t="shared" si="1"/>
        <v/>
      </c>
      <c r="P7455" s="52"/>
    </row>
    <row r="7456">
      <c r="F7456" s="116" t="str">
        <f t="shared" si="1"/>
        <v/>
      </c>
      <c r="P7456" s="52"/>
    </row>
    <row r="7457">
      <c r="F7457" s="116" t="str">
        <f t="shared" si="1"/>
        <v/>
      </c>
      <c r="P7457" s="52"/>
    </row>
    <row r="7458">
      <c r="F7458" s="116" t="str">
        <f t="shared" si="1"/>
        <v/>
      </c>
      <c r="P7458" s="52"/>
    </row>
    <row r="7459">
      <c r="F7459" s="116" t="str">
        <f t="shared" si="1"/>
        <v/>
      </c>
      <c r="P7459" s="52"/>
    </row>
    <row r="7460">
      <c r="F7460" s="116" t="str">
        <f t="shared" si="1"/>
        <v/>
      </c>
      <c r="P7460" s="52"/>
    </row>
    <row r="7461">
      <c r="F7461" s="116" t="str">
        <f t="shared" si="1"/>
        <v/>
      </c>
      <c r="P7461" s="52"/>
    </row>
    <row r="7462">
      <c r="F7462" s="116" t="str">
        <f t="shared" si="1"/>
        <v/>
      </c>
      <c r="P7462" s="52"/>
    </row>
    <row r="7463">
      <c r="F7463" s="116" t="str">
        <f t="shared" si="1"/>
        <v/>
      </c>
      <c r="P7463" s="52"/>
    </row>
    <row r="7464">
      <c r="F7464" s="116" t="str">
        <f t="shared" si="1"/>
        <v/>
      </c>
      <c r="P7464" s="52"/>
    </row>
    <row r="7465">
      <c r="F7465" s="116" t="str">
        <f t="shared" si="1"/>
        <v/>
      </c>
      <c r="P7465" s="52"/>
    </row>
    <row r="7466">
      <c r="F7466" s="116" t="str">
        <f t="shared" si="1"/>
        <v/>
      </c>
      <c r="P7466" s="52"/>
    </row>
    <row r="7467">
      <c r="F7467" s="116" t="str">
        <f t="shared" si="1"/>
        <v/>
      </c>
      <c r="P7467" s="52"/>
    </row>
    <row r="7468">
      <c r="F7468" s="116" t="str">
        <f t="shared" si="1"/>
        <v/>
      </c>
      <c r="P7468" s="52"/>
    </row>
    <row r="7469">
      <c r="F7469" s="116" t="str">
        <f t="shared" si="1"/>
        <v/>
      </c>
      <c r="P7469" s="52"/>
    </row>
    <row r="7470">
      <c r="F7470" s="116" t="str">
        <f t="shared" si="1"/>
        <v/>
      </c>
      <c r="P7470" s="52"/>
    </row>
    <row r="7471">
      <c r="F7471" s="116" t="str">
        <f t="shared" si="1"/>
        <v/>
      </c>
      <c r="P7471" s="52"/>
    </row>
    <row r="7472">
      <c r="F7472" s="116" t="str">
        <f t="shared" si="1"/>
        <v/>
      </c>
      <c r="P7472" s="52"/>
    </row>
    <row r="7473">
      <c r="F7473" s="116" t="str">
        <f t="shared" si="1"/>
        <v/>
      </c>
      <c r="P7473" s="52"/>
    </row>
    <row r="7474">
      <c r="F7474" s="116" t="str">
        <f t="shared" si="1"/>
        <v/>
      </c>
      <c r="P7474" s="52"/>
    </row>
    <row r="7475">
      <c r="F7475" s="116" t="str">
        <f t="shared" si="1"/>
        <v/>
      </c>
      <c r="P7475" s="52"/>
    </row>
    <row r="7476">
      <c r="F7476" s="116" t="str">
        <f t="shared" si="1"/>
        <v/>
      </c>
      <c r="P7476" s="52"/>
    </row>
    <row r="7477">
      <c r="F7477" s="116" t="str">
        <f t="shared" si="1"/>
        <v/>
      </c>
      <c r="P7477" s="52"/>
    </row>
    <row r="7478">
      <c r="F7478" s="116" t="str">
        <f t="shared" si="1"/>
        <v/>
      </c>
      <c r="P7478" s="52"/>
    </row>
    <row r="7479">
      <c r="F7479" s="116" t="str">
        <f t="shared" si="1"/>
        <v/>
      </c>
      <c r="P7479" s="52"/>
    </row>
    <row r="7480">
      <c r="F7480" s="116" t="str">
        <f t="shared" si="1"/>
        <v/>
      </c>
      <c r="P7480" s="52"/>
    </row>
    <row r="7481">
      <c r="F7481" s="116" t="str">
        <f t="shared" si="1"/>
        <v/>
      </c>
      <c r="P7481" s="52"/>
    </row>
    <row r="7482">
      <c r="F7482" s="116" t="str">
        <f t="shared" si="1"/>
        <v/>
      </c>
      <c r="P7482" s="52"/>
    </row>
    <row r="7483">
      <c r="F7483" s="116" t="str">
        <f t="shared" si="1"/>
        <v/>
      </c>
      <c r="P7483" s="52"/>
    </row>
    <row r="7484">
      <c r="F7484" s="116" t="str">
        <f t="shared" si="1"/>
        <v/>
      </c>
      <c r="P7484" s="52"/>
    </row>
    <row r="7485">
      <c r="F7485" s="116" t="str">
        <f t="shared" si="1"/>
        <v/>
      </c>
      <c r="P7485" s="52"/>
    </row>
    <row r="7486">
      <c r="F7486" s="116" t="str">
        <f t="shared" si="1"/>
        <v/>
      </c>
      <c r="P7486" s="52"/>
    </row>
    <row r="7487">
      <c r="F7487" s="116" t="str">
        <f t="shared" si="1"/>
        <v/>
      </c>
      <c r="P7487" s="52"/>
    </row>
    <row r="7488">
      <c r="F7488" s="116" t="str">
        <f t="shared" si="1"/>
        <v/>
      </c>
      <c r="P7488" s="52"/>
    </row>
    <row r="7489">
      <c r="F7489" s="116" t="str">
        <f t="shared" si="1"/>
        <v/>
      </c>
      <c r="P7489" s="52"/>
    </row>
    <row r="7490">
      <c r="F7490" s="116" t="str">
        <f t="shared" si="1"/>
        <v/>
      </c>
      <c r="P7490" s="52"/>
    </row>
    <row r="7491">
      <c r="F7491" s="116" t="str">
        <f t="shared" si="1"/>
        <v/>
      </c>
      <c r="P7491" s="52"/>
    </row>
    <row r="7492">
      <c r="F7492" s="116" t="str">
        <f t="shared" si="1"/>
        <v/>
      </c>
      <c r="P7492" s="52"/>
    </row>
    <row r="7493">
      <c r="F7493" s="116" t="str">
        <f t="shared" si="1"/>
        <v/>
      </c>
      <c r="P7493" s="52"/>
    </row>
    <row r="7494">
      <c r="F7494" s="116" t="str">
        <f t="shared" si="1"/>
        <v/>
      </c>
      <c r="P7494" s="52"/>
    </row>
    <row r="7495">
      <c r="F7495" s="116" t="str">
        <f t="shared" si="1"/>
        <v/>
      </c>
      <c r="P7495" s="52"/>
    </row>
    <row r="7496">
      <c r="F7496" s="116" t="str">
        <f t="shared" si="1"/>
        <v/>
      </c>
      <c r="P7496" s="52"/>
    </row>
    <row r="7497">
      <c r="F7497" s="116" t="str">
        <f t="shared" si="1"/>
        <v/>
      </c>
      <c r="P7497" s="52"/>
    </row>
    <row r="7498">
      <c r="F7498" s="116" t="str">
        <f t="shared" si="1"/>
        <v/>
      </c>
      <c r="P7498" s="52"/>
    </row>
    <row r="7499">
      <c r="F7499" s="116" t="str">
        <f t="shared" si="1"/>
        <v/>
      </c>
      <c r="P7499" s="52"/>
    </row>
    <row r="7500">
      <c r="F7500" s="116" t="str">
        <f t="shared" si="1"/>
        <v/>
      </c>
      <c r="P7500" s="52"/>
    </row>
    <row r="7501">
      <c r="F7501" s="116" t="str">
        <f t="shared" si="1"/>
        <v/>
      </c>
      <c r="P7501" s="52"/>
    </row>
    <row r="7502">
      <c r="F7502" s="116" t="str">
        <f t="shared" si="1"/>
        <v/>
      </c>
      <c r="P7502" s="52"/>
    </row>
    <row r="7503">
      <c r="F7503" s="116" t="str">
        <f t="shared" si="1"/>
        <v/>
      </c>
      <c r="P7503" s="52"/>
    </row>
    <row r="7504">
      <c r="F7504" s="116" t="str">
        <f t="shared" si="1"/>
        <v/>
      </c>
      <c r="P7504" s="52"/>
    </row>
    <row r="7505">
      <c r="F7505" s="116" t="str">
        <f t="shared" si="1"/>
        <v/>
      </c>
      <c r="P7505" s="52"/>
    </row>
    <row r="7506">
      <c r="F7506" s="116" t="str">
        <f t="shared" si="1"/>
        <v/>
      </c>
      <c r="P7506" s="52"/>
    </row>
    <row r="7507">
      <c r="F7507" s="116" t="str">
        <f t="shared" si="1"/>
        <v/>
      </c>
      <c r="P7507" s="52"/>
    </row>
    <row r="7508">
      <c r="F7508" s="116" t="str">
        <f t="shared" si="1"/>
        <v/>
      </c>
      <c r="P7508" s="52"/>
    </row>
    <row r="7509">
      <c r="F7509" s="116" t="str">
        <f t="shared" si="1"/>
        <v/>
      </c>
      <c r="P7509" s="52"/>
    </row>
    <row r="7510">
      <c r="F7510" s="116" t="str">
        <f t="shared" si="1"/>
        <v/>
      </c>
      <c r="P7510" s="52"/>
    </row>
    <row r="7511">
      <c r="F7511" s="116" t="str">
        <f t="shared" si="1"/>
        <v/>
      </c>
      <c r="P7511" s="52"/>
    </row>
    <row r="7512">
      <c r="F7512" s="116" t="str">
        <f t="shared" si="1"/>
        <v/>
      </c>
      <c r="P7512" s="52"/>
    </row>
    <row r="7513">
      <c r="F7513" s="116" t="str">
        <f t="shared" si="1"/>
        <v/>
      </c>
      <c r="P7513" s="52"/>
    </row>
    <row r="7514">
      <c r="F7514" s="116" t="str">
        <f t="shared" si="1"/>
        <v/>
      </c>
      <c r="P7514" s="52"/>
    </row>
    <row r="7515">
      <c r="F7515" s="116" t="str">
        <f t="shared" si="1"/>
        <v/>
      </c>
      <c r="P7515" s="52"/>
    </row>
    <row r="7516">
      <c r="F7516" s="116" t="str">
        <f t="shared" si="1"/>
        <v/>
      </c>
      <c r="P7516" s="52"/>
    </row>
    <row r="7517">
      <c r="F7517" s="116" t="str">
        <f t="shared" si="1"/>
        <v/>
      </c>
      <c r="P7517" s="52"/>
    </row>
    <row r="7518">
      <c r="F7518" s="116" t="str">
        <f t="shared" si="1"/>
        <v/>
      </c>
      <c r="P7518" s="52"/>
    </row>
    <row r="7519">
      <c r="F7519" s="116" t="str">
        <f t="shared" si="1"/>
        <v/>
      </c>
      <c r="P7519" s="52"/>
    </row>
    <row r="7520">
      <c r="F7520" s="116" t="str">
        <f t="shared" si="1"/>
        <v/>
      </c>
      <c r="P7520" s="52"/>
    </row>
    <row r="7521">
      <c r="F7521" s="116" t="str">
        <f t="shared" si="1"/>
        <v/>
      </c>
      <c r="P7521" s="52"/>
    </row>
    <row r="7522">
      <c r="F7522" s="116" t="str">
        <f t="shared" si="1"/>
        <v/>
      </c>
      <c r="P7522" s="52"/>
    </row>
    <row r="7523">
      <c r="F7523" s="116" t="str">
        <f t="shared" si="1"/>
        <v/>
      </c>
      <c r="P7523" s="52"/>
    </row>
    <row r="7524">
      <c r="F7524" s="116" t="str">
        <f t="shared" si="1"/>
        <v/>
      </c>
      <c r="P7524" s="52"/>
    </row>
    <row r="7525">
      <c r="F7525" s="116" t="str">
        <f t="shared" si="1"/>
        <v/>
      </c>
      <c r="P7525" s="52"/>
    </row>
    <row r="7526">
      <c r="F7526" s="116" t="str">
        <f t="shared" si="1"/>
        <v/>
      </c>
      <c r="P7526" s="52"/>
    </row>
    <row r="7527">
      <c r="F7527" s="116" t="str">
        <f t="shared" si="1"/>
        <v/>
      </c>
      <c r="P7527" s="52"/>
    </row>
    <row r="7528">
      <c r="F7528" s="116" t="str">
        <f t="shared" si="1"/>
        <v/>
      </c>
      <c r="P7528" s="52"/>
    </row>
    <row r="7529">
      <c r="F7529" s="116" t="str">
        <f t="shared" si="1"/>
        <v/>
      </c>
      <c r="P7529" s="52"/>
    </row>
    <row r="7530">
      <c r="F7530" s="116" t="str">
        <f t="shared" si="1"/>
        <v/>
      </c>
      <c r="P7530" s="52"/>
    </row>
    <row r="7531">
      <c r="F7531" s="116" t="str">
        <f t="shared" si="1"/>
        <v/>
      </c>
      <c r="P7531" s="52"/>
    </row>
    <row r="7532">
      <c r="F7532" s="116" t="str">
        <f t="shared" si="1"/>
        <v/>
      </c>
      <c r="P7532" s="52"/>
    </row>
    <row r="7533">
      <c r="F7533" s="116" t="str">
        <f t="shared" si="1"/>
        <v/>
      </c>
      <c r="P7533" s="52"/>
    </row>
    <row r="7534">
      <c r="F7534" s="116" t="str">
        <f t="shared" si="1"/>
        <v/>
      </c>
      <c r="P7534" s="52"/>
    </row>
    <row r="7535">
      <c r="F7535" s="116" t="str">
        <f t="shared" si="1"/>
        <v/>
      </c>
      <c r="P7535" s="52"/>
    </row>
    <row r="7536">
      <c r="F7536" s="116" t="str">
        <f t="shared" si="1"/>
        <v/>
      </c>
      <c r="P7536" s="52"/>
    </row>
    <row r="7537">
      <c r="F7537" s="116" t="str">
        <f t="shared" si="1"/>
        <v/>
      </c>
      <c r="P7537" s="52"/>
    </row>
    <row r="7538">
      <c r="F7538" s="116" t="str">
        <f t="shared" si="1"/>
        <v/>
      </c>
      <c r="P7538" s="52"/>
    </row>
    <row r="7539">
      <c r="F7539" s="116" t="str">
        <f t="shared" si="1"/>
        <v/>
      </c>
      <c r="P7539" s="52"/>
    </row>
    <row r="7540">
      <c r="F7540" s="116" t="str">
        <f t="shared" si="1"/>
        <v/>
      </c>
      <c r="P7540" s="52"/>
    </row>
    <row r="7541">
      <c r="F7541" s="116" t="str">
        <f t="shared" si="1"/>
        <v/>
      </c>
      <c r="P7541" s="52"/>
    </row>
    <row r="7542">
      <c r="F7542" s="116" t="str">
        <f t="shared" si="1"/>
        <v/>
      </c>
      <c r="P7542" s="52"/>
    </row>
    <row r="7543">
      <c r="F7543" s="116" t="str">
        <f t="shared" si="1"/>
        <v/>
      </c>
      <c r="P7543" s="52"/>
    </row>
    <row r="7544">
      <c r="F7544" s="116" t="str">
        <f t="shared" si="1"/>
        <v/>
      </c>
      <c r="P7544" s="52"/>
    </row>
    <row r="7545">
      <c r="F7545" s="116" t="str">
        <f t="shared" si="1"/>
        <v/>
      </c>
      <c r="P7545" s="52"/>
    </row>
    <row r="7546">
      <c r="F7546" s="116" t="str">
        <f t="shared" si="1"/>
        <v/>
      </c>
      <c r="P7546" s="52"/>
    </row>
    <row r="7547">
      <c r="F7547" s="116" t="str">
        <f t="shared" si="1"/>
        <v/>
      </c>
      <c r="P7547" s="52"/>
    </row>
    <row r="7548">
      <c r="F7548" s="116" t="str">
        <f t="shared" si="1"/>
        <v/>
      </c>
      <c r="P7548" s="52"/>
    </row>
    <row r="7549">
      <c r="F7549" s="116" t="str">
        <f t="shared" si="1"/>
        <v/>
      </c>
      <c r="P7549" s="52"/>
    </row>
    <row r="7550">
      <c r="F7550" s="116" t="str">
        <f t="shared" si="1"/>
        <v/>
      </c>
      <c r="P7550" s="52"/>
    </row>
    <row r="7551">
      <c r="F7551" s="116" t="str">
        <f t="shared" si="1"/>
        <v/>
      </c>
      <c r="P7551" s="52"/>
    </row>
    <row r="7552">
      <c r="F7552" s="116" t="str">
        <f t="shared" si="1"/>
        <v/>
      </c>
      <c r="P7552" s="52"/>
    </row>
    <row r="7553">
      <c r="F7553" s="116" t="str">
        <f t="shared" si="1"/>
        <v/>
      </c>
      <c r="P7553" s="52"/>
    </row>
    <row r="7554">
      <c r="F7554" s="116" t="str">
        <f t="shared" si="1"/>
        <v/>
      </c>
      <c r="P7554" s="52"/>
    </row>
    <row r="7555">
      <c r="F7555" s="116" t="str">
        <f t="shared" si="1"/>
        <v/>
      </c>
      <c r="P7555" s="52"/>
    </row>
    <row r="7556">
      <c r="F7556" s="116" t="str">
        <f t="shared" si="1"/>
        <v/>
      </c>
      <c r="P7556" s="52"/>
    </row>
    <row r="7557">
      <c r="F7557" s="116" t="str">
        <f t="shared" si="1"/>
        <v/>
      </c>
      <c r="P7557" s="52"/>
    </row>
    <row r="7558">
      <c r="F7558" s="116" t="str">
        <f t="shared" si="1"/>
        <v/>
      </c>
      <c r="P7558" s="52"/>
    </row>
    <row r="7559">
      <c r="F7559" s="116" t="str">
        <f t="shared" si="1"/>
        <v/>
      </c>
      <c r="P7559" s="52"/>
    </row>
    <row r="7560">
      <c r="F7560" s="116" t="str">
        <f t="shared" si="1"/>
        <v/>
      </c>
      <c r="P7560" s="52"/>
    </row>
    <row r="7561">
      <c r="F7561" s="116" t="str">
        <f t="shared" si="1"/>
        <v/>
      </c>
      <c r="P7561" s="52"/>
    </row>
    <row r="7562">
      <c r="F7562" s="116" t="str">
        <f t="shared" si="1"/>
        <v/>
      </c>
      <c r="P7562" s="52"/>
    </row>
    <row r="7563">
      <c r="F7563" s="116" t="str">
        <f t="shared" si="1"/>
        <v/>
      </c>
      <c r="P7563" s="52"/>
    </row>
    <row r="7564">
      <c r="F7564" s="116" t="str">
        <f t="shared" si="1"/>
        <v/>
      </c>
      <c r="P7564" s="52"/>
    </row>
    <row r="7565">
      <c r="F7565" s="116" t="str">
        <f t="shared" si="1"/>
        <v/>
      </c>
      <c r="P7565" s="52"/>
    </row>
    <row r="7566">
      <c r="F7566" s="116" t="str">
        <f t="shared" si="1"/>
        <v/>
      </c>
      <c r="P7566" s="52"/>
    </row>
    <row r="7567">
      <c r="F7567" s="116" t="str">
        <f t="shared" si="1"/>
        <v/>
      </c>
      <c r="P7567" s="52"/>
    </row>
    <row r="7568">
      <c r="F7568" s="116" t="str">
        <f t="shared" si="1"/>
        <v/>
      </c>
      <c r="P7568" s="52"/>
    </row>
    <row r="7569">
      <c r="F7569" s="116" t="str">
        <f t="shared" si="1"/>
        <v/>
      </c>
      <c r="P7569" s="52"/>
    </row>
    <row r="7570">
      <c r="F7570" s="116" t="str">
        <f t="shared" si="1"/>
        <v/>
      </c>
      <c r="P7570" s="52"/>
    </row>
    <row r="7571">
      <c r="F7571" s="116" t="str">
        <f t="shared" si="1"/>
        <v/>
      </c>
      <c r="P7571" s="52"/>
    </row>
    <row r="7572">
      <c r="F7572" s="116" t="str">
        <f t="shared" si="1"/>
        <v/>
      </c>
      <c r="P7572" s="52"/>
    </row>
    <row r="7573">
      <c r="F7573" s="116" t="str">
        <f t="shared" si="1"/>
        <v/>
      </c>
      <c r="P7573" s="52"/>
    </row>
    <row r="7574">
      <c r="F7574" s="116" t="str">
        <f t="shared" si="1"/>
        <v/>
      </c>
      <c r="P7574" s="52"/>
    </row>
    <row r="7575">
      <c r="F7575" s="116" t="str">
        <f t="shared" si="1"/>
        <v/>
      </c>
      <c r="P7575" s="52"/>
    </row>
    <row r="7576">
      <c r="F7576" s="116" t="str">
        <f t="shared" si="1"/>
        <v/>
      </c>
      <c r="P7576" s="52"/>
    </row>
    <row r="7577">
      <c r="F7577" s="116" t="str">
        <f t="shared" si="1"/>
        <v/>
      </c>
      <c r="P7577" s="52"/>
    </row>
    <row r="7578">
      <c r="F7578" s="116" t="str">
        <f t="shared" si="1"/>
        <v/>
      </c>
      <c r="P7578" s="52"/>
    </row>
    <row r="7579">
      <c r="F7579" s="116" t="str">
        <f t="shared" si="1"/>
        <v/>
      </c>
      <c r="P7579" s="52"/>
    </row>
    <row r="7580">
      <c r="F7580" s="116" t="str">
        <f t="shared" si="1"/>
        <v/>
      </c>
      <c r="P7580" s="52"/>
    </row>
    <row r="7581">
      <c r="F7581" s="116" t="str">
        <f t="shared" si="1"/>
        <v/>
      </c>
      <c r="P7581" s="52"/>
    </row>
    <row r="7582">
      <c r="F7582" s="116" t="str">
        <f t="shared" si="1"/>
        <v/>
      </c>
      <c r="P7582" s="52"/>
    </row>
    <row r="7583">
      <c r="F7583" s="116" t="str">
        <f t="shared" si="1"/>
        <v/>
      </c>
      <c r="P7583" s="52"/>
    </row>
    <row r="7584">
      <c r="F7584" s="116" t="str">
        <f t="shared" si="1"/>
        <v/>
      </c>
      <c r="P7584" s="52"/>
    </row>
    <row r="7585">
      <c r="F7585" s="116" t="str">
        <f t="shared" si="1"/>
        <v/>
      </c>
      <c r="P7585" s="52"/>
    </row>
    <row r="7586">
      <c r="F7586" s="116" t="str">
        <f t="shared" si="1"/>
        <v/>
      </c>
      <c r="P7586" s="52"/>
    </row>
    <row r="7587">
      <c r="F7587" s="116" t="str">
        <f t="shared" si="1"/>
        <v/>
      </c>
      <c r="P7587" s="52"/>
    </row>
    <row r="7588">
      <c r="F7588" s="116" t="str">
        <f t="shared" si="1"/>
        <v/>
      </c>
      <c r="P7588" s="52"/>
    </row>
    <row r="7589">
      <c r="F7589" s="116" t="str">
        <f t="shared" si="1"/>
        <v/>
      </c>
      <c r="P7589" s="52"/>
    </row>
    <row r="7590">
      <c r="F7590" s="116" t="str">
        <f t="shared" si="1"/>
        <v/>
      </c>
      <c r="P7590" s="52"/>
    </row>
    <row r="7591">
      <c r="F7591" s="116" t="str">
        <f t="shared" si="1"/>
        <v/>
      </c>
      <c r="P7591" s="52"/>
    </row>
    <row r="7592">
      <c r="F7592" s="116" t="str">
        <f t="shared" si="1"/>
        <v/>
      </c>
      <c r="P7592" s="52"/>
    </row>
    <row r="7593">
      <c r="F7593" s="116" t="str">
        <f t="shared" si="1"/>
        <v/>
      </c>
      <c r="P7593" s="52"/>
    </row>
    <row r="7594">
      <c r="F7594" s="116" t="str">
        <f t="shared" si="1"/>
        <v/>
      </c>
      <c r="P7594" s="52"/>
    </row>
    <row r="7595">
      <c r="F7595" s="116" t="str">
        <f t="shared" si="1"/>
        <v/>
      </c>
      <c r="P7595" s="52"/>
    </row>
    <row r="7596">
      <c r="F7596" s="116" t="str">
        <f t="shared" si="1"/>
        <v/>
      </c>
      <c r="P7596" s="52"/>
    </row>
    <row r="7597">
      <c r="F7597" s="116" t="str">
        <f t="shared" si="1"/>
        <v/>
      </c>
      <c r="P7597" s="52"/>
    </row>
    <row r="7598">
      <c r="F7598" s="116" t="str">
        <f t="shared" si="1"/>
        <v/>
      </c>
      <c r="P7598" s="52"/>
    </row>
    <row r="7599">
      <c r="F7599" s="116" t="str">
        <f t="shared" si="1"/>
        <v/>
      </c>
      <c r="P7599" s="52"/>
    </row>
    <row r="7600">
      <c r="F7600" s="116" t="str">
        <f t="shared" si="1"/>
        <v/>
      </c>
      <c r="P7600" s="52"/>
    </row>
    <row r="7601">
      <c r="F7601" s="116" t="str">
        <f t="shared" si="1"/>
        <v/>
      </c>
      <c r="P7601" s="52"/>
    </row>
    <row r="7602">
      <c r="F7602" s="116" t="str">
        <f t="shared" si="1"/>
        <v/>
      </c>
      <c r="P7602" s="52"/>
    </row>
    <row r="7603">
      <c r="F7603" s="116" t="str">
        <f t="shared" si="1"/>
        <v/>
      </c>
      <c r="P7603" s="52"/>
    </row>
    <row r="7604">
      <c r="F7604" s="116" t="str">
        <f t="shared" si="1"/>
        <v/>
      </c>
      <c r="P7604" s="52"/>
    </row>
    <row r="7605">
      <c r="F7605" s="116" t="str">
        <f t="shared" si="1"/>
        <v/>
      </c>
      <c r="P7605" s="52"/>
    </row>
    <row r="7606">
      <c r="F7606" s="116" t="str">
        <f t="shared" si="1"/>
        <v/>
      </c>
      <c r="P7606" s="52"/>
    </row>
    <row r="7607">
      <c r="F7607" s="116" t="str">
        <f t="shared" si="1"/>
        <v/>
      </c>
      <c r="P7607" s="52"/>
    </row>
    <row r="7608">
      <c r="F7608" s="116" t="str">
        <f t="shared" si="1"/>
        <v/>
      </c>
      <c r="P7608" s="52"/>
    </row>
    <row r="7609">
      <c r="F7609" s="116" t="str">
        <f t="shared" si="1"/>
        <v/>
      </c>
      <c r="P7609" s="52"/>
    </row>
    <row r="7610">
      <c r="F7610" s="116" t="str">
        <f t="shared" si="1"/>
        <v/>
      </c>
      <c r="P7610" s="52"/>
    </row>
    <row r="7611">
      <c r="F7611" s="116" t="str">
        <f t="shared" si="1"/>
        <v/>
      </c>
      <c r="P7611" s="52"/>
    </row>
    <row r="7612">
      <c r="F7612" s="116" t="str">
        <f t="shared" si="1"/>
        <v/>
      </c>
      <c r="P7612" s="52"/>
    </row>
    <row r="7613">
      <c r="F7613" s="116" t="str">
        <f t="shared" si="1"/>
        <v/>
      </c>
      <c r="P7613" s="52"/>
    </row>
    <row r="7614">
      <c r="F7614" s="116" t="str">
        <f t="shared" si="1"/>
        <v/>
      </c>
      <c r="P7614" s="52"/>
    </row>
    <row r="7615">
      <c r="F7615" s="116" t="str">
        <f t="shared" si="1"/>
        <v/>
      </c>
      <c r="P7615" s="52"/>
    </row>
    <row r="7616">
      <c r="F7616" s="116" t="str">
        <f t="shared" si="1"/>
        <v/>
      </c>
      <c r="P7616" s="52"/>
    </row>
    <row r="7617">
      <c r="F7617" s="116" t="str">
        <f t="shared" si="1"/>
        <v/>
      </c>
      <c r="P7617" s="52"/>
    </row>
    <row r="7618">
      <c r="F7618" s="116" t="str">
        <f t="shared" si="1"/>
        <v/>
      </c>
      <c r="P7618" s="52"/>
    </row>
    <row r="7619">
      <c r="F7619" s="116" t="str">
        <f t="shared" si="1"/>
        <v/>
      </c>
      <c r="P7619" s="52"/>
    </row>
    <row r="7620">
      <c r="F7620" s="116" t="str">
        <f t="shared" si="1"/>
        <v/>
      </c>
      <c r="P7620" s="52"/>
    </row>
    <row r="7621">
      <c r="F7621" s="116" t="str">
        <f t="shared" si="1"/>
        <v/>
      </c>
      <c r="P7621" s="52"/>
    </row>
    <row r="7622">
      <c r="F7622" s="116" t="str">
        <f t="shared" si="1"/>
        <v/>
      </c>
      <c r="P7622" s="52"/>
    </row>
    <row r="7623">
      <c r="F7623" s="116" t="str">
        <f t="shared" si="1"/>
        <v/>
      </c>
      <c r="P7623" s="52"/>
    </row>
    <row r="7624">
      <c r="F7624" s="116" t="str">
        <f t="shared" si="1"/>
        <v/>
      </c>
      <c r="P7624" s="52"/>
    </row>
    <row r="7625">
      <c r="F7625" s="116" t="str">
        <f t="shared" si="1"/>
        <v/>
      </c>
      <c r="P7625" s="52"/>
    </row>
    <row r="7626">
      <c r="F7626" s="116" t="str">
        <f t="shared" si="1"/>
        <v/>
      </c>
      <c r="P7626" s="52"/>
    </row>
    <row r="7627">
      <c r="F7627" s="116" t="str">
        <f t="shared" si="1"/>
        <v/>
      </c>
      <c r="P7627" s="52"/>
    </row>
    <row r="7628">
      <c r="F7628" s="116" t="str">
        <f t="shared" si="1"/>
        <v/>
      </c>
      <c r="P7628" s="52"/>
    </row>
    <row r="7629">
      <c r="F7629" s="116" t="str">
        <f t="shared" si="1"/>
        <v/>
      </c>
      <c r="P7629" s="52"/>
    </row>
    <row r="7630">
      <c r="F7630" s="116" t="str">
        <f t="shared" si="1"/>
        <v/>
      </c>
      <c r="P7630" s="52"/>
    </row>
    <row r="7631">
      <c r="F7631" s="116" t="str">
        <f t="shared" si="1"/>
        <v/>
      </c>
      <c r="P7631" s="52"/>
    </row>
    <row r="7632">
      <c r="F7632" s="116" t="str">
        <f t="shared" si="1"/>
        <v/>
      </c>
      <c r="P7632" s="52"/>
    </row>
  </sheetData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2019-01-21T16:46:59Z</dcterms:created>
  <dc:creator>Dunnaway, Jonas R.</dc:creator>
</cp:coreProperties>
</file>