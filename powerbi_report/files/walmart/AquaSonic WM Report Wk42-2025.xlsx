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electsalesinc-my.sharepoint.com/personal/khelms_bentonvillemerchants_com/Documents/Documents/AquaSonic/Wk42/"/>
    </mc:Choice>
  </mc:AlternateContent>
  <xr:revisionPtr revIDLastSave="12" documentId="8_{2D47549F-B2BC-40FB-ADB9-BC7F59D70FAC}" xr6:coauthVersionLast="47" xr6:coauthVersionMax="47" xr10:uidLastSave="{83654139-C675-4162-BA8F-EEB1E97F5C72}"/>
  <bookViews>
    <workbookView xWindow="-108" yWindow="-108" windowWidth="23256" windowHeight="12456" tabRatio="768" xr2:uid="{8B67A1DB-38BE-6D42-8219-637B1C71656E}"/>
  </bookViews>
  <sheets>
    <sheet name="Sales Summary" sheetId="1" r:id="rId1"/>
    <sheet name="All Item Detail" sheetId="30" r:id="rId2"/>
    <sheet name="Scorecard Aquasonic" sheetId="24" r:id="rId3"/>
    <sheet name="All Item Detail Data" sheetId="2" state="hidden" r:id="rId4"/>
    <sheet name="Last Week Data" sheetId="14" state="hidden" r:id="rId5"/>
    <sheet name="Luminate Sales Data" sheetId="25" state="hidden" r:id="rId6"/>
    <sheet name="Luminate Markdown" sheetId="28" state="hidden" r:id="rId7"/>
    <sheet name="Luminate Warehouse Inv" sheetId="29" state="hidden" r:id="rId8"/>
    <sheet name="Luminate Item Data" sheetId="27" state="hidden" r:id="rId9"/>
    <sheet name="Email Template" sheetId="32" r:id="rId10"/>
    <sheet name="Content Scores" sheetId="33" r:id="rId11"/>
    <sheet name="Luminate Forecast" sheetId="26" state="hidden" r:id="rId12"/>
  </sheets>
  <definedNames>
    <definedName name="_xlnm._FilterDatabase" localSheetId="1" hidden="1">'All Item Detail'!$B$6:$BG$24</definedName>
    <definedName name="_xlnm._FilterDatabase" localSheetId="3" hidden="1">'All Item Detail Data'!$B$2:$BG$2</definedName>
    <definedName name="_xlnm._FilterDatabase" localSheetId="4" hidden="1">'Last Week Data'!$A$2:$BF$10</definedName>
    <definedName name="_xlnm._FilterDatabase" localSheetId="8" hidden="1">'Luminate Item Data'!$A$39:$AW$41</definedName>
    <definedName name="_xlnm._FilterDatabase" localSheetId="0" hidden="1">'Sales Summary'!$B$2:$AJ$5</definedName>
  </definedNames>
  <calcPr calcId="191029"/>
  <pivotCaches>
    <pivotCache cacheId="0" r:id="rId13"/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W2" i="30" l="1"/>
  <c r="AV2" i="30"/>
  <c r="AU2" i="30"/>
  <c r="AT2" i="30"/>
  <c r="AS2" i="30"/>
  <c r="AR2" i="30"/>
  <c r="AQ2" i="30"/>
  <c r="H7" i="32"/>
  <c r="E7" i="32"/>
  <c r="B7" i="32"/>
  <c r="AP2" i="30"/>
  <c r="G24" i="29"/>
  <c r="G25" i="29"/>
  <c r="AO2" i="30"/>
  <c r="AN2" i="30"/>
  <c r="I2" i="30"/>
  <c r="J2" i="30"/>
  <c r="K2" i="30"/>
  <c r="L2" i="30"/>
  <c r="M2" i="30"/>
  <c r="N2" i="30"/>
  <c r="O2" i="30"/>
  <c r="P2" i="30"/>
  <c r="Q2" i="30"/>
  <c r="R2" i="30"/>
  <c r="S2" i="30"/>
  <c r="T2" i="30"/>
  <c r="U2" i="30"/>
  <c r="V2" i="30"/>
  <c r="W2" i="30"/>
  <c r="X2" i="30"/>
  <c r="Y2" i="30"/>
  <c r="Z2" i="30"/>
  <c r="AA2" i="30"/>
  <c r="AB2" i="30"/>
  <c r="AC2" i="30"/>
  <c r="AD2" i="30"/>
  <c r="AE2" i="30"/>
  <c r="AF2" i="30"/>
  <c r="AG2" i="30"/>
  <c r="AH2" i="30"/>
  <c r="AI2" i="30"/>
  <c r="AJ2" i="30"/>
  <c r="AK2" i="30"/>
  <c r="H2" i="30"/>
  <c r="AL2" i="30"/>
  <c r="AM2" i="30"/>
  <c r="E3" i="1" l="1"/>
  <c r="E4" i="1"/>
  <c r="AX3" i="1"/>
  <c r="AW3" i="1"/>
  <c r="AX4" i="1"/>
  <c r="AW4" i="1"/>
  <c r="E5" i="1" l="1"/>
  <c r="AU4" i="1" l="1"/>
  <c r="AU3" i="1"/>
  <c r="AU5" i="1" l="1"/>
  <c r="H10" i="2" l="1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P3" i="1" l="1"/>
  <c r="P4" i="1"/>
  <c r="P5" i="1" l="1"/>
  <c r="AK4" i="1" l="1"/>
  <c r="AK3" i="1"/>
  <c r="AK5" i="1" l="1"/>
  <c r="F7632" i="26" l="1"/>
  <c r="F7631" i="26"/>
  <c r="F7630" i="26"/>
  <c r="F7629" i="26"/>
  <c r="F7628" i="26"/>
  <c r="F7627" i="26"/>
  <c r="F7626" i="26"/>
  <c r="F7625" i="26"/>
  <c r="F7624" i="26"/>
  <c r="F7623" i="26"/>
  <c r="F7622" i="26"/>
  <c r="F7621" i="26"/>
  <c r="F7620" i="26"/>
  <c r="F7619" i="26"/>
  <c r="F7618" i="26"/>
  <c r="F7617" i="26"/>
  <c r="F7616" i="26"/>
  <c r="F7615" i="26"/>
  <c r="F7614" i="26"/>
  <c r="F7613" i="26"/>
  <c r="F7612" i="26"/>
  <c r="F7611" i="26"/>
  <c r="F7610" i="26"/>
  <c r="F7609" i="26"/>
  <c r="F7608" i="26"/>
  <c r="F7607" i="26"/>
  <c r="F7606" i="26"/>
  <c r="F7605" i="26"/>
  <c r="F7604" i="26"/>
  <c r="F7603" i="26"/>
  <c r="F7602" i="26"/>
  <c r="F7601" i="26"/>
  <c r="F7600" i="26"/>
  <c r="F7599" i="26"/>
  <c r="F7598" i="26"/>
  <c r="F7597" i="26"/>
  <c r="F7596" i="26"/>
  <c r="F7595" i="26"/>
  <c r="F7594" i="26"/>
  <c r="F7593" i="26"/>
  <c r="F7592" i="26"/>
  <c r="F7591" i="26"/>
  <c r="F7590" i="26"/>
  <c r="F7589" i="26"/>
  <c r="F7588" i="26"/>
  <c r="F7587" i="26"/>
  <c r="F7586" i="26"/>
  <c r="F7585" i="26"/>
  <c r="F7584" i="26"/>
  <c r="F7583" i="26"/>
  <c r="F7582" i="26"/>
  <c r="F7581" i="26"/>
  <c r="F7580" i="26"/>
  <c r="F7579" i="26"/>
  <c r="F7578" i="26"/>
  <c r="F7577" i="26"/>
  <c r="F7576" i="26"/>
  <c r="F7575" i="26"/>
  <c r="F7574" i="26"/>
  <c r="F7573" i="26"/>
  <c r="F7572" i="26"/>
  <c r="F7571" i="26"/>
  <c r="F7570" i="26"/>
  <c r="F7569" i="26"/>
  <c r="F7568" i="26"/>
  <c r="F7567" i="26"/>
  <c r="F7566" i="26"/>
  <c r="F7565" i="26"/>
  <c r="F7564" i="26"/>
  <c r="F7563" i="26"/>
  <c r="F7562" i="26"/>
  <c r="F7561" i="26"/>
  <c r="F7560" i="26"/>
  <c r="F7559" i="26"/>
  <c r="F7558" i="26"/>
  <c r="F7557" i="26"/>
  <c r="F7556" i="26"/>
  <c r="F7555" i="26"/>
  <c r="F7554" i="26"/>
  <c r="F7553" i="26"/>
  <c r="F7552" i="26"/>
  <c r="F7551" i="26"/>
  <c r="F7550" i="26"/>
  <c r="F7549" i="26"/>
  <c r="F7548" i="26"/>
  <c r="F7547" i="26"/>
  <c r="F7546" i="26"/>
  <c r="F7545" i="26"/>
  <c r="F7544" i="26"/>
  <c r="F7543" i="26"/>
  <c r="F7542" i="26"/>
  <c r="F7541" i="26"/>
  <c r="F7540" i="26"/>
  <c r="F7539" i="26"/>
  <c r="F7538" i="26"/>
  <c r="F7537" i="26"/>
  <c r="F7536" i="26"/>
  <c r="F7535" i="26"/>
  <c r="F7534" i="26"/>
  <c r="F7533" i="26"/>
  <c r="F7532" i="26"/>
  <c r="F7531" i="26"/>
  <c r="F7530" i="26"/>
  <c r="F7529" i="26"/>
  <c r="F7528" i="26"/>
  <c r="F7527" i="26"/>
  <c r="F7526" i="26"/>
  <c r="F7525" i="26"/>
  <c r="F7524" i="26"/>
  <c r="F7523" i="26"/>
  <c r="F7522" i="26"/>
  <c r="F7521" i="26"/>
  <c r="F7520" i="26"/>
  <c r="F7519" i="26"/>
  <c r="F7518" i="26"/>
  <c r="F7517" i="26"/>
  <c r="F7516" i="26"/>
  <c r="F7515" i="26"/>
  <c r="F7514" i="26"/>
  <c r="F7513" i="26"/>
  <c r="F7512" i="26"/>
  <c r="F7511" i="26"/>
  <c r="F7510" i="26"/>
  <c r="F7509" i="26"/>
  <c r="F7508" i="26"/>
  <c r="F7507" i="26"/>
  <c r="F7506" i="26"/>
  <c r="F7505" i="26"/>
  <c r="F7504" i="26"/>
  <c r="F7503" i="26"/>
  <c r="F7502" i="26"/>
  <c r="F7501" i="26"/>
  <c r="F7500" i="26"/>
  <c r="F7499" i="26"/>
  <c r="F7498" i="26"/>
  <c r="F7497" i="26"/>
  <c r="F7496" i="26"/>
  <c r="F7495" i="26"/>
  <c r="F7494" i="26"/>
  <c r="F7493" i="26"/>
  <c r="F7492" i="26"/>
  <c r="F7491" i="26"/>
  <c r="F7490" i="26"/>
  <c r="F7489" i="26"/>
  <c r="F7488" i="26"/>
  <c r="F7487" i="26"/>
  <c r="F7486" i="26"/>
  <c r="F7485" i="26"/>
  <c r="F7484" i="26"/>
  <c r="F7483" i="26"/>
  <c r="F7482" i="26"/>
  <c r="F7481" i="26"/>
  <c r="F7480" i="26"/>
  <c r="F7479" i="26"/>
  <c r="F7478" i="26"/>
  <c r="F7477" i="26"/>
  <c r="F7476" i="26"/>
  <c r="F7475" i="26"/>
  <c r="F7474" i="26"/>
  <c r="F7473" i="26"/>
  <c r="F7472" i="26"/>
  <c r="F7471" i="26"/>
  <c r="F7470" i="26"/>
  <c r="F7469" i="26"/>
  <c r="F7468" i="26"/>
  <c r="F7467" i="26"/>
  <c r="F7466" i="26"/>
  <c r="F7465" i="26"/>
  <c r="F7464" i="26"/>
  <c r="F7463" i="26"/>
  <c r="F7462" i="26"/>
  <c r="F7461" i="26"/>
  <c r="F7460" i="26"/>
  <c r="F7459" i="26"/>
  <c r="F7458" i="26"/>
  <c r="F7457" i="26"/>
  <c r="F7456" i="26"/>
  <c r="F7455" i="26"/>
  <c r="F7454" i="26"/>
  <c r="F7453" i="26"/>
  <c r="F7452" i="26"/>
  <c r="F7451" i="26"/>
  <c r="F7450" i="26"/>
  <c r="F7449" i="26"/>
  <c r="F7448" i="26"/>
  <c r="F7447" i="26"/>
  <c r="F7446" i="26"/>
  <c r="F7445" i="26"/>
  <c r="F7444" i="26"/>
  <c r="F7443" i="26"/>
  <c r="F7442" i="26"/>
  <c r="F7441" i="26"/>
  <c r="F7440" i="26"/>
  <c r="F7439" i="26"/>
  <c r="F7438" i="26"/>
  <c r="F7437" i="26"/>
  <c r="F7436" i="26"/>
  <c r="F7435" i="26"/>
  <c r="F7434" i="26"/>
  <c r="F7433" i="26"/>
  <c r="F7432" i="26"/>
  <c r="F7431" i="26"/>
  <c r="F7430" i="26"/>
  <c r="F7429" i="26"/>
  <c r="F7428" i="26"/>
  <c r="F7427" i="26"/>
  <c r="F7426" i="26"/>
  <c r="F7425" i="26"/>
  <c r="F7424" i="26"/>
  <c r="F7423" i="26"/>
  <c r="F7422" i="26"/>
  <c r="F7421" i="26"/>
  <c r="F7420" i="26"/>
  <c r="F7419" i="26"/>
  <c r="F7418" i="26"/>
  <c r="F7417" i="26"/>
  <c r="F7416" i="26"/>
  <c r="F7415" i="26"/>
  <c r="F7414" i="26"/>
  <c r="F7413" i="26"/>
  <c r="F7412" i="26"/>
  <c r="F7411" i="26"/>
  <c r="F7410" i="26"/>
  <c r="F7409" i="26"/>
  <c r="F7408" i="26"/>
  <c r="F7407" i="26"/>
  <c r="F7406" i="26"/>
  <c r="F7405" i="26"/>
  <c r="F7404" i="26"/>
  <c r="F7403" i="26"/>
  <c r="F7402" i="26"/>
  <c r="F7401" i="26"/>
  <c r="F7400" i="26"/>
  <c r="F7399" i="26"/>
  <c r="F7398" i="26"/>
  <c r="F7397" i="26"/>
  <c r="F7396" i="26"/>
  <c r="F7395" i="26"/>
  <c r="F7394" i="26"/>
  <c r="F7393" i="26"/>
  <c r="F7392" i="26"/>
  <c r="F7391" i="26"/>
  <c r="F7390" i="26"/>
  <c r="F7389" i="26"/>
  <c r="F7388" i="26"/>
  <c r="F7387" i="26"/>
  <c r="F7386" i="26"/>
  <c r="F7385" i="26"/>
  <c r="F7384" i="26"/>
  <c r="F7383" i="26"/>
  <c r="F7382" i="26"/>
  <c r="F7381" i="26"/>
  <c r="F7380" i="26"/>
  <c r="F7379" i="26"/>
  <c r="F7378" i="26"/>
  <c r="F7377" i="26"/>
  <c r="F7376" i="26"/>
  <c r="F7375" i="26"/>
  <c r="F7374" i="26"/>
  <c r="F7373" i="26"/>
  <c r="F7372" i="26"/>
  <c r="F7371" i="26"/>
  <c r="F7370" i="26"/>
  <c r="F7369" i="26"/>
  <c r="F7368" i="26"/>
  <c r="F7367" i="26"/>
  <c r="F7366" i="26"/>
  <c r="F7365" i="26"/>
  <c r="F7364" i="26"/>
  <c r="F7363" i="26"/>
  <c r="F7362" i="26"/>
  <c r="F7361" i="26"/>
  <c r="F7360" i="26"/>
  <c r="F7359" i="26"/>
  <c r="F7358" i="26"/>
  <c r="F7357" i="26"/>
  <c r="F7356" i="26"/>
  <c r="F7355" i="26"/>
  <c r="F7354" i="26"/>
  <c r="F7353" i="26"/>
  <c r="F7352" i="26"/>
  <c r="F7351" i="26"/>
  <c r="F7350" i="26"/>
  <c r="F7349" i="26"/>
  <c r="F7348" i="26"/>
  <c r="F7347" i="26"/>
  <c r="F7346" i="26"/>
  <c r="F7345" i="26"/>
  <c r="F7344" i="26"/>
  <c r="F7343" i="26"/>
  <c r="F7342" i="26"/>
  <c r="F7341" i="26"/>
  <c r="F7340" i="26"/>
  <c r="F7339" i="26"/>
  <c r="F7338" i="26"/>
  <c r="F7337" i="26"/>
  <c r="F7336" i="26"/>
  <c r="F7335" i="26"/>
  <c r="F7334" i="26"/>
  <c r="F7333" i="26"/>
  <c r="F7332" i="26"/>
  <c r="F7331" i="26"/>
  <c r="F7330" i="26"/>
  <c r="F7329" i="26"/>
  <c r="F7328" i="26"/>
  <c r="F7327" i="26"/>
  <c r="F7326" i="26"/>
  <c r="F7325" i="26"/>
  <c r="F7324" i="26"/>
  <c r="F7323" i="26"/>
  <c r="F7322" i="26"/>
  <c r="F7321" i="26"/>
  <c r="F7320" i="26"/>
  <c r="F7319" i="26"/>
  <c r="F7318" i="26"/>
  <c r="F7317" i="26"/>
  <c r="F7316" i="26"/>
  <c r="F7315" i="26"/>
  <c r="F7314" i="26"/>
  <c r="F7313" i="26"/>
  <c r="F7312" i="26"/>
  <c r="F7311" i="26"/>
  <c r="F7310" i="26"/>
  <c r="F7309" i="26"/>
  <c r="F7308" i="26"/>
  <c r="F7307" i="26"/>
  <c r="F7306" i="26"/>
  <c r="F7305" i="26"/>
  <c r="F7304" i="26"/>
  <c r="F7303" i="26"/>
  <c r="F7302" i="26"/>
  <c r="F7301" i="26"/>
  <c r="F7300" i="26"/>
  <c r="F7299" i="26"/>
  <c r="F7298" i="26"/>
  <c r="F7297" i="26"/>
  <c r="F7296" i="26"/>
  <c r="F7295" i="26"/>
  <c r="F7294" i="26"/>
  <c r="F7293" i="26"/>
  <c r="F7292" i="26"/>
  <c r="F7291" i="26"/>
  <c r="F7290" i="26"/>
  <c r="F7289" i="26"/>
  <c r="F7288" i="26"/>
  <c r="F7287" i="26"/>
  <c r="F7286" i="26"/>
  <c r="F7285" i="26"/>
  <c r="F7284" i="26"/>
  <c r="F7283" i="26"/>
  <c r="F7282" i="26"/>
  <c r="F7281" i="26"/>
  <c r="F7280" i="26"/>
  <c r="F7279" i="26"/>
  <c r="F7278" i="26"/>
  <c r="F7277" i="26"/>
  <c r="F7276" i="26"/>
  <c r="F7275" i="26"/>
  <c r="F7274" i="26"/>
  <c r="F7273" i="26"/>
  <c r="F7272" i="26"/>
  <c r="F7271" i="26"/>
  <c r="F7270" i="26"/>
  <c r="F7269" i="26"/>
  <c r="F7268" i="26"/>
  <c r="F7267" i="26"/>
  <c r="F7266" i="26"/>
  <c r="F7265" i="26"/>
  <c r="F7264" i="26"/>
  <c r="F7263" i="26"/>
  <c r="F7262" i="26"/>
  <c r="F7261" i="26"/>
  <c r="F7260" i="26"/>
  <c r="F7259" i="26"/>
  <c r="F7258" i="26"/>
  <c r="F7257" i="26"/>
  <c r="F7256" i="26"/>
  <c r="F7255" i="26"/>
  <c r="F7254" i="26"/>
  <c r="F7253" i="26"/>
  <c r="F7252" i="26"/>
  <c r="F7251" i="26"/>
  <c r="F7250" i="26"/>
  <c r="F7249" i="26"/>
  <c r="F7248" i="26"/>
  <c r="F7247" i="26"/>
  <c r="F7246" i="26"/>
  <c r="F7245" i="26"/>
  <c r="F7244" i="26"/>
  <c r="F7243" i="26"/>
  <c r="F7242" i="26"/>
  <c r="F7241" i="26"/>
  <c r="F7240" i="26"/>
  <c r="F7239" i="26"/>
  <c r="F7238" i="26"/>
  <c r="F7237" i="26"/>
  <c r="F7236" i="26"/>
  <c r="F7235" i="26"/>
  <c r="F7234" i="26"/>
  <c r="F7233" i="26"/>
  <c r="F7232" i="26"/>
  <c r="F7231" i="26"/>
  <c r="F7230" i="26"/>
  <c r="F7229" i="26"/>
  <c r="F7228" i="26"/>
  <c r="F7227" i="26"/>
  <c r="F7226" i="26"/>
  <c r="F7225" i="26"/>
  <c r="F7224" i="26"/>
  <c r="F7223" i="26"/>
  <c r="F7222" i="26"/>
  <c r="F7221" i="26"/>
  <c r="F7220" i="26"/>
  <c r="F7219" i="26"/>
  <c r="F7218" i="26"/>
  <c r="F7217" i="26"/>
  <c r="F7216" i="26"/>
  <c r="F7215" i="26"/>
  <c r="F7214" i="26"/>
  <c r="F7213" i="26"/>
  <c r="F7212" i="26"/>
  <c r="F7211" i="26"/>
  <c r="F7210" i="26"/>
  <c r="F7209" i="26"/>
  <c r="F7208" i="26"/>
  <c r="F7207" i="26"/>
  <c r="F7206" i="26"/>
  <c r="F7205" i="26"/>
  <c r="F7204" i="26"/>
  <c r="F7203" i="26"/>
  <c r="F7202" i="26"/>
  <c r="F7201" i="26"/>
  <c r="F7200" i="26"/>
  <c r="F7199" i="26"/>
  <c r="F7198" i="26"/>
  <c r="F7197" i="26"/>
  <c r="F7196" i="26"/>
  <c r="F7195" i="26"/>
  <c r="F7194" i="26"/>
  <c r="F7193" i="26"/>
  <c r="F7192" i="26"/>
  <c r="F7191" i="26"/>
  <c r="F7190" i="26"/>
  <c r="F7189" i="26"/>
  <c r="F7188" i="26"/>
  <c r="F7187" i="26"/>
  <c r="F7186" i="26"/>
  <c r="F7185" i="26"/>
  <c r="F7184" i="26"/>
  <c r="F7183" i="26"/>
  <c r="F7182" i="26"/>
  <c r="F7181" i="26"/>
  <c r="F7180" i="26"/>
  <c r="F7179" i="26"/>
  <c r="F7178" i="26"/>
  <c r="F7177" i="26"/>
  <c r="F7176" i="26"/>
  <c r="F7175" i="26"/>
  <c r="F7174" i="26"/>
  <c r="F7173" i="26"/>
  <c r="F7172" i="26"/>
  <c r="F7171" i="26"/>
  <c r="F7170" i="26"/>
  <c r="F7169" i="26"/>
  <c r="F7168" i="26"/>
  <c r="F7167" i="26"/>
  <c r="F7166" i="26"/>
  <c r="F7165" i="26"/>
  <c r="F7164" i="26"/>
  <c r="F7163" i="26"/>
  <c r="F7162" i="26"/>
  <c r="F7161" i="26"/>
  <c r="F7160" i="26"/>
  <c r="F7159" i="26"/>
  <c r="F7158" i="26"/>
  <c r="F7157" i="26"/>
  <c r="F7156" i="26"/>
  <c r="F7155" i="26"/>
  <c r="F7154" i="26"/>
  <c r="F7153" i="26"/>
  <c r="F7152" i="26"/>
  <c r="F7151" i="26"/>
  <c r="F7150" i="26"/>
  <c r="F7149" i="26"/>
  <c r="F7148" i="26"/>
  <c r="F7147" i="26"/>
  <c r="F7146" i="26"/>
  <c r="F7145" i="26"/>
  <c r="F7144" i="26"/>
  <c r="F7143" i="26"/>
  <c r="F7142" i="26"/>
  <c r="F7141" i="26"/>
  <c r="F7140" i="26"/>
  <c r="F7139" i="26"/>
  <c r="F7138" i="26"/>
  <c r="F7137" i="26"/>
  <c r="F7136" i="26"/>
  <c r="F7135" i="26"/>
  <c r="F7134" i="26"/>
  <c r="F7133" i="26"/>
  <c r="F7132" i="26"/>
  <c r="F7131" i="26"/>
  <c r="F7130" i="26"/>
  <c r="F7129" i="26"/>
  <c r="F7128" i="26"/>
  <c r="F7127" i="26"/>
  <c r="F7126" i="26"/>
  <c r="F7125" i="26"/>
  <c r="F7124" i="26"/>
  <c r="F7123" i="26"/>
  <c r="F7122" i="26"/>
  <c r="F7121" i="26"/>
  <c r="F7120" i="26"/>
  <c r="F7119" i="26"/>
  <c r="F7118" i="26"/>
  <c r="F7117" i="26"/>
  <c r="F7116" i="26"/>
  <c r="F7115" i="26"/>
  <c r="F7114" i="26"/>
  <c r="F7113" i="26"/>
  <c r="F7112" i="26"/>
  <c r="F7111" i="26"/>
  <c r="F7110" i="26"/>
  <c r="F7109" i="26"/>
  <c r="F7108" i="26"/>
  <c r="F7107" i="26"/>
  <c r="F7106" i="26"/>
  <c r="F7105" i="26"/>
  <c r="F7104" i="26"/>
  <c r="F7103" i="26"/>
  <c r="F7102" i="26"/>
  <c r="F7101" i="26"/>
  <c r="F7100" i="26"/>
  <c r="F7099" i="26"/>
  <c r="F7098" i="26"/>
  <c r="F7097" i="26"/>
  <c r="F7096" i="26"/>
  <c r="F7095" i="26"/>
  <c r="F7094" i="26"/>
  <c r="F7093" i="26"/>
  <c r="F7092" i="26"/>
  <c r="F7091" i="26"/>
  <c r="F7090" i="26"/>
  <c r="F7089" i="26"/>
  <c r="F7088" i="26"/>
  <c r="F7087" i="26"/>
  <c r="F7086" i="26"/>
  <c r="F7085" i="26"/>
  <c r="F7084" i="26"/>
  <c r="F7083" i="26"/>
  <c r="F7082" i="26"/>
  <c r="F7081" i="26"/>
  <c r="F7080" i="26"/>
  <c r="F7079" i="26"/>
  <c r="F7078" i="26"/>
  <c r="F7077" i="26"/>
  <c r="F7076" i="26"/>
  <c r="F7075" i="26"/>
  <c r="F7074" i="26"/>
  <c r="F7073" i="26"/>
  <c r="F7072" i="26"/>
  <c r="F7071" i="26"/>
  <c r="F7070" i="26"/>
  <c r="F7069" i="26"/>
  <c r="F7068" i="26"/>
  <c r="F7067" i="26"/>
  <c r="F7066" i="26"/>
  <c r="F7065" i="26"/>
  <c r="F7064" i="26"/>
  <c r="F7063" i="26"/>
  <c r="F7062" i="26"/>
  <c r="F7061" i="26"/>
  <c r="F7060" i="26"/>
  <c r="F7059" i="26"/>
  <c r="F7058" i="26"/>
  <c r="F7057" i="26"/>
  <c r="F7056" i="26"/>
  <c r="F7055" i="26"/>
  <c r="F7054" i="26"/>
  <c r="F7053" i="26"/>
  <c r="F7052" i="26"/>
  <c r="F7051" i="26"/>
  <c r="F7050" i="26"/>
  <c r="F7049" i="26"/>
  <c r="F7048" i="26"/>
  <c r="F7047" i="26"/>
  <c r="F7046" i="26"/>
  <c r="F7045" i="26"/>
  <c r="F7044" i="26"/>
  <c r="F7043" i="26"/>
  <c r="F7042" i="26"/>
  <c r="F7041" i="26"/>
  <c r="F7040" i="26"/>
  <c r="F7039" i="26"/>
  <c r="F7038" i="26"/>
  <c r="F7037" i="26"/>
  <c r="F7036" i="26"/>
  <c r="F7035" i="26"/>
  <c r="F7034" i="26"/>
  <c r="F7033" i="26"/>
  <c r="F7032" i="26"/>
  <c r="F7031" i="26"/>
  <c r="F7030" i="26"/>
  <c r="F7029" i="26"/>
  <c r="F7028" i="26"/>
  <c r="F7027" i="26"/>
  <c r="F7026" i="26"/>
  <c r="F7025" i="26"/>
  <c r="F7024" i="26"/>
  <c r="F7023" i="26"/>
  <c r="F7022" i="26"/>
  <c r="F7021" i="26"/>
  <c r="F7020" i="26"/>
  <c r="F7019" i="26"/>
  <c r="F7018" i="26"/>
  <c r="F7017" i="26"/>
  <c r="F7016" i="26"/>
  <c r="F7015" i="26"/>
  <c r="F7014" i="26"/>
  <c r="F7013" i="26"/>
  <c r="F7012" i="26"/>
  <c r="F7011" i="26"/>
  <c r="F7010" i="26"/>
  <c r="F7009" i="26"/>
  <c r="F7008" i="26"/>
  <c r="F7007" i="26"/>
  <c r="F7006" i="26"/>
  <c r="F7005" i="26"/>
  <c r="F7004" i="26"/>
  <c r="F7003" i="26"/>
  <c r="F7002" i="26"/>
  <c r="F7001" i="26"/>
  <c r="F7000" i="26"/>
  <c r="F6999" i="26"/>
  <c r="F6998" i="26"/>
  <c r="F6997" i="26"/>
  <c r="F6996" i="26"/>
  <c r="F6995" i="26"/>
  <c r="F6994" i="26"/>
  <c r="F6993" i="26"/>
  <c r="F6992" i="26"/>
  <c r="F6991" i="26"/>
  <c r="F6990" i="26"/>
  <c r="F6989" i="26"/>
  <c r="F6988" i="26"/>
  <c r="F6987" i="26"/>
  <c r="F6986" i="26"/>
  <c r="F6985" i="26"/>
  <c r="F6984" i="26"/>
  <c r="F6983" i="26"/>
  <c r="F6982" i="26"/>
  <c r="F6981" i="26"/>
  <c r="F6980" i="26"/>
  <c r="F6979" i="26"/>
  <c r="F6978" i="26"/>
  <c r="F6977" i="26"/>
  <c r="F6976" i="26"/>
  <c r="F6975" i="26"/>
  <c r="F6974" i="26"/>
  <c r="F6973" i="26"/>
  <c r="F6972" i="26"/>
  <c r="F6971" i="26"/>
  <c r="F6970" i="26"/>
  <c r="F6969" i="26"/>
  <c r="F6968" i="26"/>
  <c r="F6967" i="26"/>
  <c r="F6966" i="26"/>
  <c r="F6965" i="26"/>
  <c r="F6964" i="26"/>
  <c r="F6963" i="26"/>
  <c r="F6962" i="26"/>
  <c r="F6961" i="26"/>
  <c r="F6960" i="26"/>
  <c r="F6959" i="26"/>
  <c r="F6958" i="26"/>
  <c r="F6957" i="26"/>
  <c r="F6956" i="26"/>
  <c r="F6955" i="26"/>
  <c r="F6954" i="26"/>
  <c r="F6953" i="26"/>
  <c r="F6952" i="26"/>
  <c r="F6951" i="26"/>
  <c r="F6950" i="26"/>
  <c r="F6949" i="26"/>
  <c r="F6948" i="26"/>
  <c r="F6947" i="26"/>
  <c r="F6946" i="26"/>
  <c r="F6945" i="26"/>
  <c r="F6944" i="26"/>
  <c r="F6943" i="26"/>
  <c r="F6942" i="26"/>
  <c r="F6941" i="26"/>
  <c r="F6940" i="26"/>
  <c r="F6939" i="26"/>
  <c r="F6938" i="26"/>
  <c r="F6937" i="26"/>
  <c r="F6936" i="26"/>
  <c r="F6935" i="26"/>
  <c r="F6934" i="26"/>
  <c r="F6933" i="26"/>
  <c r="F6932" i="26"/>
  <c r="F6931" i="26"/>
  <c r="F6930" i="26"/>
  <c r="F6929" i="26"/>
  <c r="F6928" i="26"/>
  <c r="F6927" i="26"/>
  <c r="F6926" i="26"/>
  <c r="F6925" i="26"/>
  <c r="F6924" i="26"/>
  <c r="F6923" i="26"/>
  <c r="F6922" i="26"/>
  <c r="F6921" i="26"/>
  <c r="F6920" i="26"/>
  <c r="F6919" i="26"/>
  <c r="F6918" i="26"/>
  <c r="F6917" i="26"/>
  <c r="F6916" i="26"/>
  <c r="F6915" i="26"/>
  <c r="F6914" i="26"/>
  <c r="F6913" i="26"/>
  <c r="F6912" i="26"/>
  <c r="F6911" i="26"/>
  <c r="F6910" i="26"/>
  <c r="F6909" i="26"/>
  <c r="F6908" i="26"/>
  <c r="F6907" i="26"/>
  <c r="F6906" i="26"/>
  <c r="F6905" i="26"/>
  <c r="F6904" i="26"/>
  <c r="F6903" i="26"/>
  <c r="F6902" i="26"/>
  <c r="F6901" i="26"/>
  <c r="F6900" i="26"/>
  <c r="F6899" i="26"/>
  <c r="F6898" i="26"/>
  <c r="F6897" i="26"/>
  <c r="F6896" i="26"/>
  <c r="F6895" i="26"/>
  <c r="F6894" i="26"/>
  <c r="F6893" i="26"/>
  <c r="F6892" i="26"/>
  <c r="F6891" i="26"/>
  <c r="F6890" i="26"/>
  <c r="F6889" i="26"/>
  <c r="F6888" i="26"/>
  <c r="F6887" i="26"/>
  <c r="F6886" i="26"/>
  <c r="F6885" i="26"/>
  <c r="F6884" i="26"/>
  <c r="F6883" i="26"/>
  <c r="F6882" i="26"/>
  <c r="F6881" i="26"/>
  <c r="F6880" i="26"/>
  <c r="F6879" i="26"/>
  <c r="F6878" i="26"/>
  <c r="F6877" i="26"/>
  <c r="F6876" i="26"/>
  <c r="F6875" i="26"/>
  <c r="F6874" i="26"/>
  <c r="F6873" i="26"/>
  <c r="F6872" i="26"/>
  <c r="F6871" i="26"/>
  <c r="F6870" i="26"/>
  <c r="F6869" i="26"/>
  <c r="F6868" i="26"/>
  <c r="F6867" i="26"/>
  <c r="F6866" i="26"/>
  <c r="F6865" i="26"/>
  <c r="F6864" i="26"/>
  <c r="F6863" i="26"/>
  <c r="F6862" i="26"/>
  <c r="F6861" i="26"/>
  <c r="F6860" i="26"/>
  <c r="F6859" i="26"/>
  <c r="F6858" i="26"/>
  <c r="F6857" i="26"/>
  <c r="F6856" i="26"/>
  <c r="F6855" i="26"/>
  <c r="F6854" i="26"/>
  <c r="F6853" i="26"/>
  <c r="F6852" i="26"/>
  <c r="F6851" i="26"/>
  <c r="F6850" i="26"/>
  <c r="F6849" i="26"/>
  <c r="F6848" i="26"/>
  <c r="F6847" i="26"/>
  <c r="F6846" i="26"/>
  <c r="F6845" i="26"/>
  <c r="F6844" i="26"/>
  <c r="F6843" i="26"/>
  <c r="F6842" i="26"/>
  <c r="F6841" i="26"/>
  <c r="F6840" i="26"/>
  <c r="F6839" i="26"/>
  <c r="F6838" i="26"/>
  <c r="F6837" i="26"/>
  <c r="F6836" i="26"/>
  <c r="F6835" i="26"/>
  <c r="F6834" i="26"/>
  <c r="F6833" i="26"/>
  <c r="F6832" i="26"/>
  <c r="F6831" i="26"/>
  <c r="F6830" i="26"/>
  <c r="F6829" i="26"/>
  <c r="F6828" i="26"/>
  <c r="F6827" i="26"/>
  <c r="F6826" i="26"/>
  <c r="F6825" i="26"/>
  <c r="F6824" i="26"/>
  <c r="F6823" i="26"/>
  <c r="F6822" i="26"/>
  <c r="F6821" i="26"/>
  <c r="F6820" i="26"/>
  <c r="F6819" i="26"/>
  <c r="F6818" i="26"/>
  <c r="F6817" i="26"/>
  <c r="F6816" i="26"/>
  <c r="F6815" i="26"/>
  <c r="F6814" i="26"/>
  <c r="F6813" i="26"/>
  <c r="F6812" i="26"/>
  <c r="F6811" i="26"/>
  <c r="F6810" i="26"/>
  <c r="F6809" i="26"/>
  <c r="F6808" i="26"/>
  <c r="F6807" i="26"/>
  <c r="F6806" i="26"/>
  <c r="F6805" i="26"/>
  <c r="F6804" i="26"/>
  <c r="F6803" i="26"/>
  <c r="F6802" i="26"/>
  <c r="F6801" i="26"/>
  <c r="F6800" i="26"/>
  <c r="F6799" i="26"/>
  <c r="F6798" i="26"/>
  <c r="F6797" i="26"/>
  <c r="F6796" i="26"/>
  <c r="F6795" i="26"/>
  <c r="F6794" i="26"/>
  <c r="F6793" i="26"/>
  <c r="F6792" i="26"/>
  <c r="F6791" i="26"/>
  <c r="F6790" i="26"/>
  <c r="F6789" i="26"/>
  <c r="F6788" i="26"/>
  <c r="F6787" i="26"/>
  <c r="F6786" i="26"/>
  <c r="F6785" i="26"/>
  <c r="F6784" i="26"/>
  <c r="F6783" i="26"/>
  <c r="F6782" i="26"/>
  <c r="F6781" i="26"/>
  <c r="F6780" i="26"/>
  <c r="F6779" i="26"/>
  <c r="F6778" i="26"/>
  <c r="F6777" i="26"/>
  <c r="F6776" i="26"/>
  <c r="F6775" i="26"/>
  <c r="F6774" i="26"/>
  <c r="F6773" i="26"/>
  <c r="F6772" i="26"/>
  <c r="F6771" i="26"/>
  <c r="F6770" i="26"/>
  <c r="F6769" i="26"/>
  <c r="F6768" i="26"/>
  <c r="F6767" i="26"/>
  <c r="F6766" i="26"/>
  <c r="F6765" i="26"/>
  <c r="F6764" i="26"/>
  <c r="F6763" i="26"/>
  <c r="F6762" i="26"/>
  <c r="F6761" i="26"/>
  <c r="F6760" i="26"/>
  <c r="F6759" i="26"/>
  <c r="F6758" i="26"/>
  <c r="F6757" i="26"/>
  <c r="F6756" i="26"/>
  <c r="F6755" i="26"/>
  <c r="F6754" i="26"/>
  <c r="F6753" i="26"/>
  <c r="F6752" i="26"/>
  <c r="F6751" i="26"/>
  <c r="F6750" i="26"/>
  <c r="F6749" i="26"/>
  <c r="F6748" i="26"/>
  <c r="F6747" i="26"/>
  <c r="F6746" i="26"/>
  <c r="F6745" i="26"/>
  <c r="F6744" i="26"/>
  <c r="F6743" i="26"/>
  <c r="F6742" i="26"/>
  <c r="F6741" i="26"/>
  <c r="F6740" i="26"/>
  <c r="F6739" i="26"/>
  <c r="F6738" i="26"/>
  <c r="F6737" i="26"/>
  <c r="F6736" i="26"/>
  <c r="F6735" i="26"/>
  <c r="F6734" i="26"/>
  <c r="F6733" i="26"/>
  <c r="F6732" i="26"/>
  <c r="F6731" i="26"/>
  <c r="F6730" i="26"/>
  <c r="F6729" i="26"/>
  <c r="F6728" i="26"/>
  <c r="F6727" i="26"/>
  <c r="F6726" i="26"/>
  <c r="F6725" i="26"/>
  <c r="F6724" i="26"/>
  <c r="F6723" i="26"/>
  <c r="F6722" i="26"/>
  <c r="F6721" i="26"/>
  <c r="F6720" i="26"/>
  <c r="F6719" i="26"/>
  <c r="F6718" i="26"/>
  <c r="F6717" i="26"/>
  <c r="F6716" i="26"/>
  <c r="F6715" i="26"/>
  <c r="F6714" i="26"/>
  <c r="F6713" i="26"/>
  <c r="F6712" i="26"/>
  <c r="F6711" i="26"/>
  <c r="F6710" i="26"/>
  <c r="F6709" i="26"/>
  <c r="F6708" i="26"/>
  <c r="F6707" i="26"/>
  <c r="F6706" i="26"/>
  <c r="F6705" i="26"/>
  <c r="F6704" i="26"/>
  <c r="F6703" i="26"/>
  <c r="F6702" i="26"/>
  <c r="F6701" i="26"/>
  <c r="F6700" i="26"/>
  <c r="F6699" i="26"/>
  <c r="F6698" i="26"/>
  <c r="F6697" i="26"/>
  <c r="F6696" i="26"/>
  <c r="F6695" i="26"/>
  <c r="F6694" i="26"/>
  <c r="F6693" i="26"/>
  <c r="F6692" i="26"/>
  <c r="F6691" i="26"/>
  <c r="F6690" i="26"/>
  <c r="F6689" i="26"/>
  <c r="F6688" i="26"/>
  <c r="F6687" i="26"/>
  <c r="F6686" i="26"/>
  <c r="F6685" i="26"/>
  <c r="F6684" i="26"/>
  <c r="F6683" i="26"/>
  <c r="F6682" i="26"/>
  <c r="F6681" i="26"/>
  <c r="F6680" i="26"/>
  <c r="F6679" i="26"/>
  <c r="F6678" i="26"/>
  <c r="F6677" i="26"/>
  <c r="F6676" i="26"/>
  <c r="F6675" i="26"/>
  <c r="F6674" i="26"/>
  <c r="F6673" i="26"/>
  <c r="F6672" i="26"/>
  <c r="F6671" i="26"/>
  <c r="F6670" i="26"/>
  <c r="F6669" i="26"/>
  <c r="F6668" i="26"/>
  <c r="F6667" i="26"/>
  <c r="F6666" i="26"/>
  <c r="F6665" i="26"/>
  <c r="F6664" i="26"/>
  <c r="F6663" i="26"/>
  <c r="F6662" i="26"/>
  <c r="F6661" i="26"/>
  <c r="F6660" i="26"/>
  <c r="F6659" i="26"/>
  <c r="F6658" i="26"/>
  <c r="F6657" i="26"/>
  <c r="F6656" i="26"/>
  <c r="F6655" i="26"/>
  <c r="F6654" i="26"/>
  <c r="F6653" i="26"/>
  <c r="F6652" i="26"/>
  <c r="F6651" i="26"/>
  <c r="F6650" i="26"/>
  <c r="F6649" i="26"/>
  <c r="F6648" i="26"/>
  <c r="F6647" i="26"/>
  <c r="F6646" i="26"/>
  <c r="F6645" i="26"/>
  <c r="F6644" i="26"/>
  <c r="F6643" i="26"/>
  <c r="F6642" i="26"/>
  <c r="F6641" i="26"/>
  <c r="F6640" i="26"/>
  <c r="F6639" i="26"/>
  <c r="F6638" i="26"/>
  <c r="F6637" i="26"/>
  <c r="F6636" i="26"/>
  <c r="F6635" i="26"/>
  <c r="F6634" i="26"/>
  <c r="F6633" i="26"/>
  <c r="F6632" i="26"/>
  <c r="F6631" i="26"/>
  <c r="F6630" i="26"/>
  <c r="F6629" i="26"/>
  <c r="F6628" i="26"/>
  <c r="F6627" i="26"/>
  <c r="F6626" i="26"/>
  <c r="F6625" i="26"/>
  <c r="F6624" i="26"/>
  <c r="F6623" i="26"/>
  <c r="F6622" i="26"/>
  <c r="F6621" i="26"/>
  <c r="F6620" i="26"/>
  <c r="F6619" i="26"/>
  <c r="F6618" i="26"/>
  <c r="F6617" i="26"/>
  <c r="F6616" i="26"/>
  <c r="F6615" i="26"/>
  <c r="F6614" i="26"/>
  <c r="F6613" i="26"/>
  <c r="F6612" i="26"/>
  <c r="F6611" i="26"/>
  <c r="F6610" i="26"/>
  <c r="F6609" i="26"/>
  <c r="F6608" i="26"/>
  <c r="F6607" i="26"/>
  <c r="F6606" i="26"/>
  <c r="F6605" i="26"/>
  <c r="F6604" i="26"/>
  <c r="F6603" i="26"/>
  <c r="F6602" i="26"/>
  <c r="F6601" i="26"/>
  <c r="F6600" i="26"/>
  <c r="F6599" i="26"/>
  <c r="F6598" i="26"/>
  <c r="F6597" i="26"/>
  <c r="F6596" i="26"/>
  <c r="F6595" i="26"/>
  <c r="F6594" i="26"/>
  <c r="F6593" i="26"/>
  <c r="F6592" i="26"/>
  <c r="F6591" i="26"/>
  <c r="F6590" i="26"/>
  <c r="F6589" i="26"/>
  <c r="F6588" i="26"/>
  <c r="F6587" i="26"/>
  <c r="F6586" i="26"/>
  <c r="F6585" i="26"/>
  <c r="F6584" i="26"/>
  <c r="F6583" i="26"/>
  <c r="F6582" i="26"/>
  <c r="F6581" i="26"/>
  <c r="F6580" i="26"/>
  <c r="F6579" i="26"/>
  <c r="F6578" i="26"/>
  <c r="F6577" i="26"/>
  <c r="F6576" i="26"/>
  <c r="F6575" i="26"/>
  <c r="F6574" i="26"/>
  <c r="F6573" i="26"/>
  <c r="F6572" i="26"/>
  <c r="F6571" i="26"/>
  <c r="F6570" i="26"/>
  <c r="F6569" i="26"/>
  <c r="F6568" i="26"/>
  <c r="F6567" i="26"/>
  <c r="F6566" i="26"/>
  <c r="F6565" i="26"/>
  <c r="F6564" i="26"/>
  <c r="F6563" i="26"/>
  <c r="F6562" i="26"/>
  <c r="F6561" i="26"/>
  <c r="F6560" i="26"/>
  <c r="F6559" i="26"/>
  <c r="F6558" i="26"/>
  <c r="F6557" i="26"/>
  <c r="F6556" i="26"/>
  <c r="F6555" i="26"/>
  <c r="F6554" i="26"/>
  <c r="F6553" i="26"/>
  <c r="F6552" i="26"/>
  <c r="F6551" i="26"/>
  <c r="F6550" i="26"/>
  <c r="F6549" i="26"/>
  <c r="F6548" i="26"/>
  <c r="F6547" i="26"/>
  <c r="F6546" i="26"/>
  <c r="F6545" i="26"/>
  <c r="F6544" i="26"/>
  <c r="F6543" i="26"/>
  <c r="F6542" i="26"/>
  <c r="F6541" i="26"/>
  <c r="F6540" i="26"/>
  <c r="F6539" i="26"/>
  <c r="F6538" i="26"/>
  <c r="F6537" i="26"/>
  <c r="F6536" i="26"/>
  <c r="F6535" i="26"/>
  <c r="F6534" i="26"/>
  <c r="F6533" i="26"/>
  <c r="F6532" i="26"/>
  <c r="F6531" i="26"/>
  <c r="F6530" i="26"/>
  <c r="F6529" i="26"/>
  <c r="F6528" i="26"/>
  <c r="F6527" i="26"/>
  <c r="F6526" i="26"/>
  <c r="F6525" i="26"/>
  <c r="F6524" i="26"/>
  <c r="F6523" i="26"/>
  <c r="F6522" i="26"/>
  <c r="F6521" i="26"/>
  <c r="F6520" i="26"/>
  <c r="F6519" i="26"/>
  <c r="F6518" i="26"/>
  <c r="F6517" i="26"/>
  <c r="F6516" i="26"/>
  <c r="F6515" i="26"/>
  <c r="F6514" i="26"/>
  <c r="F6513" i="26"/>
  <c r="F6512" i="26"/>
  <c r="F6511" i="26"/>
  <c r="F6510" i="26"/>
  <c r="F6509" i="26"/>
  <c r="F6508" i="26"/>
  <c r="F6507" i="26"/>
  <c r="F6506" i="26"/>
  <c r="F6505" i="26"/>
  <c r="F6504" i="26"/>
  <c r="F6503" i="26"/>
  <c r="F6502" i="26"/>
  <c r="F6501" i="26"/>
  <c r="F6500" i="26"/>
  <c r="F6499" i="26"/>
  <c r="F6498" i="26"/>
  <c r="F6497" i="26"/>
  <c r="F6496" i="26"/>
  <c r="F6495" i="26"/>
  <c r="F6494" i="26"/>
  <c r="F6493" i="26"/>
  <c r="F6492" i="26"/>
  <c r="F6491" i="26"/>
  <c r="F6490" i="26"/>
  <c r="F6489" i="26"/>
  <c r="F6488" i="26"/>
  <c r="F6487" i="26"/>
  <c r="F6486" i="26"/>
  <c r="F6485" i="26"/>
  <c r="F6484" i="26"/>
  <c r="F6483" i="26"/>
  <c r="F6482" i="26"/>
  <c r="F6481" i="26"/>
  <c r="F6480" i="26"/>
  <c r="F6479" i="26"/>
  <c r="F6478" i="26"/>
  <c r="F6477" i="26"/>
  <c r="F6476" i="26"/>
  <c r="F6475" i="26"/>
  <c r="F6474" i="26"/>
  <c r="F6473" i="26"/>
  <c r="F6472" i="26"/>
  <c r="F6471" i="26"/>
  <c r="F6470" i="26"/>
  <c r="F6469" i="26"/>
  <c r="F6468" i="26"/>
  <c r="F6467" i="26"/>
  <c r="F6466" i="26"/>
  <c r="F6465" i="26"/>
  <c r="F6464" i="26"/>
  <c r="F6463" i="26"/>
  <c r="F6462" i="26"/>
  <c r="F6461" i="26"/>
  <c r="F6460" i="26"/>
  <c r="F6459" i="26"/>
  <c r="F6458" i="26"/>
  <c r="F6457" i="26"/>
  <c r="F6456" i="26"/>
  <c r="F6455" i="26"/>
  <c r="F6454" i="26"/>
  <c r="F6453" i="26"/>
  <c r="F6452" i="26"/>
  <c r="F6451" i="26"/>
  <c r="F6450" i="26"/>
  <c r="F6449" i="26"/>
  <c r="F6448" i="26"/>
  <c r="F6447" i="26"/>
  <c r="F6446" i="26"/>
  <c r="F6445" i="26"/>
  <c r="F6444" i="26"/>
  <c r="F6443" i="26"/>
  <c r="F6442" i="26"/>
  <c r="F6441" i="26"/>
  <c r="F6440" i="26"/>
  <c r="F6439" i="26"/>
  <c r="F6438" i="26"/>
  <c r="F6437" i="26"/>
  <c r="F6436" i="26"/>
  <c r="F6435" i="26"/>
  <c r="F6434" i="26"/>
  <c r="F6433" i="26"/>
  <c r="F6432" i="26"/>
  <c r="F6431" i="26"/>
  <c r="F6430" i="26"/>
  <c r="F6429" i="26"/>
  <c r="F6428" i="26"/>
  <c r="F6427" i="26"/>
  <c r="F6426" i="26"/>
  <c r="F6425" i="26"/>
  <c r="F6424" i="26"/>
  <c r="F6423" i="26"/>
  <c r="F6422" i="26"/>
  <c r="F6421" i="26"/>
  <c r="F6420" i="26"/>
  <c r="F6419" i="26"/>
  <c r="F6418" i="26"/>
  <c r="F6417" i="26"/>
  <c r="F6416" i="26"/>
  <c r="F6415" i="26"/>
  <c r="F6414" i="26"/>
  <c r="F6413" i="26"/>
  <c r="F6412" i="26"/>
  <c r="F6411" i="26"/>
  <c r="F6410" i="26"/>
  <c r="F6409" i="26"/>
  <c r="F6408" i="26"/>
  <c r="F6407" i="26"/>
  <c r="F6406" i="26"/>
  <c r="F6405" i="26"/>
  <c r="F6404" i="26"/>
  <c r="F6403" i="26"/>
  <c r="F6402" i="26"/>
  <c r="F6401" i="26"/>
  <c r="F6400" i="26"/>
  <c r="F6399" i="26"/>
  <c r="F6398" i="26"/>
  <c r="F6397" i="26"/>
  <c r="F6396" i="26"/>
  <c r="F6395" i="26"/>
  <c r="F6394" i="26"/>
  <c r="F6393" i="26"/>
  <c r="F6392" i="26"/>
  <c r="F6391" i="26"/>
  <c r="F6390" i="26"/>
  <c r="F6389" i="26"/>
  <c r="F6388" i="26"/>
  <c r="F6387" i="26"/>
  <c r="F6386" i="26"/>
  <c r="F6385" i="26"/>
  <c r="F6384" i="26"/>
  <c r="F6383" i="26"/>
  <c r="F6382" i="26"/>
  <c r="F6381" i="26"/>
  <c r="F6380" i="26"/>
  <c r="F6379" i="26"/>
  <c r="F6378" i="26"/>
  <c r="F6377" i="26"/>
  <c r="F6376" i="26"/>
  <c r="F6375" i="26"/>
  <c r="F6374" i="26"/>
  <c r="F6373" i="26"/>
  <c r="F6372" i="26"/>
  <c r="F6371" i="26"/>
  <c r="F6370" i="26"/>
  <c r="F6369" i="26"/>
  <c r="F6368" i="26"/>
  <c r="F6367" i="26"/>
  <c r="F6366" i="26"/>
  <c r="F6365" i="26"/>
  <c r="F6364" i="26"/>
  <c r="F6363" i="26"/>
  <c r="F6362" i="26"/>
  <c r="F6361" i="26"/>
  <c r="F6360" i="26"/>
  <c r="F6359" i="26"/>
  <c r="F6358" i="26"/>
  <c r="F6357" i="26"/>
  <c r="F6356" i="26"/>
  <c r="F6355" i="26"/>
  <c r="F6354" i="26"/>
  <c r="F6353" i="26"/>
  <c r="F6352" i="26"/>
  <c r="F6351" i="26"/>
  <c r="F6350" i="26"/>
  <c r="F6349" i="26"/>
  <c r="F6348" i="26"/>
  <c r="F6347" i="26"/>
  <c r="F6346" i="26"/>
  <c r="F6345" i="26"/>
  <c r="F6344" i="26"/>
  <c r="F6343" i="26"/>
  <c r="F6342" i="26"/>
  <c r="F6341" i="26"/>
  <c r="F6340" i="26"/>
  <c r="F6339" i="26"/>
  <c r="F6338" i="26"/>
  <c r="F6337" i="26"/>
  <c r="F6336" i="26"/>
  <c r="F6335" i="26"/>
  <c r="F6334" i="26"/>
  <c r="F6333" i="26"/>
  <c r="F6332" i="26"/>
  <c r="F6331" i="26"/>
  <c r="F6330" i="26"/>
  <c r="F6329" i="26"/>
  <c r="F6328" i="26"/>
  <c r="F6327" i="26"/>
  <c r="F6326" i="26"/>
  <c r="F6325" i="26"/>
  <c r="F6324" i="26"/>
  <c r="F6323" i="26"/>
  <c r="F6322" i="26"/>
  <c r="F6321" i="26"/>
  <c r="F6320" i="26"/>
  <c r="F6319" i="26"/>
  <c r="F6318" i="26"/>
  <c r="F6317" i="26"/>
  <c r="F6316" i="26"/>
  <c r="F6315" i="26"/>
  <c r="F6314" i="26"/>
  <c r="F6313" i="26"/>
  <c r="F6312" i="26"/>
  <c r="F6311" i="26"/>
  <c r="F6310" i="26"/>
  <c r="F6309" i="26"/>
  <c r="F6308" i="26"/>
  <c r="F6307" i="26"/>
  <c r="F6306" i="26"/>
  <c r="F6305" i="26"/>
  <c r="F6304" i="26"/>
  <c r="F6303" i="26"/>
  <c r="F6302" i="26"/>
  <c r="F6301" i="26"/>
  <c r="F6300" i="26"/>
  <c r="F6299" i="26"/>
  <c r="F6298" i="26"/>
  <c r="F6297" i="26"/>
  <c r="F6296" i="26"/>
  <c r="F6295" i="26"/>
  <c r="F6294" i="26"/>
  <c r="F6293" i="26"/>
  <c r="F6292" i="26"/>
  <c r="F6291" i="26"/>
  <c r="F6290" i="26"/>
  <c r="F6289" i="26"/>
  <c r="F6288" i="26"/>
  <c r="F6287" i="26"/>
  <c r="F6286" i="26"/>
  <c r="F6285" i="26"/>
  <c r="F6284" i="26"/>
  <c r="F6283" i="26"/>
  <c r="F6282" i="26"/>
  <c r="F6281" i="26"/>
  <c r="F6280" i="26"/>
  <c r="F6279" i="26"/>
  <c r="F6278" i="26"/>
  <c r="F6277" i="26"/>
  <c r="F6276" i="26"/>
  <c r="F6275" i="26"/>
  <c r="F6274" i="26"/>
  <c r="F6273" i="26"/>
  <c r="F6272" i="26"/>
  <c r="F6271" i="26"/>
  <c r="F6270" i="26"/>
  <c r="F6269" i="26"/>
  <c r="F6268" i="26"/>
  <c r="F6267" i="26"/>
  <c r="F6266" i="26"/>
  <c r="F6265" i="26"/>
  <c r="F6264" i="26"/>
  <c r="F6263" i="26"/>
  <c r="F6262" i="26"/>
  <c r="F6261" i="26"/>
  <c r="F6260" i="26"/>
  <c r="F6259" i="26"/>
  <c r="F6258" i="26"/>
  <c r="F6257" i="26"/>
  <c r="F6256" i="26"/>
  <c r="F6255" i="26"/>
  <c r="F6254" i="26"/>
  <c r="F6253" i="26"/>
  <c r="F6252" i="26"/>
  <c r="F6251" i="26"/>
  <c r="F6250" i="26"/>
  <c r="F6249" i="26"/>
  <c r="F6248" i="26"/>
  <c r="F6247" i="26"/>
  <c r="F6246" i="26"/>
  <c r="F6245" i="26"/>
  <c r="F6244" i="26"/>
  <c r="F6243" i="26"/>
  <c r="F6242" i="26"/>
  <c r="F6241" i="26"/>
  <c r="F6240" i="26"/>
  <c r="F6239" i="26"/>
  <c r="F6238" i="26"/>
  <c r="F6237" i="26"/>
  <c r="F6236" i="26"/>
  <c r="F6235" i="26"/>
  <c r="F6234" i="26"/>
  <c r="F6233" i="26"/>
  <c r="F6232" i="26"/>
  <c r="F6231" i="26"/>
  <c r="F6230" i="26"/>
  <c r="F6229" i="26"/>
  <c r="F6228" i="26"/>
  <c r="F6227" i="26"/>
  <c r="F6226" i="26"/>
  <c r="F6225" i="26"/>
  <c r="F6224" i="26"/>
  <c r="F6223" i="26"/>
  <c r="F6222" i="26"/>
  <c r="F6221" i="26"/>
  <c r="F6220" i="26"/>
  <c r="F6219" i="26"/>
  <c r="F6218" i="26"/>
  <c r="F6217" i="26"/>
  <c r="F6216" i="26"/>
  <c r="F6215" i="26"/>
  <c r="F6214" i="26"/>
  <c r="F6213" i="26"/>
  <c r="F6212" i="26"/>
  <c r="F6211" i="26"/>
  <c r="F6210" i="26"/>
  <c r="F6209" i="26"/>
  <c r="F6208" i="26"/>
  <c r="F6207" i="26"/>
  <c r="F6206" i="26"/>
  <c r="F6205" i="26"/>
  <c r="F6204" i="26"/>
  <c r="F6203" i="26"/>
  <c r="F6202" i="26"/>
  <c r="F6201" i="26"/>
  <c r="F6200" i="26"/>
  <c r="F6199" i="26"/>
  <c r="F6198" i="26"/>
  <c r="F6197" i="26"/>
  <c r="F6196" i="26"/>
  <c r="F6195" i="26"/>
  <c r="F6194" i="26"/>
  <c r="F6193" i="26"/>
  <c r="F6192" i="26"/>
  <c r="F6191" i="26"/>
  <c r="F6190" i="26"/>
  <c r="F6189" i="26"/>
  <c r="F6188" i="26"/>
  <c r="F6187" i="26"/>
  <c r="F6186" i="26"/>
  <c r="F6185" i="26"/>
  <c r="F6184" i="26"/>
  <c r="F6183" i="26"/>
  <c r="F6182" i="26"/>
  <c r="F6181" i="26"/>
  <c r="F6180" i="26"/>
  <c r="F6179" i="26"/>
  <c r="F6178" i="26"/>
  <c r="F6177" i="26"/>
  <c r="F6176" i="26"/>
  <c r="F6175" i="26"/>
  <c r="F6174" i="26"/>
  <c r="F6173" i="26"/>
  <c r="F6172" i="26"/>
  <c r="F6171" i="26"/>
  <c r="F6170" i="26"/>
  <c r="F6169" i="26"/>
  <c r="F6168" i="26"/>
  <c r="F6167" i="26"/>
  <c r="F6166" i="26"/>
  <c r="F6165" i="26"/>
  <c r="F6164" i="26"/>
  <c r="F6163" i="26"/>
  <c r="F6162" i="26"/>
  <c r="F6161" i="26"/>
  <c r="F6160" i="26"/>
  <c r="F6159" i="26"/>
  <c r="F6158" i="26"/>
  <c r="F6157" i="26"/>
  <c r="F6156" i="26"/>
  <c r="F6155" i="26"/>
  <c r="F6154" i="26"/>
  <c r="F6153" i="26"/>
  <c r="F6152" i="26"/>
  <c r="F6151" i="26"/>
  <c r="F6150" i="26"/>
  <c r="F6149" i="26"/>
  <c r="F6148" i="26"/>
  <c r="F6147" i="26"/>
  <c r="F6146" i="26"/>
  <c r="F6145" i="26"/>
  <c r="F6144" i="26"/>
  <c r="F6143" i="26"/>
  <c r="F6142" i="26"/>
  <c r="F6141" i="26"/>
  <c r="F6140" i="26"/>
  <c r="F6139" i="26"/>
  <c r="F6138" i="26"/>
  <c r="F6137" i="26"/>
  <c r="F6136" i="26"/>
  <c r="F6135" i="26"/>
  <c r="F6134" i="26"/>
  <c r="F6133" i="26"/>
  <c r="F6132" i="26"/>
  <c r="F6131" i="26"/>
  <c r="F6130" i="26"/>
  <c r="F6129" i="26"/>
  <c r="F6128" i="26"/>
  <c r="F6127" i="26"/>
  <c r="F6126" i="26"/>
  <c r="F6125" i="26"/>
  <c r="F6124" i="26"/>
  <c r="F6123" i="26"/>
  <c r="F6122" i="26"/>
  <c r="F6121" i="26"/>
  <c r="F6120" i="26"/>
  <c r="F6119" i="26"/>
  <c r="F6118" i="26"/>
  <c r="F6117" i="26"/>
  <c r="F6116" i="26"/>
  <c r="F6115" i="26"/>
  <c r="F6114" i="26"/>
  <c r="F6113" i="26"/>
  <c r="F6112" i="26"/>
  <c r="F6111" i="26"/>
  <c r="F6110" i="26"/>
  <c r="F6109" i="26"/>
  <c r="F6108" i="26"/>
  <c r="F6107" i="26"/>
  <c r="F6106" i="26"/>
  <c r="F6105" i="26"/>
  <c r="F6104" i="26"/>
  <c r="F6103" i="26"/>
  <c r="F6102" i="26"/>
  <c r="F6101" i="26"/>
  <c r="F6100" i="26"/>
  <c r="F6099" i="26"/>
  <c r="F6098" i="26"/>
  <c r="F6097" i="26"/>
  <c r="F6096" i="26"/>
  <c r="F6095" i="26"/>
  <c r="F6094" i="26"/>
  <c r="F6093" i="26"/>
  <c r="F6092" i="26"/>
  <c r="F6091" i="26"/>
  <c r="F6090" i="26"/>
  <c r="F6089" i="26"/>
  <c r="F6088" i="26"/>
  <c r="F6087" i="26"/>
  <c r="F6086" i="26"/>
  <c r="F6085" i="26"/>
  <c r="F6084" i="26"/>
  <c r="F6083" i="26"/>
  <c r="F6082" i="26"/>
  <c r="F6081" i="26"/>
  <c r="F6080" i="26"/>
  <c r="F6079" i="26"/>
  <c r="F6078" i="26"/>
  <c r="F6077" i="26"/>
  <c r="F6076" i="26"/>
  <c r="F6075" i="26"/>
  <c r="F6074" i="26"/>
  <c r="F6073" i="26"/>
  <c r="F6072" i="26"/>
  <c r="F6071" i="26"/>
  <c r="F6070" i="26"/>
  <c r="F6069" i="26"/>
  <c r="F6068" i="26"/>
  <c r="F6067" i="26"/>
  <c r="F6066" i="26"/>
  <c r="F6065" i="26"/>
  <c r="F6064" i="26"/>
  <c r="F6063" i="26"/>
  <c r="F6062" i="26"/>
  <c r="F6061" i="26"/>
  <c r="F6060" i="26"/>
  <c r="F6059" i="26"/>
  <c r="F6058" i="26"/>
  <c r="F6057" i="26"/>
  <c r="F6056" i="26"/>
  <c r="F6055" i="26"/>
  <c r="F6054" i="26"/>
  <c r="F6053" i="26"/>
  <c r="F6052" i="26"/>
  <c r="F6051" i="26"/>
  <c r="F6050" i="26"/>
  <c r="F6049" i="26"/>
  <c r="F6048" i="26"/>
  <c r="F6047" i="26"/>
  <c r="F6046" i="26"/>
  <c r="F6045" i="26"/>
  <c r="F6044" i="26"/>
  <c r="F6043" i="26"/>
  <c r="F6042" i="26"/>
  <c r="F6041" i="26"/>
  <c r="F6040" i="26"/>
  <c r="F6039" i="26"/>
  <c r="F6038" i="26"/>
  <c r="F6037" i="26"/>
  <c r="F6036" i="26"/>
  <c r="F6035" i="26"/>
  <c r="F6034" i="26"/>
  <c r="F6033" i="26"/>
  <c r="F6032" i="26"/>
  <c r="F6031" i="26"/>
  <c r="F6030" i="26"/>
  <c r="F6029" i="26"/>
  <c r="F6028" i="26"/>
  <c r="F6027" i="26"/>
  <c r="F6026" i="26"/>
  <c r="F6025" i="26"/>
  <c r="F6024" i="26"/>
  <c r="F6023" i="26"/>
  <c r="F6022" i="26"/>
  <c r="F6021" i="26"/>
  <c r="F6020" i="26"/>
  <c r="F6019" i="26"/>
  <c r="F6018" i="26"/>
  <c r="F6017" i="26"/>
  <c r="F6016" i="26"/>
  <c r="F6015" i="26"/>
  <c r="F6014" i="26"/>
  <c r="F6013" i="26"/>
  <c r="F6012" i="26"/>
  <c r="F6011" i="26"/>
  <c r="F6010" i="26"/>
  <c r="F6009" i="26"/>
  <c r="F6008" i="26"/>
  <c r="F6007" i="26"/>
  <c r="F6006" i="26"/>
  <c r="F6005" i="26"/>
  <c r="F6004" i="26"/>
  <c r="F6003" i="26"/>
  <c r="F6002" i="26"/>
  <c r="F6001" i="26"/>
  <c r="F6000" i="26"/>
  <c r="F5999" i="26"/>
  <c r="F5998" i="26"/>
  <c r="F5997" i="26"/>
  <c r="F5996" i="26"/>
  <c r="F5995" i="26"/>
  <c r="F5994" i="26"/>
  <c r="F5993" i="26"/>
  <c r="F5992" i="26"/>
  <c r="F5991" i="26"/>
  <c r="F5990" i="26"/>
  <c r="F5989" i="26"/>
  <c r="F5988" i="26"/>
  <c r="F5987" i="26"/>
  <c r="F5986" i="26"/>
  <c r="F5985" i="26"/>
  <c r="F5984" i="26"/>
  <c r="F5983" i="26"/>
  <c r="F5982" i="26"/>
  <c r="F5981" i="26"/>
  <c r="F5980" i="26"/>
  <c r="F5979" i="26"/>
  <c r="F5978" i="26"/>
  <c r="F5977" i="26"/>
  <c r="F5976" i="26"/>
  <c r="F5975" i="26"/>
  <c r="F5974" i="26"/>
  <c r="F5973" i="26"/>
  <c r="F5972" i="26"/>
  <c r="F5971" i="26"/>
  <c r="F5970" i="26"/>
  <c r="F5969" i="26"/>
  <c r="F5968" i="26"/>
  <c r="F5967" i="26"/>
  <c r="F5966" i="26"/>
  <c r="F5965" i="26"/>
  <c r="F5964" i="26"/>
  <c r="F5963" i="26"/>
  <c r="F5962" i="26"/>
  <c r="F5961" i="26"/>
  <c r="F5960" i="26"/>
  <c r="F5959" i="26"/>
  <c r="F5958" i="26"/>
  <c r="F5957" i="26"/>
  <c r="F5956" i="26"/>
  <c r="F5955" i="26"/>
  <c r="F5954" i="26"/>
  <c r="F5953" i="26"/>
  <c r="F5952" i="26"/>
  <c r="F5951" i="26"/>
  <c r="F5950" i="26"/>
  <c r="F5949" i="26"/>
  <c r="F5948" i="26"/>
  <c r="F5947" i="26"/>
  <c r="F5946" i="26"/>
  <c r="F5945" i="26"/>
  <c r="F5944" i="26"/>
  <c r="F5943" i="26"/>
  <c r="F5942" i="26"/>
  <c r="F5941" i="26"/>
  <c r="F5940" i="26"/>
  <c r="F5939" i="26"/>
  <c r="F5938" i="26"/>
  <c r="F5937" i="26"/>
  <c r="F5936" i="26"/>
  <c r="F5935" i="26"/>
  <c r="F5934" i="26"/>
  <c r="F5933" i="26"/>
  <c r="F5932" i="26"/>
  <c r="F5931" i="26"/>
  <c r="F5930" i="26"/>
  <c r="F5929" i="26"/>
  <c r="F5928" i="26"/>
  <c r="F5927" i="26"/>
  <c r="F5926" i="26"/>
  <c r="F5925" i="26"/>
  <c r="F5924" i="26"/>
  <c r="F5923" i="26"/>
  <c r="F5922" i="26"/>
  <c r="F5921" i="26"/>
  <c r="F5920" i="26"/>
  <c r="F5919" i="26"/>
  <c r="F5918" i="26"/>
  <c r="F5917" i="26"/>
  <c r="F5916" i="26"/>
  <c r="F5915" i="26"/>
  <c r="F5914" i="26"/>
  <c r="F5913" i="26"/>
  <c r="F5912" i="26"/>
  <c r="F5911" i="26"/>
  <c r="F5910" i="26"/>
  <c r="F5909" i="26"/>
  <c r="F5908" i="26"/>
  <c r="F5907" i="26"/>
  <c r="F5906" i="26"/>
  <c r="F5905" i="26"/>
  <c r="F5904" i="26"/>
  <c r="F5903" i="26"/>
  <c r="F5902" i="26"/>
  <c r="F5901" i="26"/>
  <c r="F5900" i="26"/>
  <c r="F5899" i="26"/>
  <c r="F5898" i="26"/>
  <c r="F5897" i="26"/>
  <c r="F5896" i="26"/>
  <c r="F5895" i="26"/>
  <c r="F5894" i="26"/>
  <c r="F5893" i="26"/>
  <c r="F5892" i="26"/>
  <c r="F5891" i="26"/>
  <c r="F5890" i="26"/>
  <c r="F5889" i="26"/>
  <c r="F5888" i="26"/>
  <c r="F5887" i="26"/>
  <c r="F5886" i="26"/>
  <c r="F5885" i="26"/>
  <c r="F5884" i="26"/>
  <c r="F5883" i="26"/>
  <c r="F5882" i="26"/>
  <c r="F5881" i="26"/>
  <c r="F5880" i="26"/>
  <c r="F5879" i="26"/>
  <c r="F5878" i="26"/>
  <c r="F5877" i="26"/>
  <c r="F5876" i="26"/>
  <c r="F5875" i="26"/>
  <c r="F5874" i="26"/>
  <c r="F5873" i="26"/>
  <c r="F5872" i="26"/>
  <c r="F5871" i="26"/>
  <c r="F5870" i="26"/>
  <c r="F5869" i="26"/>
  <c r="F5868" i="26"/>
  <c r="F5867" i="26"/>
  <c r="F5866" i="26"/>
  <c r="F5865" i="26"/>
  <c r="F5864" i="26"/>
  <c r="F5863" i="26"/>
  <c r="F5862" i="26"/>
  <c r="F5861" i="26"/>
  <c r="F5860" i="26"/>
  <c r="F5859" i="26"/>
  <c r="F5858" i="26"/>
  <c r="F5857" i="26"/>
  <c r="F5856" i="26"/>
  <c r="F5855" i="26"/>
  <c r="F5854" i="26"/>
  <c r="F5853" i="26"/>
  <c r="F5852" i="26"/>
  <c r="F5851" i="26"/>
  <c r="F5850" i="26"/>
  <c r="F5849" i="26"/>
  <c r="F5848" i="26"/>
  <c r="F5847" i="26"/>
  <c r="F5846" i="26"/>
  <c r="F5845" i="26"/>
  <c r="F5844" i="26"/>
  <c r="F5843" i="26"/>
  <c r="F5842" i="26"/>
  <c r="F5841" i="26"/>
  <c r="F5840" i="26"/>
  <c r="F5839" i="26"/>
  <c r="F5838" i="26"/>
  <c r="F5837" i="26"/>
  <c r="F5836" i="26"/>
  <c r="F5835" i="26"/>
  <c r="F5834" i="26"/>
  <c r="F5833" i="26"/>
  <c r="F5832" i="26"/>
  <c r="F5831" i="26"/>
  <c r="F5830" i="26"/>
  <c r="F5829" i="26"/>
  <c r="F5828" i="26"/>
  <c r="F5827" i="26"/>
  <c r="F5826" i="26"/>
  <c r="F5825" i="26"/>
  <c r="F5824" i="26"/>
  <c r="F5823" i="26"/>
  <c r="F5822" i="26"/>
  <c r="F5821" i="26"/>
  <c r="F5820" i="26"/>
  <c r="F5819" i="26"/>
  <c r="F5818" i="26"/>
  <c r="F5817" i="26"/>
  <c r="F5816" i="26"/>
  <c r="F5815" i="26"/>
  <c r="F5814" i="26"/>
  <c r="F5813" i="26"/>
  <c r="F5812" i="26"/>
  <c r="F5811" i="26"/>
  <c r="F5810" i="26"/>
  <c r="F5809" i="26"/>
  <c r="F5808" i="26"/>
  <c r="F5807" i="26"/>
  <c r="F5806" i="26"/>
  <c r="F5805" i="26"/>
  <c r="F5804" i="26"/>
  <c r="F5803" i="26"/>
  <c r="F5802" i="26"/>
  <c r="F5801" i="26"/>
  <c r="F5800" i="26"/>
  <c r="F5799" i="26"/>
  <c r="F5798" i="26"/>
  <c r="F5797" i="26"/>
  <c r="F5796" i="26"/>
  <c r="F5795" i="26"/>
  <c r="F5794" i="26"/>
  <c r="F5793" i="26"/>
  <c r="F5792" i="26"/>
  <c r="F5791" i="26"/>
  <c r="F5790" i="26"/>
  <c r="F5789" i="26"/>
  <c r="F5788" i="26"/>
  <c r="F5787" i="26"/>
  <c r="F5786" i="26"/>
  <c r="F5785" i="26"/>
  <c r="F5784" i="26"/>
  <c r="F5783" i="26"/>
  <c r="F5782" i="26"/>
  <c r="F5781" i="26"/>
  <c r="F5780" i="26"/>
  <c r="F5779" i="26"/>
  <c r="F5778" i="26"/>
  <c r="F5777" i="26"/>
  <c r="F5776" i="26"/>
  <c r="F5775" i="26"/>
  <c r="F5774" i="26"/>
  <c r="F5773" i="26"/>
  <c r="F5772" i="26"/>
  <c r="F5771" i="26"/>
  <c r="F5770" i="26"/>
  <c r="F5769" i="26"/>
  <c r="F5768" i="26"/>
  <c r="F5767" i="26"/>
  <c r="F5766" i="26"/>
  <c r="F5765" i="26"/>
  <c r="F5764" i="26"/>
  <c r="F5763" i="26"/>
  <c r="F5762" i="26"/>
  <c r="F5761" i="26"/>
  <c r="F5760" i="26"/>
  <c r="F5759" i="26"/>
  <c r="F5758" i="26"/>
  <c r="F5757" i="26"/>
  <c r="F5756" i="26"/>
  <c r="F5755" i="26"/>
  <c r="F5754" i="26"/>
  <c r="F5753" i="26"/>
  <c r="F5752" i="26"/>
  <c r="F5751" i="26"/>
  <c r="F5750" i="26"/>
  <c r="F5749" i="26"/>
  <c r="F5748" i="26"/>
  <c r="F5747" i="26"/>
  <c r="F5746" i="26"/>
  <c r="F5745" i="26"/>
  <c r="F5744" i="26"/>
  <c r="F5743" i="26"/>
  <c r="F5742" i="26"/>
  <c r="F5741" i="26"/>
  <c r="F5740" i="26"/>
  <c r="F5739" i="26"/>
  <c r="F5738" i="26"/>
  <c r="F5737" i="26"/>
  <c r="F5736" i="26"/>
  <c r="F5735" i="26"/>
  <c r="F5734" i="26"/>
  <c r="F5733" i="26"/>
  <c r="F5732" i="26"/>
  <c r="F5731" i="26"/>
  <c r="F5730" i="26"/>
  <c r="F5729" i="26"/>
  <c r="F5728" i="26"/>
  <c r="F5727" i="26"/>
  <c r="F5726" i="26"/>
  <c r="F5725" i="26"/>
  <c r="F5724" i="26"/>
  <c r="F5723" i="26"/>
  <c r="F5722" i="26"/>
  <c r="F5721" i="26"/>
  <c r="F5720" i="26"/>
  <c r="F5719" i="26"/>
  <c r="F5718" i="26"/>
  <c r="F5717" i="26"/>
  <c r="F5716" i="26"/>
  <c r="F5715" i="26"/>
  <c r="F5714" i="26"/>
  <c r="F5713" i="26"/>
  <c r="F5712" i="26"/>
  <c r="F5711" i="26"/>
  <c r="F5710" i="26"/>
  <c r="F5709" i="26"/>
  <c r="F5708" i="26"/>
  <c r="F5707" i="26"/>
  <c r="F5706" i="26"/>
  <c r="F5705" i="26"/>
  <c r="F5704" i="26"/>
  <c r="F5703" i="26"/>
  <c r="F5702" i="26"/>
  <c r="F5701" i="26"/>
  <c r="F5700" i="26"/>
  <c r="F5699" i="26"/>
  <c r="F5698" i="26"/>
  <c r="F5697" i="26"/>
  <c r="F5696" i="26"/>
  <c r="F5695" i="26"/>
  <c r="F5694" i="26"/>
  <c r="F5693" i="26"/>
  <c r="F5692" i="26"/>
  <c r="F5691" i="26"/>
  <c r="F5690" i="26"/>
  <c r="F5689" i="26"/>
  <c r="F5688" i="26"/>
  <c r="F5687" i="26"/>
  <c r="F5686" i="26"/>
  <c r="F5685" i="26"/>
  <c r="F5684" i="26"/>
  <c r="F5683" i="26"/>
  <c r="F5682" i="26"/>
  <c r="F5681" i="26"/>
  <c r="F5680" i="26"/>
  <c r="F5679" i="26"/>
  <c r="F5678" i="26"/>
  <c r="F5677" i="26"/>
  <c r="F5676" i="26"/>
  <c r="F5675" i="26"/>
  <c r="F5674" i="26"/>
  <c r="F5673" i="26"/>
  <c r="F5672" i="26"/>
  <c r="F5671" i="26"/>
  <c r="F5670" i="26"/>
  <c r="F5669" i="26"/>
  <c r="F5668" i="26"/>
  <c r="F5667" i="26"/>
  <c r="F5666" i="26"/>
  <c r="F5665" i="26"/>
  <c r="F5664" i="26"/>
  <c r="F5663" i="26"/>
  <c r="F5662" i="26"/>
  <c r="F5661" i="26"/>
  <c r="F5660" i="26"/>
  <c r="F5659" i="26"/>
  <c r="F5658" i="26"/>
  <c r="F5657" i="26"/>
  <c r="F5656" i="26"/>
  <c r="F5655" i="26"/>
  <c r="F5654" i="26"/>
  <c r="F5653" i="26"/>
  <c r="F5652" i="26"/>
  <c r="F5651" i="26"/>
  <c r="F5650" i="26"/>
  <c r="F5649" i="26"/>
  <c r="F5648" i="26"/>
  <c r="F5647" i="26"/>
  <c r="F5646" i="26"/>
  <c r="F5645" i="26"/>
  <c r="F5644" i="26"/>
  <c r="F5643" i="26"/>
  <c r="F5642" i="26"/>
  <c r="F5641" i="26"/>
  <c r="F5640" i="26"/>
  <c r="F5639" i="26"/>
  <c r="F5638" i="26"/>
  <c r="F5637" i="26"/>
  <c r="F5636" i="26"/>
  <c r="F5635" i="26"/>
  <c r="F5634" i="26"/>
  <c r="F5633" i="26"/>
  <c r="F5632" i="26"/>
  <c r="F5631" i="26"/>
  <c r="F5630" i="26"/>
  <c r="F5629" i="26"/>
  <c r="F5628" i="26"/>
  <c r="F5627" i="26"/>
  <c r="F5626" i="26"/>
  <c r="F5625" i="26"/>
  <c r="F5624" i="26"/>
  <c r="F5623" i="26"/>
  <c r="F5622" i="26"/>
  <c r="F5621" i="26"/>
  <c r="F5620" i="26"/>
  <c r="F5619" i="26"/>
  <c r="F5618" i="26"/>
  <c r="F5617" i="26"/>
  <c r="F5616" i="26"/>
  <c r="F5615" i="26"/>
  <c r="F5614" i="26"/>
  <c r="F5613" i="26"/>
  <c r="F5612" i="26"/>
  <c r="F5611" i="26"/>
  <c r="F5610" i="26"/>
  <c r="F5609" i="26"/>
  <c r="F5608" i="26"/>
  <c r="F5607" i="26"/>
  <c r="F5606" i="26"/>
  <c r="F5605" i="26"/>
  <c r="F5604" i="26"/>
  <c r="F5603" i="26"/>
  <c r="F5602" i="26"/>
  <c r="F5601" i="26"/>
  <c r="F5600" i="26"/>
  <c r="F5599" i="26"/>
  <c r="F5598" i="26"/>
  <c r="F5597" i="26"/>
  <c r="F5596" i="26"/>
  <c r="F5595" i="26"/>
  <c r="F5594" i="26"/>
  <c r="F5593" i="26"/>
  <c r="F5592" i="26"/>
  <c r="F5591" i="26"/>
  <c r="F5590" i="26"/>
  <c r="F5589" i="26"/>
  <c r="F5588" i="26"/>
  <c r="F5587" i="26"/>
  <c r="F5586" i="26"/>
  <c r="F5585" i="26"/>
  <c r="F5584" i="26"/>
  <c r="F5583" i="26"/>
  <c r="F5582" i="26"/>
  <c r="F5581" i="26"/>
  <c r="F5580" i="26"/>
  <c r="F5579" i="26"/>
  <c r="F5578" i="26"/>
  <c r="F5577" i="26"/>
  <c r="F5576" i="26"/>
  <c r="F5575" i="26"/>
  <c r="F5574" i="26"/>
  <c r="F5573" i="26"/>
  <c r="F5572" i="26"/>
  <c r="F5571" i="26"/>
  <c r="F5570" i="26"/>
  <c r="F5569" i="26"/>
  <c r="F5568" i="26"/>
  <c r="F5567" i="26"/>
  <c r="F5566" i="26"/>
  <c r="F5565" i="26"/>
  <c r="F5564" i="26"/>
  <c r="F5563" i="26"/>
  <c r="F5562" i="26"/>
  <c r="F5561" i="26"/>
  <c r="F5560" i="26"/>
  <c r="F5559" i="26"/>
  <c r="F5558" i="26"/>
  <c r="F5557" i="26"/>
  <c r="F5556" i="26"/>
  <c r="F5555" i="26"/>
  <c r="F5554" i="26"/>
  <c r="F5553" i="26"/>
  <c r="F5552" i="26"/>
  <c r="F5551" i="26"/>
  <c r="F5550" i="26"/>
  <c r="F5549" i="26"/>
  <c r="F5548" i="26"/>
  <c r="F5547" i="26"/>
  <c r="F5546" i="26"/>
  <c r="F5545" i="26"/>
  <c r="F5544" i="26"/>
  <c r="F5543" i="26"/>
  <c r="F5542" i="26"/>
  <c r="F5541" i="26"/>
  <c r="F5540" i="26"/>
  <c r="F5539" i="26"/>
  <c r="F5538" i="26"/>
  <c r="F5537" i="26"/>
  <c r="F5536" i="26"/>
  <c r="F5535" i="26"/>
  <c r="F5534" i="26"/>
  <c r="F5533" i="26"/>
  <c r="F5532" i="26"/>
  <c r="F5531" i="26"/>
  <c r="F5530" i="26"/>
  <c r="F5529" i="26"/>
  <c r="F5528" i="26"/>
  <c r="F5527" i="26"/>
  <c r="F5526" i="26"/>
  <c r="F5525" i="26"/>
  <c r="F5524" i="26"/>
  <c r="F5523" i="26"/>
  <c r="F5522" i="26"/>
  <c r="F5521" i="26"/>
  <c r="F5520" i="26"/>
  <c r="F5519" i="26"/>
  <c r="F5518" i="26"/>
  <c r="F5517" i="26"/>
  <c r="F5516" i="26"/>
  <c r="F5515" i="26"/>
  <c r="F5514" i="26"/>
  <c r="F5513" i="26"/>
  <c r="F5512" i="26"/>
  <c r="F5511" i="26"/>
  <c r="F5510" i="26"/>
  <c r="F5509" i="26"/>
  <c r="F5508" i="26"/>
  <c r="F5507" i="26"/>
  <c r="F5506" i="26"/>
  <c r="F5505" i="26"/>
  <c r="F5504" i="26"/>
  <c r="F5503" i="26"/>
  <c r="F5502" i="26"/>
  <c r="F5501" i="26"/>
  <c r="F5500" i="26"/>
  <c r="F5499" i="26"/>
  <c r="F5498" i="26"/>
  <c r="F5497" i="26"/>
  <c r="F5496" i="26"/>
  <c r="F5495" i="26"/>
  <c r="F5494" i="26"/>
  <c r="F5493" i="26"/>
  <c r="F5492" i="26"/>
  <c r="F5491" i="26"/>
  <c r="F5490" i="26"/>
  <c r="F5489" i="26"/>
  <c r="F5488" i="26"/>
  <c r="F5487" i="26"/>
  <c r="F5486" i="26"/>
  <c r="F5485" i="26"/>
  <c r="F5484" i="26"/>
  <c r="F5483" i="26"/>
  <c r="F5482" i="26"/>
  <c r="F5481" i="26"/>
  <c r="F5480" i="26"/>
  <c r="F5479" i="26"/>
  <c r="F5478" i="26"/>
  <c r="F5477" i="26"/>
  <c r="F5476" i="26"/>
  <c r="F5475" i="26"/>
  <c r="F5474" i="26"/>
  <c r="F5473" i="26"/>
  <c r="F5472" i="26"/>
  <c r="F5471" i="26"/>
  <c r="F5470" i="26"/>
  <c r="F5469" i="26"/>
  <c r="F5468" i="26"/>
  <c r="F5467" i="26"/>
  <c r="F5466" i="26"/>
  <c r="F5465" i="26"/>
  <c r="F5464" i="26"/>
  <c r="F5463" i="26"/>
  <c r="F5462" i="26"/>
  <c r="F5461" i="26"/>
  <c r="F5460" i="26"/>
  <c r="F5459" i="26"/>
  <c r="F5458" i="26"/>
  <c r="F5457" i="26"/>
  <c r="F5456" i="26"/>
  <c r="F5455" i="26"/>
  <c r="F5454" i="26"/>
  <c r="F5453" i="26"/>
  <c r="F5452" i="26"/>
  <c r="F5451" i="26"/>
  <c r="F5450" i="26"/>
  <c r="F5449" i="26"/>
  <c r="F5448" i="26"/>
  <c r="F5447" i="26"/>
  <c r="F5446" i="26"/>
  <c r="F5445" i="26"/>
  <c r="F5444" i="26"/>
  <c r="F5443" i="26"/>
  <c r="F5442" i="26"/>
  <c r="F5441" i="26"/>
  <c r="F5440" i="26"/>
  <c r="F5439" i="26"/>
  <c r="F5438" i="26"/>
  <c r="F5437" i="26"/>
  <c r="F5436" i="26"/>
  <c r="F5435" i="26"/>
  <c r="F5434" i="26"/>
  <c r="F5433" i="26"/>
  <c r="F5432" i="26"/>
  <c r="F5431" i="26"/>
  <c r="F5430" i="26"/>
  <c r="F5429" i="26"/>
  <c r="F5428" i="26"/>
  <c r="F5427" i="26"/>
  <c r="F5426" i="26"/>
  <c r="F5425" i="26"/>
  <c r="F5424" i="26"/>
  <c r="F5423" i="26"/>
  <c r="F5422" i="26"/>
  <c r="F5421" i="26"/>
  <c r="F5420" i="26"/>
  <c r="F5419" i="26"/>
  <c r="F5418" i="26"/>
  <c r="F5417" i="26"/>
  <c r="F5416" i="26"/>
  <c r="F5415" i="26"/>
  <c r="F5414" i="26"/>
  <c r="F5413" i="26"/>
  <c r="F5412" i="26"/>
  <c r="F5411" i="26"/>
  <c r="F5410" i="26"/>
  <c r="F5409" i="26"/>
  <c r="F5408" i="26"/>
  <c r="F5407" i="26"/>
  <c r="F5406" i="26"/>
  <c r="F5405" i="26"/>
  <c r="F5404" i="26"/>
  <c r="F5403" i="26"/>
  <c r="F5402" i="26"/>
  <c r="F5401" i="26"/>
  <c r="F5400" i="26"/>
  <c r="F5399" i="26"/>
  <c r="F5398" i="26"/>
  <c r="F5397" i="26"/>
  <c r="F5396" i="26"/>
  <c r="F5395" i="26"/>
  <c r="F5394" i="26"/>
  <c r="F5393" i="26"/>
  <c r="F5392" i="26"/>
  <c r="F5391" i="26"/>
  <c r="F5390" i="26"/>
  <c r="F5389" i="26"/>
  <c r="F5388" i="26"/>
  <c r="F5387" i="26"/>
  <c r="F5386" i="26"/>
  <c r="F5385" i="26"/>
  <c r="F5384" i="26"/>
  <c r="F5383" i="26"/>
  <c r="F5382" i="26"/>
  <c r="F5381" i="26"/>
  <c r="F5380" i="26"/>
  <c r="F5379" i="26"/>
  <c r="F5378" i="26"/>
  <c r="F5377" i="26"/>
  <c r="F5376" i="26"/>
  <c r="F5375" i="26"/>
  <c r="F5374" i="26"/>
  <c r="F5373" i="26"/>
  <c r="F5372" i="26"/>
  <c r="F5371" i="26"/>
  <c r="F5370" i="26"/>
  <c r="F5369" i="26"/>
  <c r="F5368" i="26"/>
  <c r="F5367" i="26"/>
  <c r="F5366" i="26"/>
  <c r="F5365" i="26"/>
  <c r="F5364" i="26"/>
  <c r="F5363" i="26"/>
  <c r="F5362" i="26"/>
  <c r="F5361" i="26"/>
  <c r="F5360" i="26"/>
  <c r="F5359" i="26"/>
  <c r="F5358" i="26"/>
  <c r="F5357" i="26"/>
  <c r="F5356" i="26"/>
  <c r="F5355" i="26"/>
  <c r="F5354" i="26"/>
  <c r="F5353" i="26"/>
  <c r="F5352" i="26"/>
  <c r="F5351" i="26"/>
  <c r="F5350" i="26"/>
  <c r="F5349" i="26"/>
  <c r="F5348" i="26"/>
  <c r="F5347" i="26"/>
  <c r="F5346" i="26"/>
  <c r="F5345" i="26"/>
  <c r="F5344" i="26"/>
  <c r="F5343" i="26"/>
  <c r="F5342" i="26"/>
  <c r="F5341" i="26"/>
  <c r="F5340" i="26"/>
  <c r="F5339" i="26"/>
  <c r="F5338" i="26"/>
  <c r="F5337" i="26"/>
  <c r="F5336" i="26"/>
  <c r="F5335" i="26"/>
  <c r="F5334" i="26"/>
  <c r="F5333" i="26"/>
  <c r="F5332" i="26"/>
  <c r="F5331" i="26"/>
  <c r="F5330" i="26"/>
  <c r="F5329" i="26"/>
  <c r="F5328" i="26"/>
  <c r="F5327" i="26"/>
  <c r="F5326" i="26"/>
  <c r="F5325" i="26"/>
  <c r="F5324" i="26"/>
  <c r="F5323" i="26"/>
  <c r="F5322" i="26"/>
  <c r="F5321" i="26"/>
  <c r="F5320" i="26"/>
  <c r="F5319" i="26"/>
  <c r="F5318" i="26"/>
  <c r="F5317" i="26"/>
  <c r="F5316" i="26"/>
  <c r="F5315" i="26"/>
  <c r="F5314" i="26"/>
  <c r="F5313" i="26"/>
  <c r="F5312" i="26"/>
  <c r="F5311" i="26"/>
  <c r="F5310" i="26"/>
  <c r="F5309" i="26"/>
  <c r="F5308" i="26"/>
  <c r="F5307" i="26"/>
  <c r="F5306" i="26"/>
  <c r="F5305" i="26"/>
  <c r="F5304" i="26"/>
  <c r="F5303" i="26"/>
  <c r="F5302" i="26"/>
  <c r="F5301" i="26"/>
  <c r="F5300" i="26"/>
  <c r="F5299" i="26"/>
  <c r="F5298" i="26"/>
  <c r="F5297" i="26"/>
  <c r="F5296" i="26"/>
  <c r="F5295" i="26"/>
  <c r="F5294" i="26"/>
  <c r="F5293" i="26"/>
  <c r="F5292" i="26"/>
  <c r="F5291" i="26"/>
  <c r="F5290" i="26"/>
  <c r="F5289" i="26"/>
  <c r="F5288" i="26"/>
  <c r="F5287" i="26"/>
  <c r="F5286" i="26"/>
  <c r="F5285" i="26"/>
  <c r="F5284" i="26"/>
  <c r="F5283" i="26"/>
  <c r="F5282" i="26"/>
  <c r="F5281" i="26"/>
  <c r="F5280" i="26"/>
  <c r="F5279" i="26"/>
  <c r="F5278" i="26"/>
  <c r="F5277" i="26"/>
  <c r="F5276" i="26"/>
  <c r="F5275" i="26"/>
  <c r="F5274" i="26"/>
  <c r="F5273" i="26"/>
  <c r="F5272" i="26"/>
  <c r="F5271" i="26"/>
  <c r="F5270" i="26"/>
  <c r="F5269" i="26"/>
  <c r="F5268" i="26"/>
  <c r="F5267" i="26"/>
  <c r="F5266" i="26"/>
  <c r="F5265" i="26"/>
  <c r="F5264" i="26"/>
  <c r="F5263" i="26"/>
  <c r="F5262" i="26"/>
  <c r="F5261" i="26"/>
  <c r="F5260" i="26"/>
  <c r="F5259" i="26"/>
  <c r="F5258" i="26"/>
  <c r="F5257" i="26"/>
  <c r="F5256" i="26"/>
  <c r="F5255" i="26"/>
  <c r="F5254" i="26"/>
  <c r="F5253" i="26"/>
  <c r="F5252" i="26"/>
  <c r="F5251" i="26"/>
  <c r="F5250" i="26"/>
  <c r="F5249" i="26"/>
  <c r="F5248" i="26"/>
  <c r="F5247" i="26"/>
  <c r="F5246" i="26"/>
  <c r="F5245" i="26"/>
  <c r="F5244" i="26"/>
  <c r="F5243" i="26"/>
  <c r="F5242" i="26"/>
  <c r="F5241" i="26"/>
  <c r="F5240" i="26"/>
  <c r="F5239" i="26"/>
  <c r="F5238" i="26"/>
  <c r="F5237" i="26"/>
  <c r="F5236" i="26"/>
  <c r="F5235" i="26"/>
  <c r="F5234" i="26"/>
  <c r="F5233" i="26"/>
  <c r="F5232" i="26"/>
  <c r="F5231" i="26"/>
  <c r="F5230" i="26"/>
  <c r="F5229" i="26"/>
  <c r="F5228" i="26"/>
  <c r="F5227" i="26"/>
  <c r="F5226" i="26"/>
  <c r="F5225" i="26"/>
  <c r="F5224" i="26"/>
  <c r="F5223" i="26"/>
  <c r="F5222" i="26"/>
  <c r="F5221" i="26"/>
  <c r="F5220" i="26"/>
  <c r="F5219" i="26"/>
  <c r="F5218" i="26"/>
  <c r="F5217" i="26"/>
  <c r="F5216" i="26"/>
  <c r="F5215" i="26"/>
  <c r="F5214" i="26"/>
  <c r="F5213" i="26"/>
  <c r="F5212" i="26"/>
  <c r="F5211" i="26"/>
  <c r="F5210" i="26"/>
  <c r="F5209" i="26"/>
  <c r="F5208" i="26"/>
  <c r="F5207" i="26"/>
  <c r="F5206" i="26"/>
  <c r="F5205" i="26"/>
  <c r="F5204" i="26"/>
  <c r="F5203" i="26"/>
  <c r="F5202" i="26"/>
  <c r="F5201" i="26"/>
  <c r="F5200" i="26"/>
  <c r="F5199" i="26"/>
  <c r="F5198" i="26"/>
  <c r="F5197" i="26"/>
  <c r="F5196" i="26"/>
  <c r="F5195" i="26"/>
  <c r="F5194" i="26"/>
  <c r="F5193" i="26"/>
  <c r="F5192" i="26"/>
  <c r="F5191" i="26"/>
  <c r="F5190" i="26"/>
  <c r="F5189" i="26"/>
  <c r="F5188" i="26"/>
  <c r="F5187" i="26"/>
  <c r="F5186" i="26"/>
  <c r="F5185" i="26"/>
  <c r="F5184" i="26"/>
  <c r="F5183" i="26"/>
  <c r="F5182" i="26"/>
  <c r="F5181" i="26"/>
  <c r="F5180" i="26"/>
  <c r="F5179" i="26"/>
  <c r="F5178" i="26"/>
  <c r="F5177" i="26"/>
  <c r="F5176" i="26"/>
  <c r="F5175" i="26"/>
  <c r="F5174" i="26"/>
  <c r="F5173" i="26"/>
  <c r="F5172" i="26"/>
  <c r="F5171" i="26"/>
  <c r="F5170" i="26"/>
  <c r="F5169" i="26"/>
  <c r="F5168" i="26"/>
  <c r="F5167" i="26"/>
  <c r="F5166" i="26"/>
  <c r="F5165" i="26"/>
  <c r="F5164" i="26"/>
  <c r="F5163" i="26"/>
  <c r="F5162" i="26"/>
  <c r="F5161" i="26"/>
  <c r="F5160" i="26"/>
  <c r="F5159" i="26"/>
  <c r="F5158" i="26"/>
  <c r="F5157" i="26"/>
  <c r="F5156" i="26"/>
  <c r="F5155" i="26"/>
  <c r="F5154" i="26"/>
  <c r="F5153" i="26"/>
  <c r="F5152" i="26"/>
  <c r="F5151" i="26"/>
  <c r="F5150" i="26"/>
  <c r="F5149" i="26"/>
  <c r="F5148" i="26"/>
  <c r="F5147" i="26"/>
  <c r="F5146" i="26"/>
  <c r="F5145" i="26"/>
  <c r="F5144" i="26"/>
  <c r="F5143" i="26"/>
  <c r="F5142" i="26"/>
  <c r="F5141" i="26"/>
  <c r="F5140" i="26"/>
  <c r="F5139" i="26"/>
  <c r="F5138" i="26"/>
  <c r="F5137" i="26"/>
  <c r="F5136" i="26"/>
  <c r="F5135" i="26"/>
  <c r="F5134" i="26"/>
  <c r="F5133" i="26"/>
  <c r="F5132" i="26"/>
  <c r="F5131" i="26"/>
  <c r="F5130" i="26"/>
  <c r="F5129" i="26"/>
  <c r="F5128" i="26"/>
  <c r="F5127" i="26"/>
  <c r="F5126" i="26"/>
  <c r="F5125" i="26"/>
  <c r="F5124" i="26"/>
  <c r="F5123" i="26"/>
  <c r="F5122" i="26"/>
  <c r="F5121" i="26"/>
  <c r="F5120" i="26"/>
  <c r="F5119" i="26"/>
  <c r="F5118" i="26"/>
  <c r="F5117" i="26"/>
  <c r="F5116" i="26"/>
  <c r="F5115" i="26"/>
  <c r="F5114" i="26"/>
  <c r="F5113" i="26"/>
  <c r="F5112" i="26"/>
  <c r="F5111" i="26"/>
  <c r="F5110" i="26"/>
  <c r="F5109" i="26"/>
  <c r="F5108" i="26"/>
  <c r="F5107" i="26"/>
  <c r="F5106" i="26"/>
  <c r="F5105" i="26"/>
  <c r="F5104" i="26"/>
  <c r="F5103" i="26"/>
  <c r="F5102" i="26"/>
  <c r="F5101" i="26"/>
  <c r="F5100" i="26"/>
  <c r="F5099" i="26"/>
  <c r="F5098" i="26"/>
  <c r="F5097" i="26"/>
  <c r="F5096" i="26"/>
  <c r="F5095" i="26"/>
  <c r="F5094" i="26"/>
  <c r="F5093" i="26"/>
  <c r="F5092" i="26"/>
  <c r="F5091" i="26"/>
  <c r="F5090" i="26"/>
  <c r="F5089" i="26"/>
  <c r="F5088" i="26"/>
  <c r="F5087" i="26"/>
  <c r="F5086" i="26"/>
  <c r="F5085" i="26"/>
  <c r="F5084" i="26"/>
  <c r="F5083" i="26"/>
  <c r="F5082" i="26"/>
  <c r="F5081" i="26"/>
  <c r="F5080" i="26"/>
  <c r="F5079" i="26"/>
  <c r="F5078" i="26"/>
  <c r="F5077" i="26"/>
  <c r="F5076" i="26"/>
  <c r="F5075" i="26"/>
  <c r="F5074" i="26"/>
  <c r="F5073" i="26"/>
  <c r="F5072" i="26"/>
  <c r="F5071" i="26"/>
  <c r="F5070" i="26"/>
  <c r="F5069" i="26"/>
  <c r="F5068" i="26"/>
  <c r="F5067" i="26"/>
  <c r="F5066" i="26"/>
  <c r="F5065" i="26"/>
  <c r="F5064" i="26"/>
  <c r="F5063" i="26"/>
  <c r="F5062" i="26"/>
  <c r="F5061" i="26"/>
  <c r="F5060" i="26"/>
  <c r="F5059" i="26"/>
  <c r="F5058" i="26"/>
  <c r="F5057" i="26"/>
  <c r="F5056" i="26"/>
  <c r="F5055" i="26"/>
  <c r="F5054" i="26"/>
  <c r="F5053" i="26"/>
  <c r="F5052" i="26"/>
  <c r="F5051" i="26"/>
  <c r="F5050" i="26"/>
  <c r="F5049" i="26"/>
  <c r="F5048" i="26"/>
  <c r="F5047" i="26"/>
  <c r="F5046" i="26"/>
  <c r="F5045" i="26"/>
  <c r="F5044" i="26"/>
  <c r="F5043" i="26"/>
  <c r="F5042" i="26"/>
  <c r="F5041" i="26"/>
  <c r="F5040" i="26"/>
  <c r="F5039" i="26"/>
  <c r="F5038" i="26"/>
  <c r="F5037" i="26"/>
  <c r="F5036" i="26"/>
  <c r="F5035" i="26"/>
  <c r="F5034" i="26"/>
  <c r="F5033" i="26"/>
  <c r="F5032" i="26"/>
  <c r="F5031" i="26"/>
  <c r="F5030" i="26"/>
  <c r="F5029" i="26"/>
  <c r="F5028" i="26"/>
  <c r="F5027" i="26"/>
  <c r="F5026" i="26"/>
  <c r="F5025" i="26"/>
  <c r="F5024" i="26"/>
  <c r="F5023" i="26"/>
  <c r="F5022" i="26"/>
  <c r="F5021" i="26"/>
  <c r="F5020" i="26"/>
  <c r="F5019" i="26"/>
  <c r="F5018" i="26"/>
  <c r="F5017" i="26"/>
  <c r="F5016" i="26"/>
  <c r="F5015" i="26"/>
  <c r="F5014" i="26"/>
  <c r="F5013" i="26"/>
  <c r="F5012" i="26"/>
  <c r="F5011" i="26"/>
  <c r="F5010" i="26"/>
  <c r="F5009" i="26"/>
  <c r="F5008" i="26"/>
  <c r="F5007" i="26"/>
  <c r="F5006" i="26"/>
  <c r="F5005" i="26"/>
  <c r="F5004" i="26"/>
  <c r="F5003" i="26"/>
  <c r="F5002" i="26"/>
  <c r="F5001" i="26"/>
  <c r="F5000" i="26"/>
  <c r="F4999" i="26"/>
  <c r="F4998" i="26"/>
  <c r="F4997" i="26"/>
  <c r="F4996" i="26"/>
  <c r="F4995" i="26"/>
  <c r="F4994" i="26"/>
  <c r="F4993" i="26"/>
  <c r="F4992" i="26"/>
  <c r="F4991" i="26"/>
  <c r="F4990" i="26"/>
  <c r="F4989" i="26"/>
  <c r="F4988" i="26"/>
  <c r="F4987" i="26"/>
  <c r="F4986" i="26"/>
  <c r="F4985" i="26"/>
  <c r="F4984" i="26"/>
  <c r="F4983" i="26"/>
  <c r="F4982" i="26"/>
  <c r="F4981" i="26"/>
  <c r="F4980" i="26"/>
  <c r="F4979" i="26"/>
  <c r="F4978" i="26"/>
  <c r="F4977" i="26"/>
  <c r="F4976" i="26"/>
  <c r="F4975" i="26"/>
  <c r="F4974" i="26"/>
  <c r="F4973" i="26"/>
  <c r="F4972" i="26"/>
  <c r="F4971" i="26"/>
  <c r="F4970" i="26"/>
  <c r="F4969" i="26"/>
  <c r="F4968" i="26"/>
  <c r="F4967" i="26"/>
  <c r="F4966" i="26"/>
  <c r="F4965" i="26"/>
  <c r="F4964" i="26"/>
  <c r="F4963" i="26"/>
  <c r="F4962" i="26"/>
  <c r="F4961" i="26"/>
  <c r="F4960" i="26"/>
  <c r="F4959" i="26"/>
  <c r="F4958" i="26"/>
  <c r="F4957" i="26"/>
  <c r="F4956" i="26"/>
  <c r="F4955" i="26"/>
  <c r="F4954" i="26"/>
  <c r="F4953" i="26"/>
  <c r="F4952" i="26"/>
  <c r="F4951" i="26"/>
  <c r="F4950" i="26"/>
  <c r="F4949" i="26"/>
  <c r="F4948" i="26"/>
  <c r="F4947" i="26"/>
  <c r="F4946" i="26"/>
  <c r="F4945" i="26"/>
  <c r="F4944" i="26"/>
  <c r="F4943" i="26"/>
  <c r="F4942" i="26"/>
  <c r="F4941" i="26"/>
  <c r="F4940" i="26"/>
  <c r="F4939" i="26"/>
  <c r="F4938" i="26"/>
  <c r="F4937" i="26"/>
  <c r="F4936" i="26"/>
  <c r="F4935" i="26"/>
  <c r="F4934" i="26"/>
  <c r="F4933" i="26"/>
  <c r="F4932" i="26"/>
  <c r="F4931" i="26"/>
  <c r="F4930" i="26"/>
  <c r="F4929" i="26"/>
  <c r="F4928" i="26"/>
  <c r="F4927" i="26"/>
  <c r="F4926" i="26"/>
  <c r="F4925" i="26"/>
  <c r="F4924" i="26"/>
  <c r="F4923" i="26"/>
  <c r="F4922" i="26"/>
  <c r="F4921" i="26"/>
  <c r="F4920" i="26"/>
  <c r="F4919" i="26"/>
  <c r="F4918" i="26"/>
  <c r="F4917" i="26"/>
  <c r="F4916" i="26"/>
  <c r="F4915" i="26"/>
  <c r="F4914" i="26"/>
  <c r="F4913" i="26"/>
  <c r="F4912" i="26"/>
  <c r="F4911" i="26"/>
  <c r="F4910" i="26"/>
  <c r="F4909" i="26"/>
  <c r="F4908" i="26"/>
  <c r="F4907" i="26"/>
  <c r="F4906" i="26"/>
  <c r="F4905" i="26"/>
  <c r="F4904" i="26"/>
  <c r="F4903" i="26"/>
  <c r="F4902" i="26"/>
  <c r="F4901" i="26"/>
  <c r="F4900" i="26"/>
  <c r="F4899" i="26"/>
  <c r="F4898" i="26"/>
  <c r="F4897" i="26"/>
  <c r="F4896" i="26"/>
  <c r="F4895" i="26"/>
  <c r="F4894" i="26"/>
  <c r="F4893" i="26"/>
  <c r="F4892" i="26"/>
  <c r="F4891" i="26"/>
  <c r="F4890" i="26"/>
  <c r="F4889" i="26"/>
  <c r="F4888" i="26"/>
  <c r="F4887" i="26"/>
  <c r="F4886" i="26"/>
  <c r="F4885" i="26"/>
  <c r="F4884" i="26"/>
  <c r="F4883" i="26"/>
  <c r="F4882" i="26"/>
  <c r="F4881" i="26"/>
  <c r="F4880" i="26"/>
  <c r="F4879" i="26"/>
  <c r="F4878" i="26"/>
  <c r="F4877" i="26"/>
  <c r="F4876" i="26"/>
  <c r="F4875" i="26"/>
  <c r="F4874" i="26"/>
  <c r="F4873" i="26"/>
  <c r="F4872" i="26"/>
  <c r="F4871" i="26"/>
  <c r="F4870" i="26"/>
  <c r="F4869" i="26"/>
  <c r="F4868" i="26"/>
  <c r="F4867" i="26"/>
  <c r="F4866" i="26"/>
  <c r="F4865" i="26"/>
  <c r="F4864" i="26"/>
  <c r="F4863" i="26"/>
  <c r="F4862" i="26"/>
  <c r="F4861" i="26"/>
  <c r="F4860" i="26"/>
  <c r="F4859" i="26"/>
  <c r="F4858" i="26"/>
  <c r="F4857" i="26"/>
  <c r="F4856" i="26"/>
  <c r="F4855" i="26"/>
  <c r="F4854" i="26"/>
  <c r="F4853" i="26"/>
  <c r="F4852" i="26"/>
  <c r="F4851" i="26"/>
  <c r="F4850" i="26"/>
  <c r="F4849" i="26"/>
  <c r="F4848" i="26"/>
  <c r="F4847" i="26"/>
  <c r="F4846" i="26"/>
  <c r="F4845" i="26"/>
  <c r="F4844" i="26"/>
  <c r="F4843" i="26"/>
  <c r="F4842" i="26"/>
  <c r="F4841" i="26"/>
  <c r="F4840" i="26"/>
  <c r="F4839" i="26"/>
  <c r="F4838" i="26"/>
  <c r="F4837" i="26"/>
  <c r="F4836" i="26"/>
  <c r="F4835" i="26"/>
  <c r="F4834" i="26"/>
  <c r="F4833" i="26"/>
  <c r="F4832" i="26"/>
  <c r="F4831" i="26"/>
  <c r="F4830" i="26"/>
  <c r="F4829" i="26"/>
  <c r="F4828" i="26"/>
  <c r="F4827" i="26"/>
  <c r="F4826" i="26"/>
  <c r="F4825" i="26"/>
  <c r="F4824" i="26"/>
  <c r="F4823" i="26"/>
  <c r="F4822" i="26"/>
  <c r="F4821" i="26"/>
  <c r="F4820" i="26"/>
  <c r="F4819" i="26"/>
  <c r="F4818" i="26"/>
  <c r="F4817" i="26"/>
  <c r="F4816" i="26"/>
  <c r="F4815" i="26"/>
  <c r="F4814" i="26"/>
  <c r="F4813" i="26"/>
  <c r="F4812" i="26"/>
  <c r="F4811" i="26"/>
  <c r="F4810" i="26"/>
  <c r="F4809" i="26"/>
  <c r="F4808" i="26"/>
  <c r="F4807" i="26"/>
  <c r="F4806" i="26"/>
  <c r="F4805" i="26"/>
  <c r="F4804" i="26"/>
  <c r="F4803" i="26"/>
  <c r="F4802" i="26"/>
  <c r="F4801" i="26"/>
  <c r="F4800" i="26"/>
  <c r="F4799" i="26"/>
  <c r="F4798" i="26"/>
  <c r="F4797" i="26"/>
  <c r="F4796" i="26"/>
  <c r="F4795" i="26"/>
  <c r="F4794" i="26"/>
  <c r="F4793" i="26"/>
  <c r="F4792" i="26"/>
  <c r="F4791" i="26"/>
  <c r="F4790" i="26"/>
  <c r="F4789" i="26"/>
  <c r="F4788" i="26"/>
  <c r="F4787" i="26"/>
  <c r="F4786" i="26"/>
  <c r="F4785" i="26"/>
  <c r="F4784" i="26"/>
  <c r="F4783" i="26"/>
  <c r="F4782" i="26"/>
  <c r="F4781" i="26"/>
  <c r="F4780" i="26"/>
  <c r="F4779" i="26"/>
  <c r="F4778" i="26"/>
  <c r="F4777" i="26"/>
  <c r="F4776" i="26"/>
  <c r="F4775" i="26"/>
  <c r="F4774" i="26"/>
  <c r="F4773" i="26"/>
  <c r="F4772" i="26"/>
  <c r="F4771" i="26"/>
  <c r="F4770" i="26"/>
  <c r="F4769" i="26"/>
  <c r="F4768" i="26"/>
  <c r="F4767" i="26"/>
  <c r="F4766" i="26"/>
  <c r="F4765" i="26"/>
  <c r="F4764" i="26"/>
  <c r="F4763" i="26"/>
  <c r="F4762" i="26"/>
  <c r="F4761" i="26"/>
  <c r="F4760" i="26"/>
  <c r="F4759" i="26"/>
  <c r="F4758" i="26"/>
  <c r="F4757" i="26"/>
  <c r="F4756" i="26"/>
  <c r="F4755" i="26"/>
  <c r="F4754" i="26"/>
  <c r="F4753" i="26"/>
  <c r="F4752" i="26"/>
  <c r="F4751" i="26"/>
  <c r="F4750" i="26"/>
  <c r="F4749" i="26"/>
  <c r="F4748" i="26"/>
  <c r="F4747" i="26"/>
  <c r="F4746" i="26"/>
  <c r="F4745" i="26"/>
  <c r="F4744" i="26"/>
  <c r="F4743" i="26"/>
  <c r="F4742" i="26"/>
  <c r="F4741" i="26"/>
  <c r="F4740" i="26"/>
  <c r="F4739" i="26"/>
  <c r="F4738" i="26"/>
  <c r="F4737" i="26"/>
  <c r="F4736" i="26"/>
  <c r="F4735" i="26"/>
  <c r="F4734" i="26"/>
  <c r="F4733" i="26"/>
  <c r="F4732" i="26"/>
  <c r="F4731" i="26"/>
  <c r="F4730" i="26"/>
  <c r="F4729" i="26"/>
  <c r="F4728" i="26"/>
  <c r="F4727" i="26"/>
  <c r="F4726" i="26"/>
  <c r="F4725" i="26"/>
  <c r="F4724" i="26"/>
  <c r="F4723" i="26"/>
  <c r="F4722" i="26"/>
  <c r="F4721" i="26"/>
  <c r="F4720" i="26"/>
  <c r="F4719" i="26"/>
  <c r="F4718" i="26"/>
  <c r="F4717" i="26"/>
  <c r="F4716" i="26"/>
  <c r="F4715" i="26"/>
  <c r="F4714" i="26"/>
  <c r="F4713" i="26"/>
  <c r="F4712" i="26"/>
  <c r="F4711" i="26"/>
  <c r="F4710" i="26"/>
  <c r="F4709" i="26"/>
  <c r="F4708" i="26"/>
  <c r="F4707" i="26"/>
  <c r="F4706" i="26"/>
  <c r="F4705" i="26"/>
  <c r="F4704" i="26"/>
  <c r="F4703" i="26"/>
  <c r="F4702" i="26"/>
  <c r="F4701" i="26"/>
  <c r="F4700" i="26"/>
  <c r="F4699" i="26"/>
  <c r="F4698" i="26"/>
  <c r="F4697" i="26"/>
  <c r="F4696" i="26"/>
  <c r="F4695" i="26"/>
  <c r="F4694" i="26"/>
  <c r="F4693" i="26"/>
  <c r="F4692" i="26"/>
  <c r="F4691" i="26"/>
  <c r="F4690" i="26"/>
  <c r="F4689" i="26"/>
  <c r="F4688" i="26"/>
  <c r="F4687" i="26"/>
  <c r="F4686" i="26"/>
  <c r="F4685" i="26"/>
  <c r="F4684" i="26"/>
  <c r="F4683" i="26"/>
  <c r="F4682" i="26"/>
  <c r="F4681" i="26"/>
  <c r="F4680" i="26"/>
  <c r="F4679" i="26"/>
  <c r="F4678" i="26"/>
  <c r="F4677" i="26"/>
  <c r="F4676" i="26"/>
  <c r="F4675" i="26"/>
  <c r="F4674" i="26"/>
  <c r="F4673" i="26"/>
  <c r="F4672" i="26"/>
  <c r="F4671" i="26"/>
  <c r="F4670" i="26"/>
  <c r="F4669" i="26"/>
  <c r="F4668" i="26"/>
  <c r="F4667" i="26"/>
  <c r="F4666" i="26"/>
  <c r="F4665" i="26"/>
  <c r="F4664" i="26"/>
  <c r="F4663" i="26"/>
  <c r="F4662" i="26"/>
  <c r="F4661" i="26"/>
  <c r="F4660" i="26"/>
  <c r="F4659" i="26"/>
  <c r="F4658" i="26"/>
  <c r="F4657" i="26"/>
  <c r="F4656" i="26"/>
  <c r="F4655" i="26"/>
  <c r="F4654" i="26"/>
  <c r="F4653" i="26"/>
  <c r="F4652" i="26"/>
  <c r="F4651" i="26"/>
  <c r="F4650" i="26"/>
  <c r="F4649" i="26"/>
  <c r="F4648" i="26"/>
  <c r="F4647" i="26"/>
  <c r="F4646" i="26"/>
  <c r="F4645" i="26"/>
  <c r="F4644" i="26"/>
  <c r="F4643" i="26"/>
  <c r="F4642" i="26"/>
  <c r="F4641" i="26"/>
  <c r="F4640" i="26"/>
  <c r="F4639" i="26"/>
  <c r="F4638" i="26"/>
  <c r="F4637" i="26"/>
  <c r="F4636" i="26"/>
  <c r="F4635" i="26"/>
  <c r="F4634" i="26"/>
  <c r="F4633" i="26"/>
  <c r="F4632" i="26"/>
  <c r="F4631" i="26"/>
  <c r="F4630" i="26"/>
  <c r="F4629" i="26"/>
  <c r="F4628" i="26"/>
  <c r="F4627" i="26"/>
  <c r="F4626" i="26"/>
  <c r="F4625" i="26"/>
  <c r="F4624" i="26"/>
  <c r="F4623" i="26"/>
  <c r="F4622" i="26"/>
  <c r="F4621" i="26"/>
  <c r="F4620" i="26"/>
  <c r="F4619" i="26"/>
  <c r="F4618" i="26"/>
  <c r="F4617" i="26"/>
  <c r="F4616" i="26"/>
  <c r="F4615" i="26"/>
  <c r="F4614" i="26"/>
  <c r="F4613" i="26"/>
  <c r="F4612" i="26"/>
  <c r="F4611" i="26"/>
  <c r="F4610" i="26"/>
  <c r="F4609" i="26"/>
  <c r="F4608" i="26"/>
  <c r="F4607" i="26"/>
  <c r="F4606" i="26"/>
  <c r="F4605" i="26"/>
  <c r="F4604" i="26"/>
  <c r="F4603" i="26"/>
  <c r="F4602" i="26"/>
  <c r="F4601" i="26"/>
  <c r="F4600" i="26"/>
  <c r="F4599" i="26"/>
  <c r="F4598" i="26"/>
  <c r="F4597" i="26"/>
  <c r="F4596" i="26"/>
  <c r="F4595" i="26"/>
  <c r="F4594" i="26"/>
  <c r="F4593" i="26"/>
  <c r="F4592" i="26"/>
  <c r="F4591" i="26"/>
  <c r="F4590" i="26"/>
  <c r="F4589" i="26"/>
  <c r="F4588" i="26"/>
  <c r="F4587" i="26"/>
  <c r="F4586" i="26"/>
  <c r="F4585" i="26"/>
  <c r="F4584" i="26"/>
  <c r="F4583" i="26"/>
  <c r="F4582" i="26"/>
  <c r="F4581" i="26"/>
  <c r="F4580" i="26"/>
  <c r="F4579" i="26"/>
  <c r="F4578" i="26"/>
  <c r="F4577" i="26"/>
  <c r="F4576" i="26"/>
  <c r="F4575" i="26"/>
  <c r="F4574" i="26"/>
  <c r="F4573" i="26"/>
  <c r="F4572" i="26"/>
  <c r="F4571" i="26"/>
  <c r="F4570" i="26"/>
  <c r="F4569" i="26"/>
  <c r="F4568" i="26"/>
  <c r="F4567" i="26"/>
  <c r="F4566" i="26"/>
  <c r="F4565" i="26"/>
  <c r="F4564" i="26"/>
  <c r="F4563" i="26"/>
  <c r="F4562" i="26"/>
  <c r="F4561" i="26"/>
  <c r="F4560" i="26"/>
  <c r="F4559" i="26"/>
  <c r="F4558" i="26"/>
  <c r="F4557" i="26"/>
  <c r="F4556" i="26"/>
  <c r="F4555" i="26"/>
  <c r="F4554" i="26"/>
  <c r="F4553" i="26"/>
  <c r="F4552" i="26"/>
  <c r="F4551" i="26"/>
  <c r="F4550" i="26"/>
  <c r="F4549" i="26"/>
  <c r="F4548" i="26"/>
  <c r="F4547" i="26"/>
  <c r="F4546" i="26"/>
  <c r="F4545" i="26"/>
  <c r="F4544" i="26"/>
  <c r="F4543" i="26"/>
  <c r="F4542" i="26"/>
  <c r="F4541" i="26"/>
  <c r="F4540" i="26"/>
  <c r="F4539" i="26"/>
  <c r="F4538" i="26"/>
  <c r="F4537" i="26"/>
  <c r="F4536" i="26"/>
  <c r="F4535" i="26"/>
  <c r="F4534" i="26"/>
  <c r="F4533" i="26"/>
  <c r="F4532" i="26"/>
  <c r="F4531" i="26"/>
  <c r="F4530" i="26"/>
  <c r="F4529" i="26"/>
  <c r="F4528" i="26"/>
  <c r="F4527" i="26"/>
  <c r="F4526" i="26"/>
  <c r="F4525" i="26"/>
  <c r="F4524" i="26"/>
  <c r="F4523" i="26"/>
  <c r="F4522" i="26"/>
  <c r="F4521" i="26"/>
  <c r="F4520" i="26"/>
  <c r="F4519" i="26"/>
  <c r="F4518" i="26"/>
  <c r="F4517" i="26"/>
  <c r="F4516" i="26"/>
  <c r="F4515" i="26"/>
  <c r="F4514" i="26"/>
  <c r="F4513" i="26"/>
  <c r="F4512" i="26"/>
  <c r="F4511" i="26"/>
  <c r="F4510" i="26"/>
  <c r="F4509" i="26"/>
  <c r="F4508" i="26"/>
  <c r="F4507" i="26"/>
  <c r="F4506" i="26"/>
  <c r="F4505" i="26"/>
  <c r="F4504" i="26"/>
  <c r="F4503" i="26"/>
  <c r="F4502" i="26"/>
  <c r="F4501" i="26"/>
  <c r="F4500" i="26"/>
  <c r="F4499" i="26"/>
  <c r="F4498" i="26"/>
  <c r="F4497" i="26"/>
  <c r="F4496" i="26"/>
  <c r="F4495" i="26"/>
  <c r="F4494" i="26"/>
  <c r="F4493" i="26"/>
  <c r="F4492" i="26"/>
  <c r="F4491" i="26"/>
  <c r="F4490" i="26"/>
  <c r="F4489" i="26"/>
  <c r="F4488" i="26"/>
  <c r="F4487" i="26"/>
  <c r="F4486" i="26"/>
  <c r="F4485" i="26"/>
  <c r="F4484" i="26"/>
  <c r="F4483" i="26"/>
  <c r="F4482" i="26"/>
  <c r="F4481" i="26"/>
  <c r="F4480" i="26"/>
  <c r="F4479" i="26"/>
  <c r="F4478" i="26"/>
  <c r="F4477" i="26"/>
  <c r="F4476" i="26"/>
  <c r="F4475" i="26"/>
  <c r="F4474" i="26"/>
  <c r="F4473" i="26"/>
  <c r="F4472" i="26"/>
  <c r="F4471" i="26"/>
  <c r="F4470" i="26"/>
  <c r="F4469" i="26"/>
  <c r="F4468" i="26"/>
  <c r="F4467" i="26"/>
  <c r="F4466" i="26"/>
  <c r="F4465" i="26"/>
  <c r="F4464" i="26"/>
  <c r="F4463" i="26"/>
  <c r="F4462" i="26"/>
  <c r="F4461" i="26"/>
  <c r="F4460" i="26"/>
  <c r="F4459" i="26"/>
  <c r="F4458" i="26"/>
  <c r="F4457" i="26"/>
  <c r="F4456" i="26"/>
  <c r="F4455" i="26"/>
  <c r="F4454" i="26"/>
  <c r="F4453" i="26"/>
  <c r="F4452" i="26"/>
  <c r="F4451" i="26"/>
  <c r="F4450" i="26"/>
  <c r="F4449" i="26"/>
  <c r="F4448" i="26"/>
  <c r="F4447" i="26"/>
  <c r="F4446" i="26"/>
  <c r="F4445" i="26"/>
  <c r="F4444" i="26"/>
  <c r="F4443" i="26"/>
  <c r="F4442" i="26"/>
  <c r="F4441" i="26"/>
  <c r="F4440" i="26"/>
  <c r="F4439" i="26"/>
  <c r="F4438" i="26"/>
  <c r="F4437" i="26"/>
  <c r="F4436" i="26"/>
  <c r="F4435" i="26"/>
  <c r="F4434" i="26"/>
  <c r="F4433" i="26"/>
  <c r="F4432" i="26"/>
  <c r="F4431" i="26"/>
  <c r="F4430" i="26"/>
  <c r="F4429" i="26"/>
  <c r="F4428" i="26"/>
  <c r="F4427" i="26"/>
  <c r="F4426" i="26"/>
  <c r="F4425" i="26"/>
  <c r="F4424" i="26"/>
  <c r="F4423" i="26"/>
  <c r="F4422" i="26"/>
  <c r="F4421" i="26"/>
  <c r="F4420" i="26"/>
  <c r="F4419" i="26"/>
  <c r="F4418" i="26"/>
  <c r="F4417" i="26"/>
  <c r="F4416" i="26"/>
  <c r="F4415" i="26"/>
  <c r="F4414" i="26"/>
  <c r="F4413" i="26"/>
  <c r="F4412" i="26"/>
  <c r="F4411" i="26"/>
  <c r="F4410" i="26"/>
  <c r="F4409" i="26"/>
  <c r="F4408" i="26"/>
  <c r="F4407" i="26"/>
  <c r="F4406" i="26"/>
  <c r="F4405" i="26"/>
  <c r="F4404" i="26"/>
  <c r="F4403" i="26"/>
  <c r="F4402" i="26"/>
  <c r="F4401" i="26"/>
  <c r="F4400" i="26"/>
  <c r="F4399" i="26"/>
  <c r="F4398" i="26"/>
  <c r="F4397" i="26"/>
  <c r="F4396" i="26"/>
  <c r="F4395" i="26"/>
  <c r="F4394" i="26"/>
  <c r="F4393" i="26"/>
  <c r="F4392" i="26"/>
  <c r="F4391" i="26"/>
  <c r="F4390" i="26"/>
  <c r="F4389" i="26"/>
  <c r="F4388" i="26"/>
  <c r="F4387" i="26"/>
  <c r="F4386" i="26"/>
  <c r="F4385" i="26"/>
  <c r="F4384" i="26"/>
  <c r="F4383" i="26"/>
  <c r="F4382" i="26"/>
  <c r="F4381" i="26"/>
  <c r="F4380" i="26"/>
  <c r="F4379" i="26"/>
  <c r="F4378" i="26"/>
  <c r="F4377" i="26"/>
  <c r="F4376" i="26"/>
  <c r="F4375" i="26"/>
  <c r="F4374" i="26"/>
  <c r="F4373" i="26"/>
  <c r="F4372" i="26"/>
  <c r="F4371" i="26"/>
  <c r="F4370" i="26"/>
  <c r="F4369" i="26"/>
  <c r="F4368" i="26"/>
  <c r="F4367" i="26"/>
  <c r="F4366" i="26"/>
  <c r="F4365" i="26"/>
  <c r="F4364" i="26"/>
  <c r="F4363" i="26"/>
  <c r="F4362" i="26"/>
  <c r="F4361" i="26"/>
  <c r="F4360" i="26"/>
  <c r="F4359" i="26"/>
  <c r="F4358" i="26"/>
  <c r="F4357" i="26"/>
  <c r="F4356" i="26"/>
  <c r="F4355" i="26"/>
  <c r="F4354" i="26"/>
  <c r="F4353" i="26"/>
  <c r="F4352" i="26"/>
  <c r="F4351" i="26"/>
  <c r="F4350" i="26"/>
  <c r="F4349" i="26"/>
  <c r="F4348" i="26"/>
  <c r="F4347" i="26"/>
  <c r="F4346" i="26"/>
  <c r="F4345" i="26"/>
  <c r="F4344" i="26"/>
  <c r="F4343" i="26"/>
  <c r="F4342" i="26"/>
  <c r="F4341" i="26"/>
  <c r="F4340" i="26"/>
  <c r="F4339" i="26"/>
  <c r="F4338" i="26"/>
  <c r="F4337" i="26"/>
  <c r="F4336" i="26"/>
  <c r="F4335" i="26"/>
  <c r="F4334" i="26"/>
  <c r="F4333" i="26"/>
  <c r="F4332" i="26"/>
  <c r="F4331" i="26"/>
  <c r="F4330" i="26"/>
  <c r="F4329" i="26"/>
  <c r="F4328" i="26"/>
  <c r="F4327" i="26"/>
  <c r="F4326" i="26"/>
  <c r="F4325" i="26"/>
  <c r="F4324" i="26"/>
  <c r="F4323" i="26"/>
  <c r="F4322" i="26"/>
  <c r="F4321" i="26"/>
  <c r="F4320" i="26"/>
  <c r="F4319" i="26"/>
  <c r="F4318" i="26"/>
  <c r="F4317" i="26"/>
  <c r="F4316" i="26"/>
  <c r="F4315" i="26"/>
  <c r="F4314" i="26"/>
  <c r="F4313" i="26"/>
  <c r="F4312" i="26"/>
  <c r="F4311" i="26"/>
  <c r="F4310" i="26"/>
  <c r="F4309" i="26"/>
  <c r="F4308" i="26"/>
  <c r="F4307" i="26"/>
  <c r="F4306" i="26"/>
  <c r="F4305" i="26"/>
  <c r="F4304" i="26"/>
  <c r="F4303" i="26"/>
  <c r="F4302" i="26"/>
  <c r="F4301" i="26"/>
  <c r="F4300" i="26"/>
  <c r="F4299" i="26"/>
  <c r="F4298" i="26"/>
  <c r="F4297" i="26"/>
  <c r="F4296" i="26"/>
  <c r="F4295" i="26"/>
  <c r="F4294" i="26"/>
  <c r="F4293" i="26"/>
  <c r="F4292" i="26"/>
  <c r="F4291" i="26"/>
  <c r="F4290" i="26"/>
  <c r="F4289" i="26"/>
  <c r="F4288" i="26"/>
  <c r="F4287" i="26"/>
  <c r="F4286" i="26"/>
  <c r="F4285" i="26"/>
  <c r="F4284" i="26"/>
  <c r="F4283" i="26"/>
  <c r="F4282" i="26"/>
  <c r="F4281" i="26"/>
  <c r="F4280" i="26"/>
  <c r="F4279" i="26"/>
  <c r="F4278" i="26"/>
  <c r="F4277" i="26"/>
  <c r="F4276" i="26"/>
  <c r="F4275" i="26"/>
  <c r="F4274" i="26"/>
  <c r="F4273" i="26"/>
  <c r="F4272" i="26"/>
  <c r="F4271" i="26"/>
  <c r="F4270" i="26"/>
  <c r="F4269" i="26"/>
  <c r="F4268" i="26"/>
  <c r="F4267" i="26"/>
  <c r="F4266" i="26"/>
  <c r="F4265" i="26"/>
  <c r="F4264" i="26"/>
  <c r="F4263" i="26"/>
  <c r="F4262" i="26"/>
  <c r="F4261" i="26"/>
  <c r="F4260" i="26"/>
  <c r="F4259" i="26"/>
  <c r="F4258" i="26"/>
  <c r="F4257" i="26"/>
  <c r="F4256" i="26"/>
  <c r="F4255" i="26"/>
  <c r="F4254" i="26"/>
  <c r="F4253" i="26"/>
  <c r="F4252" i="26"/>
  <c r="F4251" i="26"/>
  <c r="F4250" i="26"/>
  <c r="F4249" i="26"/>
  <c r="F4248" i="26"/>
  <c r="F4247" i="26"/>
  <c r="F4246" i="26"/>
  <c r="F4245" i="26"/>
  <c r="F4244" i="26"/>
  <c r="F4243" i="26"/>
  <c r="F4242" i="26"/>
  <c r="F4241" i="26"/>
  <c r="F4240" i="26"/>
  <c r="F4239" i="26"/>
  <c r="F4238" i="26"/>
  <c r="F4237" i="26"/>
  <c r="F4236" i="26"/>
  <c r="F4235" i="26"/>
  <c r="F4234" i="26"/>
  <c r="F4233" i="26"/>
  <c r="F4232" i="26"/>
  <c r="F4231" i="26"/>
  <c r="F4230" i="26"/>
  <c r="F4229" i="26"/>
  <c r="F4228" i="26"/>
  <c r="F4227" i="26"/>
  <c r="F4226" i="26"/>
  <c r="F4225" i="26"/>
  <c r="F4224" i="26"/>
  <c r="F4223" i="26"/>
  <c r="F4222" i="26"/>
  <c r="F4221" i="26"/>
  <c r="F4220" i="26"/>
  <c r="F4219" i="26"/>
  <c r="F4218" i="26"/>
  <c r="F4217" i="26"/>
  <c r="F4216" i="26"/>
  <c r="F4215" i="26"/>
  <c r="F4214" i="26"/>
  <c r="F4213" i="26"/>
  <c r="F4212" i="26"/>
  <c r="F4211" i="26"/>
  <c r="F4210" i="26"/>
  <c r="F4209" i="26"/>
  <c r="F4208" i="26"/>
  <c r="F4207" i="26"/>
  <c r="F4206" i="26"/>
  <c r="F4205" i="26"/>
  <c r="F4204" i="26"/>
  <c r="F4203" i="26"/>
  <c r="F4202" i="26"/>
  <c r="F4201" i="26"/>
  <c r="F4200" i="26"/>
  <c r="F4199" i="26"/>
  <c r="F4198" i="26"/>
  <c r="F4197" i="26"/>
  <c r="F4196" i="26"/>
  <c r="F4195" i="26"/>
  <c r="F4194" i="26"/>
  <c r="F4193" i="26"/>
  <c r="F4192" i="26"/>
  <c r="F4191" i="26"/>
  <c r="F4190" i="26"/>
  <c r="F4189" i="26"/>
  <c r="F4188" i="26"/>
  <c r="F4187" i="26"/>
  <c r="F4186" i="26"/>
  <c r="F4185" i="26"/>
  <c r="F4184" i="26"/>
  <c r="F4183" i="26"/>
  <c r="F4182" i="26"/>
  <c r="F4181" i="26"/>
  <c r="F4180" i="26"/>
  <c r="F4179" i="26"/>
  <c r="F4178" i="26"/>
  <c r="F4177" i="26"/>
  <c r="F4176" i="26"/>
  <c r="F4175" i="26"/>
  <c r="F4174" i="26"/>
  <c r="F4173" i="26"/>
  <c r="F4172" i="26"/>
  <c r="F4171" i="26"/>
  <c r="F4170" i="26"/>
  <c r="F4169" i="26"/>
  <c r="F4168" i="26"/>
  <c r="F4167" i="26"/>
  <c r="F4166" i="26"/>
  <c r="F4165" i="26"/>
  <c r="F4164" i="26"/>
  <c r="F4163" i="26"/>
  <c r="F4162" i="26"/>
  <c r="F4161" i="26"/>
  <c r="F4160" i="26"/>
  <c r="F4159" i="26"/>
  <c r="F4158" i="26"/>
  <c r="F4157" i="26"/>
  <c r="F4156" i="26"/>
  <c r="F4155" i="26"/>
  <c r="F4154" i="26"/>
  <c r="F4153" i="26"/>
  <c r="F4152" i="26"/>
  <c r="F4151" i="26"/>
  <c r="F4150" i="26"/>
  <c r="F4149" i="26"/>
  <c r="F4148" i="26"/>
  <c r="F4147" i="26"/>
  <c r="F4146" i="26"/>
  <c r="F4145" i="26"/>
  <c r="F4144" i="26"/>
  <c r="F4143" i="26"/>
  <c r="F4142" i="26"/>
  <c r="F4141" i="26"/>
  <c r="F4140" i="26"/>
  <c r="F4139" i="26"/>
  <c r="F4138" i="26"/>
  <c r="F4137" i="26"/>
  <c r="F4136" i="26"/>
  <c r="F4135" i="26"/>
  <c r="F4134" i="26"/>
  <c r="F4133" i="26"/>
  <c r="F4132" i="26"/>
  <c r="F4131" i="26"/>
  <c r="F4130" i="26"/>
  <c r="F4129" i="26"/>
  <c r="F4128" i="26"/>
  <c r="F4127" i="26"/>
  <c r="F4126" i="26"/>
  <c r="F4125" i="26"/>
  <c r="F4124" i="26"/>
  <c r="F4123" i="26"/>
  <c r="F4122" i="26"/>
  <c r="F4121" i="26"/>
  <c r="F4120" i="26"/>
  <c r="F4119" i="26"/>
  <c r="F4118" i="26"/>
  <c r="F4117" i="26"/>
  <c r="F4116" i="26"/>
  <c r="F4115" i="26"/>
  <c r="F4114" i="26"/>
  <c r="F4113" i="26"/>
  <c r="F4112" i="26"/>
  <c r="F4111" i="26"/>
  <c r="F4110" i="26"/>
  <c r="F4109" i="26"/>
  <c r="F4108" i="26"/>
  <c r="F4107" i="26"/>
  <c r="F4106" i="26"/>
  <c r="F4105" i="26"/>
  <c r="F4104" i="26"/>
  <c r="F4103" i="26"/>
  <c r="F4102" i="26"/>
  <c r="F4101" i="26"/>
  <c r="F4100" i="26"/>
  <c r="F4099" i="26"/>
  <c r="F4098" i="26"/>
  <c r="F4097" i="26"/>
  <c r="F4096" i="26"/>
  <c r="F4095" i="26"/>
  <c r="F4094" i="26"/>
  <c r="F4093" i="26"/>
  <c r="F4092" i="26"/>
  <c r="F4091" i="26"/>
  <c r="F4090" i="26"/>
  <c r="F4089" i="26"/>
  <c r="F4088" i="26"/>
  <c r="F4087" i="26"/>
  <c r="F4086" i="26"/>
  <c r="F4085" i="26"/>
  <c r="F4084" i="26"/>
  <c r="F4083" i="26"/>
  <c r="F4082" i="26"/>
  <c r="F4081" i="26"/>
  <c r="F4080" i="26"/>
  <c r="F4079" i="26"/>
  <c r="F4078" i="26"/>
  <c r="F4077" i="26"/>
  <c r="F4076" i="26"/>
  <c r="F4075" i="26"/>
  <c r="F4074" i="26"/>
  <c r="F4073" i="26"/>
  <c r="F4072" i="26"/>
  <c r="F4071" i="26"/>
  <c r="F4070" i="26"/>
  <c r="F4069" i="26"/>
  <c r="F4068" i="26"/>
  <c r="F4067" i="26"/>
  <c r="F4066" i="26"/>
  <c r="F4065" i="26"/>
  <c r="F4064" i="26"/>
  <c r="F4063" i="26"/>
  <c r="F4062" i="26"/>
  <c r="F4061" i="26"/>
  <c r="F4060" i="26"/>
  <c r="F4059" i="26"/>
  <c r="F4058" i="26"/>
  <c r="F4057" i="26"/>
  <c r="F4056" i="26"/>
  <c r="F4055" i="26"/>
  <c r="F4054" i="26"/>
  <c r="F4053" i="26"/>
  <c r="F4052" i="26"/>
  <c r="F4051" i="26"/>
  <c r="F4050" i="26"/>
  <c r="F4049" i="26"/>
  <c r="F4048" i="26"/>
  <c r="F4047" i="26"/>
  <c r="F4046" i="26"/>
  <c r="F4045" i="26"/>
  <c r="F4044" i="26"/>
  <c r="F4043" i="26"/>
  <c r="F4042" i="26"/>
  <c r="F4041" i="26"/>
  <c r="F4040" i="26"/>
  <c r="F4039" i="26"/>
  <c r="F4038" i="26"/>
  <c r="F4037" i="26"/>
  <c r="F4036" i="26"/>
  <c r="F4035" i="26"/>
  <c r="F4034" i="26"/>
  <c r="F4033" i="26"/>
  <c r="F4032" i="26"/>
  <c r="F4031" i="26"/>
  <c r="F4030" i="26"/>
  <c r="F4029" i="26"/>
  <c r="F4028" i="26"/>
  <c r="F4027" i="26"/>
  <c r="F4026" i="26"/>
  <c r="F4025" i="26"/>
  <c r="F4024" i="26"/>
  <c r="F4023" i="26"/>
  <c r="F4022" i="26"/>
  <c r="F4021" i="26"/>
  <c r="F4020" i="26"/>
  <c r="F4019" i="26"/>
  <c r="F4018" i="26"/>
  <c r="F4017" i="26"/>
  <c r="F4016" i="26"/>
  <c r="F4015" i="26"/>
  <c r="F4014" i="26"/>
  <c r="F4013" i="26"/>
  <c r="F4012" i="26"/>
  <c r="F4011" i="26"/>
  <c r="F4010" i="26"/>
  <c r="F4009" i="26"/>
  <c r="F4008" i="26"/>
  <c r="F4007" i="26"/>
  <c r="F4006" i="26"/>
  <c r="F4005" i="26"/>
  <c r="F4004" i="26"/>
  <c r="F4003" i="26"/>
  <c r="F4002" i="26"/>
  <c r="F4001" i="26"/>
  <c r="F4000" i="26"/>
  <c r="F3999" i="26"/>
  <c r="F3998" i="26"/>
  <c r="F3997" i="26"/>
  <c r="F3996" i="26"/>
  <c r="F3995" i="26"/>
  <c r="F3994" i="26"/>
  <c r="F3993" i="26"/>
  <c r="F3992" i="26"/>
  <c r="F3991" i="26"/>
  <c r="F3990" i="26"/>
  <c r="F3989" i="26"/>
  <c r="F3988" i="26"/>
  <c r="F3987" i="26"/>
  <c r="F3986" i="26"/>
  <c r="F3985" i="26"/>
  <c r="F3984" i="26"/>
  <c r="F3983" i="26"/>
  <c r="F3982" i="26"/>
  <c r="F3981" i="26"/>
  <c r="F3980" i="26"/>
  <c r="F3979" i="26"/>
  <c r="F3978" i="26"/>
  <c r="F3977" i="26"/>
  <c r="F3976" i="26"/>
  <c r="F3975" i="26"/>
  <c r="F3974" i="26"/>
  <c r="F3973" i="26"/>
  <c r="F3972" i="26"/>
  <c r="F3971" i="26"/>
  <c r="F3970" i="26"/>
  <c r="F3969" i="26"/>
  <c r="F3968" i="26"/>
  <c r="F3967" i="26"/>
  <c r="F3966" i="26"/>
  <c r="F3965" i="26"/>
  <c r="F3964" i="26"/>
  <c r="F3963" i="26"/>
  <c r="F3962" i="26"/>
  <c r="F3961" i="26"/>
  <c r="F3960" i="26"/>
  <c r="F3959" i="26"/>
  <c r="F3958" i="26"/>
  <c r="F3957" i="26"/>
  <c r="F3956" i="26"/>
  <c r="F3955" i="26"/>
  <c r="F3954" i="26"/>
  <c r="F3953" i="26"/>
  <c r="F3952" i="26"/>
  <c r="F3951" i="26"/>
  <c r="F3950" i="26"/>
  <c r="F3949" i="26"/>
  <c r="F3948" i="26"/>
  <c r="F3947" i="26"/>
  <c r="F3946" i="26"/>
  <c r="F3945" i="26"/>
  <c r="F3944" i="26"/>
  <c r="F3943" i="26"/>
  <c r="F3942" i="26"/>
  <c r="F3941" i="26"/>
  <c r="F3940" i="26"/>
  <c r="F3939" i="26"/>
  <c r="F3938" i="26"/>
  <c r="F3937" i="26"/>
  <c r="F3936" i="26"/>
  <c r="F3935" i="26"/>
  <c r="F3934" i="26"/>
  <c r="F3933" i="26"/>
  <c r="F3932" i="26"/>
  <c r="F3931" i="26"/>
  <c r="F3930" i="26"/>
  <c r="F3929" i="26"/>
  <c r="F3928" i="26"/>
  <c r="F3927" i="26"/>
  <c r="F3926" i="26"/>
  <c r="F3925" i="26"/>
  <c r="F3924" i="26"/>
  <c r="F3923" i="26"/>
  <c r="F3922" i="26"/>
  <c r="F3921" i="26"/>
  <c r="F3920" i="26"/>
  <c r="F3919" i="26"/>
  <c r="F3918" i="26"/>
  <c r="F3917" i="26"/>
  <c r="F3916" i="26"/>
  <c r="F3915" i="26"/>
  <c r="F3914" i="26"/>
  <c r="F3913" i="26"/>
  <c r="F3912" i="26"/>
  <c r="F3911" i="26"/>
  <c r="F3910" i="26"/>
  <c r="F3909" i="26"/>
  <c r="F3908" i="26"/>
  <c r="F3907" i="26"/>
  <c r="F3906" i="26"/>
  <c r="F3905" i="26"/>
  <c r="F3904" i="26"/>
  <c r="F3903" i="26"/>
  <c r="F3902" i="26"/>
  <c r="F3901" i="26"/>
  <c r="F3900" i="26"/>
  <c r="F3899" i="26"/>
  <c r="F3898" i="26"/>
  <c r="F3897" i="26"/>
  <c r="F3896" i="26"/>
  <c r="F3895" i="26"/>
  <c r="F3894" i="26"/>
  <c r="F3893" i="26"/>
  <c r="F3892" i="26"/>
  <c r="F3891" i="26"/>
  <c r="F3890" i="26"/>
  <c r="F3889" i="26"/>
  <c r="F3888" i="26"/>
  <c r="F3887" i="26"/>
  <c r="F3886" i="26"/>
  <c r="F3885" i="26"/>
  <c r="F3884" i="26"/>
  <c r="F3883" i="26"/>
  <c r="F3882" i="26"/>
  <c r="F3881" i="26"/>
  <c r="F3880" i="26"/>
  <c r="F3879" i="26"/>
  <c r="F3878" i="26"/>
  <c r="F3877" i="26"/>
  <c r="F3876" i="26"/>
  <c r="F3875" i="26"/>
  <c r="F3874" i="26"/>
  <c r="F3873" i="26"/>
  <c r="F3872" i="26"/>
  <c r="F3871" i="26"/>
  <c r="F3870" i="26"/>
  <c r="F3869" i="26"/>
  <c r="F3868" i="26"/>
  <c r="F3867" i="26"/>
  <c r="F3866" i="26"/>
  <c r="F3865" i="26"/>
  <c r="F3864" i="26"/>
  <c r="F3863" i="26"/>
  <c r="F3862" i="26"/>
  <c r="F3861" i="26"/>
  <c r="F3860" i="26"/>
  <c r="F3859" i="26"/>
  <c r="F3858" i="26"/>
  <c r="F3857" i="26"/>
  <c r="F3856" i="26"/>
  <c r="F3855" i="26"/>
  <c r="F3854" i="26"/>
  <c r="F3853" i="26"/>
  <c r="F3852" i="26"/>
  <c r="F3851" i="26"/>
  <c r="F3850" i="26"/>
  <c r="F3849" i="26"/>
  <c r="F3848" i="26"/>
  <c r="F3847" i="26"/>
  <c r="F3846" i="26"/>
  <c r="F3845" i="26"/>
  <c r="F3844" i="26"/>
  <c r="F3843" i="26"/>
  <c r="F3842" i="26"/>
  <c r="F3841" i="26"/>
  <c r="F3840" i="26"/>
  <c r="F3839" i="26"/>
  <c r="F3838" i="26"/>
  <c r="F3837" i="26"/>
  <c r="F3836" i="26"/>
  <c r="F3835" i="26"/>
  <c r="F3834" i="26"/>
  <c r="F3833" i="26"/>
  <c r="F3832" i="26"/>
  <c r="F3831" i="26"/>
  <c r="F3830" i="26"/>
  <c r="F3829" i="26"/>
  <c r="F3828" i="26"/>
  <c r="F3827" i="26"/>
  <c r="F3826" i="26"/>
  <c r="F3825" i="26"/>
  <c r="F3824" i="26"/>
  <c r="F3823" i="26"/>
  <c r="F3822" i="26"/>
  <c r="F3821" i="26"/>
  <c r="F3820" i="26"/>
  <c r="F3819" i="26"/>
  <c r="F3818" i="26"/>
  <c r="F3817" i="26"/>
  <c r="F3816" i="26"/>
  <c r="F3815" i="26"/>
  <c r="F3814" i="26"/>
  <c r="F3813" i="26"/>
  <c r="F3812" i="26"/>
  <c r="F3811" i="26"/>
  <c r="F3810" i="26"/>
  <c r="F3809" i="26"/>
  <c r="F3808" i="26"/>
  <c r="F3807" i="26"/>
  <c r="F3806" i="26"/>
  <c r="F3805" i="26"/>
  <c r="F3804" i="26"/>
  <c r="F3803" i="26"/>
  <c r="F3802" i="26"/>
  <c r="F3801" i="26"/>
  <c r="F3800" i="26"/>
  <c r="F3799" i="26"/>
  <c r="F3798" i="26"/>
  <c r="F3797" i="26"/>
  <c r="F3796" i="26"/>
  <c r="F3795" i="26"/>
  <c r="F3794" i="26"/>
  <c r="F3793" i="26"/>
  <c r="F3792" i="26"/>
  <c r="F3791" i="26"/>
  <c r="F3790" i="26"/>
  <c r="F3789" i="26"/>
  <c r="F3788" i="26"/>
  <c r="F3787" i="26"/>
  <c r="F3786" i="26"/>
  <c r="F3785" i="26"/>
  <c r="F3784" i="26"/>
  <c r="F3783" i="26"/>
  <c r="F3782" i="26"/>
  <c r="F3781" i="26"/>
  <c r="F3780" i="26"/>
  <c r="F3779" i="26"/>
  <c r="F3778" i="26"/>
  <c r="F3777" i="26"/>
  <c r="F3776" i="26"/>
  <c r="F3775" i="26"/>
  <c r="F3774" i="26"/>
  <c r="F3773" i="26"/>
  <c r="F3772" i="26"/>
  <c r="F3771" i="26"/>
  <c r="F3770" i="26"/>
  <c r="F3769" i="26"/>
  <c r="F3768" i="26"/>
  <c r="F3767" i="26"/>
  <c r="F3766" i="26"/>
  <c r="F3765" i="26"/>
  <c r="F3764" i="26"/>
  <c r="F3763" i="26"/>
  <c r="F3762" i="26"/>
  <c r="F3761" i="26"/>
  <c r="F3760" i="26"/>
  <c r="F3759" i="26"/>
  <c r="F3758" i="26"/>
  <c r="F3757" i="26"/>
  <c r="F3756" i="26"/>
  <c r="F3755" i="26"/>
  <c r="F3754" i="26"/>
  <c r="F3753" i="26"/>
  <c r="F3752" i="26"/>
  <c r="F3751" i="26"/>
  <c r="F3750" i="26"/>
  <c r="F3749" i="26"/>
  <c r="F3748" i="26"/>
  <c r="F3747" i="26"/>
  <c r="F3746" i="26"/>
  <c r="F3745" i="26"/>
  <c r="F3744" i="26"/>
  <c r="F3743" i="26"/>
  <c r="F3742" i="26"/>
  <c r="F3741" i="26"/>
  <c r="F3740" i="26"/>
  <c r="F3739" i="26"/>
  <c r="F3738" i="26"/>
  <c r="F3737" i="26"/>
  <c r="F3736" i="26"/>
  <c r="F3735" i="26"/>
  <c r="F3734" i="26"/>
  <c r="F3733" i="26"/>
  <c r="F3732" i="26"/>
  <c r="F3731" i="26"/>
  <c r="F3730" i="26"/>
  <c r="F3729" i="26"/>
  <c r="F3728" i="26"/>
  <c r="F3727" i="26"/>
  <c r="F3726" i="26"/>
  <c r="F3725" i="26"/>
  <c r="F3724" i="26"/>
  <c r="F3723" i="26"/>
  <c r="F3722" i="26"/>
  <c r="F3721" i="26"/>
  <c r="F3720" i="26"/>
  <c r="F3719" i="26"/>
  <c r="F3718" i="26"/>
  <c r="F3717" i="26"/>
  <c r="F3716" i="26"/>
  <c r="F3715" i="26"/>
  <c r="F3714" i="26"/>
  <c r="F3713" i="26"/>
  <c r="F3712" i="26"/>
  <c r="F3711" i="26"/>
  <c r="F3710" i="26"/>
  <c r="F3709" i="26"/>
  <c r="F3708" i="26"/>
  <c r="F3707" i="26"/>
  <c r="F3706" i="26"/>
  <c r="F3705" i="26"/>
  <c r="F3704" i="26"/>
  <c r="F3703" i="26"/>
  <c r="F3702" i="26"/>
  <c r="F3701" i="26"/>
  <c r="F3700" i="26"/>
  <c r="F3699" i="26"/>
  <c r="F3698" i="26"/>
  <c r="F3697" i="26"/>
  <c r="F3696" i="26"/>
  <c r="F3695" i="26"/>
  <c r="F3694" i="26"/>
  <c r="F3693" i="26"/>
  <c r="F3692" i="26"/>
  <c r="F3691" i="26"/>
  <c r="F3690" i="26"/>
  <c r="F3689" i="26"/>
  <c r="F3688" i="26"/>
  <c r="F3687" i="26"/>
  <c r="F3686" i="26"/>
  <c r="F3685" i="26"/>
  <c r="F3684" i="26"/>
  <c r="F3683" i="26"/>
  <c r="F3682" i="26"/>
  <c r="F3681" i="26"/>
  <c r="F3680" i="26"/>
  <c r="F3679" i="26"/>
  <c r="F3678" i="26"/>
  <c r="F3677" i="26"/>
  <c r="F3676" i="26"/>
  <c r="F3675" i="26"/>
  <c r="F3674" i="26"/>
  <c r="F3673" i="26"/>
  <c r="F3672" i="26"/>
  <c r="F3671" i="26"/>
  <c r="F3670" i="26"/>
  <c r="F3669" i="26"/>
  <c r="F3668" i="26"/>
  <c r="F3667" i="26"/>
  <c r="F3666" i="26"/>
  <c r="F3665" i="26"/>
  <c r="F3664" i="26"/>
  <c r="F3663" i="26"/>
  <c r="F3662" i="26"/>
  <c r="F3661" i="26"/>
  <c r="F3660" i="26"/>
  <c r="F3659" i="26"/>
  <c r="F3658" i="26"/>
  <c r="F3657" i="26"/>
  <c r="F3656" i="26"/>
  <c r="F3655" i="26"/>
  <c r="F3654" i="26"/>
  <c r="F3653" i="26"/>
  <c r="F3652" i="26"/>
  <c r="F3651" i="26"/>
  <c r="F3650" i="26"/>
  <c r="F3649" i="26"/>
  <c r="F3648" i="26"/>
  <c r="F3647" i="26"/>
  <c r="F3646" i="26"/>
  <c r="F3645" i="26"/>
  <c r="F3644" i="26"/>
  <c r="F3643" i="26"/>
  <c r="F3642" i="26"/>
  <c r="F3641" i="26"/>
  <c r="F3640" i="26"/>
  <c r="F3639" i="26"/>
  <c r="F3638" i="26"/>
  <c r="F3637" i="26"/>
  <c r="F3636" i="26"/>
  <c r="F3635" i="26"/>
  <c r="F3634" i="26"/>
  <c r="F3633" i="26"/>
  <c r="F3632" i="26"/>
  <c r="F3631" i="26"/>
  <c r="F3630" i="26"/>
  <c r="F3629" i="26"/>
  <c r="F3628" i="26"/>
  <c r="F3627" i="26"/>
  <c r="F3626" i="26"/>
  <c r="F3625" i="26"/>
  <c r="F3624" i="26"/>
  <c r="F3623" i="26"/>
  <c r="F3622" i="26"/>
  <c r="F3621" i="26"/>
  <c r="F3620" i="26"/>
  <c r="F3619" i="26"/>
  <c r="F3618" i="26"/>
  <c r="F3617" i="26"/>
  <c r="F3616" i="26"/>
  <c r="F3615" i="26"/>
  <c r="F3614" i="26"/>
  <c r="F3613" i="26"/>
  <c r="F3612" i="26"/>
  <c r="F3611" i="26"/>
  <c r="F3610" i="26"/>
  <c r="F3609" i="26"/>
  <c r="F3608" i="26"/>
  <c r="F3607" i="26"/>
  <c r="F3606" i="26"/>
  <c r="F3605" i="26"/>
  <c r="F3604" i="26"/>
  <c r="F3603" i="26"/>
  <c r="F3602" i="26"/>
  <c r="F3601" i="26"/>
  <c r="F3600" i="26"/>
  <c r="F3599" i="26"/>
  <c r="F3598" i="26"/>
  <c r="F3597" i="26"/>
  <c r="F3596" i="26"/>
  <c r="F3595" i="26"/>
  <c r="F3594" i="26"/>
  <c r="F3593" i="26"/>
  <c r="F3592" i="26"/>
  <c r="F3591" i="26"/>
  <c r="F3590" i="26"/>
  <c r="F3589" i="26"/>
  <c r="F3588" i="26"/>
  <c r="F3587" i="26"/>
  <c r="F3586" i="26"/>
  <c r="F3585" i="26"/>
  <c r="F3584" i="26"/>
  <c r="F3583" i="26"/>
  <c r="F3582" i="26"/>
  <c r="F3581" i="26"/>
  <c r="F3580" i="26"/>
  <c r="F3579" i="26"/>
  <c r="F3578" i="26"/>
  <c r="F3577" i="26"/>
  <c r="F3576" i="26"/>
  <c r="F3575" i="26"/>
  <c r="F3574" i="26"/>
  <c r="F3573" i="26"/>
  <c r="F3572" i="26"/>
  <c r="F3571" i="26"/>
  <c r="F3570" i="26"/>
  <c r="F3569" i="26"/>
  <c r="F3568" i="26"/>
  <c r="F3567" i="26"/>
  <c r="F3566" i="26"/>
  <c r="F3565" i="26"/>
  <c r="F3564" i="26"/>
  <c r="F3563" i="26"/>
  <c r="F3562" i="26"/>
  <c r="F3561" i="26"/>
  <c r="F3560" i="26"/>
  <c r="F3559" i="26"/>
  <c r="F3558" i="26"/>
  <c r="F3557" i="26"/>
  <c r="F3556" i="26"/>
  <c r="F3555" i="26"/>
  <c r="F3554" i="26"/>
  <c r="F3553" i="26"/>
  <c r="F3552" i="26"/>
  <c r="F3551" i="26"/>
  <c r="F3550" i="26"/>
  <c r="F3549" i="26"/>
  <c r="F3548" i="26"/>
  <c r="F3547" i="26"/>
  <c r="F3546" i="26"/>
  <c r="F3545" i="26"/>
  <c r="F3544" i="26"/>
  <c r="F3543" i="26"/>
  <c r="F3542" i="26"/>
  <c r="F3541" i="26"/>
  <c r="F3540" i="26"/>
  <c r="F3539" i="26"/>
  <c r="F3538" i="26"/>
  <c r="F3537" i="26"/>
  <c r="F3536" i="26"/>
  <c r="F3535" i="26"/>
  <c r="F3534" i="26"/>
  <c r="F3533" i="26"/>
  <c r="F3532" i="26"/>
  <c r="F3531" i="26"/>
  <c r="F3530" i="26"/>
  <c r="F3529" i="26"/>
  <c r="F3528" i="26"/>
  <c r="F3527" i="26"/>
  <c r="F3526" i="26"/>
  <c r="F3525" i="26"/>
  <c r="F3524" i="26"/>
  <c r="F3523" i="26"/>
  <c r="F3522" i="26"/>
  <c r="F3521" i="26"/>
  <c r="F3520" i="26"/>
  <c r="F3519" i="26"/>
  <c r="F3518" i="26"/>
  <c r="F3517" i="26"/>
  <c r="F3516" i="26"/>
  <c r="F3515" i="26"/>
  <c r="F3514" i="26"/>
  <c r="F3513" i="26"/>
  <c r="F3512" i="26"/>
  <c r="F3511" i="26"/>
  <c r="F3510" i="26"/>
  <c r="F3509" i="26"/>
  <c r="F3508" i="26"/>
  <c r="F3507" i="26"/>
  <c r="F3506" i="26"/>
  <c r="F3505" i="26"/>
  <c r="F3504" i="26"/>
  <c r="F3503" i="26"/>
  <c r="F3502" i="26"/>
  <c r="F3501" i="26"/>
  <c r="F3500" i="26"/>
  <c r="F3499" i="26"/>
  <c r="F3498" i="26"/>
  <c r="F3497" i="26"/>
  <c r="F3496" i="26"/>
  <c r="F3495" i="26"/>
  <c r="F3494" i="26"/>
  <c r="F3493" i="26"/>
  <c r="F3492" i="26"/>
  <c r="F3491" i="26"/>
  <c r="F3490" i="26"/>
  <c r="F3489" i="26"/>
  <c r="F3488" i="26"/>
  <c r="F3487" i="26"/>
  <c r="F3486" i="26"/>
  <c r="F3485" i="26"/>
  <c r="F3484" i="26"/>
  <c r="F3483" i="26"/>
  <c r="F3482" i="26"/>
  <c r="F3481" i="26"/>
  <c r="F3480" i="26"/>
  <c r="F3479" i="26"/>
  <c r="F3478" i="26"/>
  <c r="F3477" i="26"/>
  <c r="F3476" i="26"/>
  <c r="F3475" i="26"/>
  <c r="F3474" i="26"/>
  <c r="F3473" i="26"/>
  <c r="F3472" i="26"/>
  <c r="F3471" i="26"/>
  <c r="F3470" i="26"/>
  <c r="F3469" i="26"/>
  <c r="F3468" i="26"/>
  <c r="F3467" i="26"/>
  <c r="F3466" i="26"/>
  <c r="F3465" i="26"/>
  <c r="F3464" i="26"/>
  <c r="F3463" i="26"/>
  <c r="F3462" i="26"/>
  <c r="F3461" i="26"/>
  <c r="F3460" i="26"/>
  <c r="F3459" i="26"/>
  <c r="F3458" i="26"/>
  <c r="F3457" i="26"/>
  <c r="F3456" i="26"/>
  <c r="F3455" i="26"/>
  <c r="F3454" i="26"/>
  <c r="F3453" i="26"/>
  <c r="F3452" i="26"/>
  <c r="F3451" i="26"/>
  <c r="F3450" i="26"/>
  <c r="F3449" i="26"/>
  <c r="F3448" i="26"/>
  <c r="F3447" i="26"/>
  <c r="F3446" i="26"/>
  <c r="F3445" i="26"/>
  <c r="F3444" i="26"/>
  <c r="F3443" i="26"/>
  <c r="F3442" i="26"/>
  <c r="F3441" i="26"/>
  <c r="F3440" i="26"/>
  <c r="F3439" i="26"/>
  <c r="F3438" i="26"/>
  <c r="F3437" i="26"/>
  <c r="F3436" i="26"/>
  <c r="F3435" i="26"/>
  <c r="F3434" i="26"/>
  <c r="F3433" i="26"/>
  <c r="F3432" i="26"/>
  <c r="F3431" i="26"/>
  <c r="F3430" i="26"/>
  <c r="F3429" i="26"/>
  <c r="F3428" i="26"/>
  <c r="F3427" i="26"/>
  <c r="F3426" i="26"/>
  <c r="F3425" i="26"/>
  <c r="F3424" i="26"/>
  <c r="F3423" i="26"/>
  <c r="F3422" i="26"/>
  <c r="F3421" i="26"/>
  <c r="F3420" i="26"/>
  <c r="F3419" i="26"/>
  <c r="F3418" i="26"/>
  <c r="F3417" i="26"/>
  <c r="F3416" i="26"/>
  <c r="F3415" i="26"/>
  <c r="F3414" i="26"/>
  <c r="F3413" i="26"/>
  <c r="F3412" i="26"/>
  <c r="F3411" i="26"/>
  <c r="F3410" i="26"/>
  <c r="F3409" i="26"/>
  <c r="F3408" i="26"/>
  <c r="F3407" i="26"/>
  <c r="F3406" i="26"/>
  <c r="F3405" i="26"/>
  <c r="F3404" i="26"/>
  <c r="F3403" i="26"/>
  <c r="F3402" i="26"/>
  <c r="F3401" i="26"/>
  <c r="F3400" i="26"/>
  <c r="F3399" i="26"/>
  <c r="F3398" i="26"/>
  <c r="F3397" i="26"/>
  <c r="F3396" i="26"/>
  <c r="F3395" i="26"/>
  <c r="F3394" i="26"/>
  <c r="F3393" i="26"/>
  <c r="F3392" i="26"/>
  <c r="F3391" i="26"/>
  <c r="F3390" i="26"/>
  <c r="F3389" i="26"/>
  <c r="F3388" i="26"/>
  <c r="F3387" i="26"/>
  <c r="F3386" i="26"/>
  <c r="F3385" i="26"/>
  <c r="F3384" i="26"/>
  <c r="F3383" i="26"/>
  <c r="F3382" i="26"/>
  <c r="F3381" i="26"/>
  <c r="F3380" i="26"/>
  <c r="F3379" i="26"/>
  <c r="F3378" i="26"/>
  <c r="F3377" i="26"/>
  <c r="F3376" i="26"/>
  <c r="F3375" i="26"/>
  <c r="F3374" i="26"/>
  <c r="F3373" i="26"/>
  <c r="F3372" i="26"/>
  <c r="F3371" i="26"/>
  <c r="F3370" i="26"/>
  <c r="F3369" i="26"/>
  <c r="F3368" i="26"/>
  <c r="F3367" i="26"/>
  <c r="F3366" i="26"/>
  <c r="F3365" i="26"/>
  <c r="F3364" i="26"/>
  <c r="F3363" i="26"/>
  <c r="F3362" i="26"/>
  <c r="F3361" i="26"/>
  <c r="F3360" i="26"/>
  <c r="F3359" i="26"/>
  <c r="F3358" i="26"/>
  <c r="F3357" i="26"/>
  <c r="F3356" i="26"/>
  <c r="F3355" i="26"/>
  <c r="F3354" i="26"/>
  <c r="F3353" i="26"/>
  <c r="F3352" i="26"/>
  <c r="F3351" i="26"/>
  <c r="F3350" i="26"/>
  <c r="F3349" i="26"/>
  <c r="F3348" i="26"/>
  <c r="F3347" i="26"/>
  <c r="F3346" i="26"/>
  <c r="F3345" i="26"/>
  <c r="F3344" i="26"/>
  <c r="F3343" i="26"/>
  <c r="F3342" i="26"/>
  <c r="F3341" i="26"/>
  <c r="F3340" i="26"/>
  <c r="F3339" i="26"/>
  <c r="F3338" i="26"/>
  <c r="F3337" i="26"/>
  <c r="F3336" i="26"/>
  <c r="F3335" i="26"/>
  <c r="F3334" i="26"/>
  <c r="F3333" i="26"/>
  <c r="F3332" i="26"/>
  <c r="F3331" i="26"/>
  <c r="F3330" i="26"/>
  <c r="F3329" i="26"/>
  <c r="F3328" i="26"/>
  <c r="F3327" i="26"/>
  <c r="F3326" i="26"/>
  <c r="F3325" i="26"/>
  <c r="F3324" i="26"/>
  <c r="F3323" i="26"/>
  <c r="F3322" i="26"/>
  <c r="F3321" i="26"/>
  <c r="F3320" i="26"/>
  <c r="F3319" i="26"/>
  <c r="F3318" i="26"/>
  <c r="F3317" i="26"/>
  <c r="F3316" i="26"/>
  <c r="F3315" i="26"/>
  <c r="F3314" i="26"/>
  <c r="F3313" i="26"/>
  <c r="F3312" i="26"/>
  <c r="F3311" i="26"/>
  <c r="F3310" i="26"/>
  <c r="F3309" i="26"/>
  <c r="F3308" i="26"/>
  <c r="F3307" i="26"/>
  <c r="F3306" i="26"/>
  <c r="F3305" i="26"/>
  <c r="F3304" i="26"/>
  <c r="F3303" i="26"/>
  <c r="F3302" i="26"/>
  <c r="F3301" i="26"/>
  <c r="F3300" i="26"/>
  <c r="F3299" i="26"/>
  <c r="F3298" i="26"/>
  <c r="F3297" i="26"/>
  <c r="F3296" i="26"/>
  <c r="F3295" i="26"/>
  <c r="F3294" i="26"/>
  <c r="F3293" i="26"/>
  <c r="F3292" i="26"/>
  <c r="F3291" i="26"/>
  <c r="F3290" i="26"/>
  <c r="F3289" i="26"/>
  <c r="F3288" i="26"/>
  <c r="F3287" i="26"/>
  <c r="F3286" i="26"/>
  <c r="F3285" i="26"/>
  <c r="F3284" i="26"/>
  <c r="F3283" i="26"/>
  <c r="F3282" i="26"/>
  <c r="F3281" i="26"/>
  <c r="F3280" i="26"/>
  <c r="F3279" i="26"/>
  <c r="F3278" i="26"/>
  <c r="F3277" i="26"/>
  <c r="F3276" i="26"/>
  <c r="F3275" i="26"/>
  <c r="F3274" i="26"/>
  <c r="F3273" i="26"/>
  <c r="F3272" i="26"/>
  <c r="F3271" i="26"/>
  <c r="F3270" i="26"/>
  <c r="F3269" i="26"/>
  <c r="F3268" i="26"/>
  <c r="F3267" i="26"/>
  <c r="F3266" i="26"/>
  <c r="F3265" i="26"/>
  <c r="F3264" i="26"/>
  <c r="F3263" i="26"/>
  <c r="F3262" i="26"/>
  <c r="F3261" i="26"/>
  <c r="F3260" i="26"/>
  <c r="F3259" i="26"/>
  <c r="F3258" i="26"/>
  <c r="F3257" i="26"/>
  <c r="F3256" i="26"/>
  <c r="F3255" i="26"/>
  <c r="F3254" i="26"/>
  <c r="F3253" i="26"/>
  <c r="F3252" i="26"/>
  <c r="F3251" i="26"/>
  <c r="F3250" i="26"/>
  <c r="F3249" i="26"/>
  <c r="F3248" i="26"/>
  <c r="F3247" i="26"/>
  <c r="F3246" i="26"/>
  <c r="F3245" i="26"/>
  <c r="F3244" i="26"/>
  <c r="F3243" i="26"/>
  <c r="F3242" i="26"/>
  <c r="F3241" i="26"/>
  <c r="F3240" i="26"/>
  <c r="F3239" i="26"/>
  <c r="F3238" i="26"/>
  <c r="F3237" i="26"/>
  <c r="F3236" i="26"/>
  <c r="F3235" i="26"/>
  <c r="F3234" i="26"/>
  <c r="F3233" i="26"/>
  <c r="F3232" i="26"/>
  <c r="F3231" i="26"/>
  <c r="F3230" i="26"/>
  <c r="F3229" i="26"/>
  <c r="F3228" i="26"/>
  <c r="F3227" i="26"/>
  <c r="F3226" i="26"/>
  <c r="F3225" i="26"/>
  <c r="F3224" i="26"/>
  <c r="F3223" i="26"/>
  <c r="F3222" i="26"/>
  <c r="F3221" i="26"/>
  <c r="F3220" i="26"/>
  <c r="F3219" i="26"/>
  <c r="F3218" i="26"/>
  <c r="F3217" i="26"/>
  <c r="F3216" i="26"/>
  <c r="F3215" i="26"/>
  <c r="F3214" i="26"/>
  <c r="F3213" i="26"/>
  <c r="F3212" i="26"/>
  <c r="F3211" i="26"/>
  <c r="F3210" i="26"/>
  <c r="F3209" i="26"/>
  <c r="F3208" i="26"/>
  <c r="F3207" i="26"/>
  <c r="F3206" i="26"/>
  <c r="F3205" i="26"/>
  <c r="F3204" i="26"/>
  <c r="F3203" i="26"/>
  <c r="F3202" i="26"/>
  <c r="F3201" i="26"/>
  <c r="F3200" i="26"/>
  <c r="F3199" i="26"/>
  <c r="F3198" i="26"/>
  <c r="F3197" i="26"/>
  <c r="F3196" i="26"/>
  <c r="F3195" i="26"/>
  <c r="F3194" i="26"/>
  <c r="F3193" i="26"/>
  <c r="F3192" i="26"/>
  <c r="F3191" i="26"/>
  <c r="F3190" i="26"/>
  <c r="F3189" i="26"/>
  <c r="F3188" i="26"/>
  <c r="F3187" i="26"/>
  <c r="F3186" i="26"/>
  <c r="F3185" i="26"/>
  <c r="F3184" i="26"/>
  <c r="F3183" i="26"/>
  <c r="F3182" i="26"/>
  <c r="F3181" i="26"/>
  <c r="F3180" i="26"/>
  <c r="F3179" i="26"/>
  <c r="F3178" i="26"/>
  <c r="F3177" i="26"/>
  <c r="F3176" i="26"/>
  <c r="F3175" i="26"/>
  <c r="F3174" i="26"/>
  <c r="F3173" i="26"/>
  <c r="F3172" i="26"/>
  <c r="F3171" i="26"/>
  <c r="F3170" i="26"/>
  <c r="F3169" i="26"/>
  <c r="F3168" i="26"/>
  <c r="F3167" i="26"/>
  <c r="F3166" i="26"/>
  <c r="F3165" i="26"/>
  <c r="F3164" i="26"/>
  <c r="F3163" i="26"/>
  <c r="F3162" i="26"/>
  <c r="F3161" i="26"/>
  <c r="F3160" i="26"/>
  <c r="F3159" i="26"/>
  <c r="F3158" i="26"/>
  <c r="F3157" i="26"/>
  <c r="F3156" i="26"/>
  <c r="F3155" i="26"/>
  <c r="F3154" i="26"/>
  <c r="F3153" i="26"/>
  <c r="F3152" i="26"/>
  <c r="F3151" i="26"/>
  <c r="F3150" i="26"/>
  <c r="F3149" i="26"/>
  <c r="F3148" i="26"/>
  <c r="F3147" i="26"/>
  <c r="F3146" i="26"/>
  <c r="F3145" i="26"/>
  <c r="F3144" i="26"/>
  <c r="F3143" i="26"/>
  <c r="F3142" i="26"/>
  <c r="F3141" i="26"/>
  <c r="F3140" i="26"/>
  <c r="F3139" i="26"/>
  <c r="F3138" i="26"/>
  <c r="F3137" i="26"/>
  <c r="F3136" i="26"/>
  <c r="F3135" i="26"/>
  <c r="F3134" i="26"/>
  <c r="F3133" i="26"/>
  <c r="F3132" i="26"/>
  <c r="F3131" i="26"/>
  <c r="F3130" i="26"/>
  <c r="F3129" i="26"/>
  <c r="F3128" i="26"/>
  <c r="F3127" i="26"/>
  <c r="F3126" i="26"/>
  <c r="F3125" i="26"/>
  <c r="F3124" i="26"/>
  <c r="F3123" i="26"/>
  <c r="F3122" i="26"/>
  <c r="F3121" i="26"/>
  <c r="F3120" i="26"/>
  <c r="F3119" i="26"/>
  <c r="F3118" i="26"/>
  <c r="F3117" i="26"/>
  <c r="F3116" i="26"/>
  <c r="F3115" i="26"/>
  <c r="F3114" i="26"/>
  <c r="F3113" i="26"/>
  <c r="F3112" i="26"/>
  <c r="F3111" i="26"/>
  <c r="F3110" i="26"/>
  <c r="F3109" i="26"/>
  <c r="F3108" i="26"/>
  <c r="F3107" i="26"/>
  <c r="F3106" i="26"/>
  <c r="F3105" i="26"/>
  <c r="F3104" i="26"/>
  <c r="F3103" i="26"/>
  <c r="F3102" i="26"/>
  <c r="F3101" i="26"/>
  <c r="F3100" i="26"/>
  <c r="F3099" i="26"/>
  <c r="F3098" i="26"/>
  <c r="F3097" i="26"/>
  <c r="F3096" i="26"/>
  <c r="F3095" i="26"/>
  <c r="F3094" i="26"/>
  <c r="F3093" i="26"/>
  <c r="F3092" i="26"/>
  <c r="F3091" i="26"/>
  <c r="F3090" i="26"/>
  <c r="F3089" i="26"/>
  <c r="F3088" i="26"/>
  <c r="F3087" i="26"/>
  <c r="F3086" i="26"/>
  <c r="F3085" i="26"/>
  <c r="F3084" i="26"/>
  <c r="F3083" i="26"/>
  <c r="F3082" i="26"/>
  <c r="F3081" i="26"/>
  <c r="F3080" i="26"/>
  <c r="F3079" i="26"/>
  <c r="F3078" i="26"/>
  <c r="F3077" i="26"/>
  <c r="F3076" i="26"/>
  <c r="F3075" i="26"/>
  <c r="F3074" i="26"/>
  <c r="F3073" i="26"/>
  <c r="F3072" i="26"/>
  <c r="F3071" i="26"/>
  <c r="F3070" i="26"/>
  <c r="F3069" i="26"/>
  <c r="F3068" i="26"/>
  <c r="F3067" i="26"/>
  <c r="F3066" i="26"/>
  <c r="F3065" i="26"/>
  <c r="F3064" i="26"/>
  <c r="F3063" i="26"/>
  <c r="F3062" i="26"/>
  <c r="F3061" i="26"/>
  <c r="F3060" i="26"/>
  <c r="F3059" i="26"/>
  <c r="F3058" i="26"/>
  <c r="F3057" i="26"/>
  <c r="F3056" i="26"/>
  <c r="F3055" i="26"/>
  <c r="F3054" i="26"/>
  <c r="F3053" i="26"/>
  <c r="F3052" i="26"/>
  <c r="F3051" i="26"/>
  <c r="F3050" i="26"/>
  <c r="F3049" i="26"/>
  <c r="F3048" i="26"/>
  <c r="F3047" i="26"/>
  <c r="F3046" i="26"/>
  <c r="F3045" i="26"/>
  <c r="F3044" i="26"/>
  <c r="F3043" i="26"/>
  <c r="F3042" i="26"/>
  <c r="F3041" i="26"/>
  <c r="F3040" i="26"/>
  <c r="F3039" i="26"/>
  <c r="F3038" i="26"/>
  <c r="F3037" i="26"/>
  <c r="F3036" i="26"/>
  <c r="F3035" i="26"/>
  <c r="F3034" i="26"/>
  <c r="F3033" i="26"/>
  <c r="F3032" i="26"/>
  <c r="F3031" i="26"/>
  <c r="F3030" i="26"/>
  <c r="F3029" i="26"/>
  <c r="F3028" i="26"/>
  <c r="F3027" i="26"/>
  <c r="F3026" i="26"/>
  <c r="F3025" i="26"/>
  <c r="F3024" i="26"/>
  <c r="F3023" i="26"/>
  <c r="F3022" i="26"/>
  <c r="F3021" i="26"/>
  <c r="F3020" i="26"/>
  <c r="F3019" i="26"/>
  <c r="F3018" i="26"/>
  <c r="F3017" i="26"/>
  <c r="F3016" i="26"/>
  <c r="F3015" i="26"/>
  <c r="F3014" i="26"/>
  <c r="F3013" i="26"/>
  <c r="F3012" i="26"/>
  <c r="F3011" i="26"/>
  <c r="F3010" i="26"/>
  <c r="F3009" i="26"/>
  <c r="F3008" i="26"/>
  <c r="F3007" i="26"/>
  <c r="F3006" i="26"/>
  <c r="F3005" i="26"/>
  <c r="F3004" i="26"/>
  <c r="F3003" i="26"/>
  <c r="F3002" i="26"/>
  <c r="F3001" i="26"/>
  <c r="F3000" i="26"/>
  <c r="F2999" i="26"/>
  <c r="F2998" i="26"/>
  <c r="F2997" i="26"/>
  <c r="F2996" i="26"/>
  <c r="F2995" i="26"/>
  <c r="F2994" i="26"/>
  <c r="F2993" i="26"/>
  <c r="F2992" i="26"/>
  <c r="F2991" i="26"/>
  <c r="F2990" i="26"/>
  <c r="F2989" i="26"/>
  <c r="F2988" i="26"/>
  <c r="F2987" i="26"/>
  <c r="F2986" i="26"/>
  <c r="F2985" i="26"/>
  <c r="F2984" i="26"/>
  <c r="F2983" i="26"/>
  <c r="F2982" i="26"/>
  <c r="F2981" i="26"/>
  <c r="F2980" i="26"/>
  <c r="F2979" i="26"/>
  <c r="F2978" i="26"/>
  <c r="F2977" i="26"/>
  <c r="F2976" i="26"/>
  <c r="F2975" i="26"/>
  <c r="F2974" i="26"/>
  <c r="F2973" i="26"/>
  <c r="F2972" i="26"/>
  <c r="F2971" i="26"/>
  <c r="F2970" i="26"/>
  <c r="F2969" i="26"/>
  <c r="F2968" i="26"/>
  <c r="F2967" i="26"/>
  <c r="F2966" i="26"/>
  <c r="F2965" i="26"/>
  <c r="F2964" i="26"/>
  <c r="F2963" i="26"/>
  <c r="F2962" i="26"/>
  <c r="F2961" i="26"/>
  <c r="F2960" i="26"/>
  <c r="F2959" i="26"/>
  <c r="F2958" i="26"/>
  <c r="F2957" i="26"/>
  <c r="F2956" i="26"/>
  <c r="F2955" i="26"/>
  <c r="F2954" i="26"/>
  <c r="F2953" i="26"/>
  <c r="F2952" i="26"/>
  <c r="F2951" i="26"/>
  <c r="F2950" i="26"/>
  <c r="F2949" i="26"/>
  <c r="F2948" i="26"/>
  <c r="F2947" i="26"/>
  <c r="F2946" i="26"/>
  <c r="F2945" i="26"/>
  <c r="F2944" i="26"/>
  <c r="F2943" i="26"/>
  <c r="F2942" i="26"/>
  <c r="F2941" i="26"/>
  <c r="F2940" i="26"/>
  <c r="F2939" i="26"/>
  <c r="F2938" i="26"/>
  <c r="F2937" i="26"/>
  <c r="F2936" i="26"/>
  <c r="F2935" i="26"/>
  <c r="F2934" i="26"/>
  <c r="F2933" i="26"/>
  <c r="F2932" i="26"/>
  <c r="F2931" i="26"/>
  <c r="F2930" i="26"/>
  <c r="F2929" i="26"/>
  <c r="F2928" i="26"/>
  <c r="F2927" i="26"/>
  <c r="F2926" i="26"/>
  <c r="F2925" i="26"/>
  <c r="F2924" i="26"/>
  <c r="F2923" i="26"/>
  <c r="F2922" i="26"/>
  <c r="F2921" i="26"/>
  <c r="F2920" i="26"/>
  <c r="F2919" i="26"/>
  <c r="F2918" i="26"/>
  <c r="F2917" i="26"/>
  <c r="F2916" i="26"/>
  <c r="F2915" i="26"/>
  <c r="F2914" i="26"/>
  <c r="F2913" i="26"/>
  <c r="F2912" i="26"/>
  <c r="F2911" i="26"/>
  <c r="F2910" i="26"/>
  <c r="F2909" i="26"/>
  <c r="F2908" i="26"/>
  <c r="F2907" i="26"/>
  <c r="F2906" i="26"/>
  <c r="F2905" i="26"/>
  <c r="F2904" i="26"/>
  <c r="F2903" i="26"/>
  <c r="F2902" i="26"/>
  <c r="F2901" i="26"/>
  <c r="F2900" i="26"/>
  <c r="F2899" i="26"/>
  <c r="F2898" i="26"/>
  <c r="F2897" i="26"/>
  <c r="F2896" i="26"/>
  <c r="F2895" i="26"/>
  <c r="F2894" i="26"/>
  <c r="F2893" i="26"/>
  <c r="F2892" i="26"/>
  <c r="F2891" i="26"/>
  <c r="F2890" i="26"/>
  <c r="F2889" i="26"/>
  <c r="F2888" i="26"/>
  <c r="F2887" i="26"/>
  <c r="F2886" i="26"/>
  <c r="F2885" i="26"/>
  <c r="F2884" i="26"/>
  <c r="F2883" i="26"/>
  <c r="F2882" i="26"/>
  <c r="F2881" i="26"/>
  <c r="F2880" i="26"/>
  <c r="F2879" i="26"/>
  <c r="F2878" i="26"/>
  <c r="F2877" i="26"/>
  <c r="F2876" i="26"/>
  <c r="F2875" i="26"/>
  <c r="F2874" i="26"/>
  <c r="F2873" i="26"/>
  <c r="F2872" i="26"/>
  <c r="F2871" i="26"/>
  <c r="F2870" i="26"/>
  <c r="F2869" i="26"/>
  <c r="F2868" i="26"/>
  <c r="F2867" i="26"/>
  <c r="F2866" i="26"/>
  <c r="F2865" i="26"/>
  <c r="F2864" i="26"/>
  <c r="F2863" i="26"/>
  <c r="F2862" i="26"/>
  <c r="F2861" i="26"/>
  <c r="F2860" i="26"/>
  <c r="F2859" i="26"/>
  <c r="F2858" i="26"/>
  <c r="F2857" i="26"/>
  <c r="F2856" i="26"/>
  <c r="F2855" i="26"/>
  <c r="F2854" i="26"/>
  <c r="F2853" i="26"/>
  <c r="F2852" i="26"/>
  <c r="F2851" i="26"/>
  <c r="F2850" i="26"/>
  <c r="F2849" i="26"/>
  <c r="F2848" i="26"/>
  <c r="F2847" i="26"/>
  <c r="F2846" i="26"/>
  <c r="F2845" i="26"/>
  <c r="F2844" i="26"/>
  <c r="F2843" i="26"/>
  <c r="F2842" i="26"/>
  <c r="F2841" i="26"/>
  <c r="F2840" i="26"/>
  <c r="F2839" i="26"/>
  <c r="F2838" i="26"/>
  <c r="F2837" i="26"/>
  <c r="F2836" i="26"/>
  <c r="F2835" i="26"/>
  <c r="F2834" i="26"/>
  <c r="F2833" i="26"/>
  <c r="F2832" i="26"/>
  <c r="F2831" i="26"/>
  <c r="F2830" i="26"/>
  <c r="F2829" i="26"/>
  <c r="F2828" i="26"/>
  <c r="F2827" i="26"/>
  <c r="F2826" i="26"/>
  <c r="F2825" i="26"/>
  <c r="F2824" i="26"/>
  <c r="F2823" i="26"/>
  <c r="F2822" i="26"/>
  <c r="F2821" i="26"/>
  <c r="F2820" i="26"/>
  <c r="F2819" i="26"/>
  <c r="F2818" i="26"/>
  <c r="F2817" i="26"/>
  <c r="F2816" i="26"/>
  <c r="F2815" i="26"/>
  <c r="F2814" i="26"/>
  <c r="F2813" i="26"/>
  <c r="F2812" i="26"/>
  <c r="F2811" i="26"/>
  <c r="F2810" i="26"/>
  <c r="F2809" i="26"/>
  <c r="F2808" i="26"/>
  <c r="F2807" i="26"/>
  <c r="F2806" i="26"/>
  <c r="F2805" i="26"/>
  <c r="F2804" i="26"/>
  <c r="F2803" i="26"/>
  <c r="F2802" i="26"/>
  <c r="F2801" i="26"/>
  <c r="F2800" i="26"/>
  <c r="F2799" i="26"/>
  <c r="F2798" i="26"/>
  <c r="F2797" i="26"/>
  <c r="F2796" i="26"/>
  <c r="F2795" i="26"/>
  <c r="F2794" i="26"/>
  <c r="F2793" i="26"/>
  <c r="F2792" i="26"/>
  <c r="F2791" i="26"/>
  <c r="F2790" i="26"/>
  <c r="F2789" i="26"/>
  <c r="F2788" i="26"/>
  <c r="F2787" i="26"/>
  <c r="F2786" i="26"/>
  <c r="F2785" i="26"/>
  <c r="F2784" i="26"/>
  <c r="F2783" i="26"/>
  <c r="F2782" i="26"/>
  <c r="F2781" i="26"/>
  <c r="F2780" i="26"/>
  <c r="F2779" i="26"/>
  <c r="F2778" i="26"/>
  <c r="F2777" i="26"/>
  <c r="F2776" i="26"/>
  <c r="F2775" i="26"/>
  <c r="F2774" i="26"/>
  <c r="F2773" i="26"/>
  <c r="F2772" i="26"/>
  <c r="F2771" i="26"/>
  <c r="F2770" i="26"/>
  <c r="F2769" i="26"/>
  <c r="F2768" i="26"/>
  <c r="F2767" i="26"/>
  <c r="F2766" i="26"/>
  <c r="F2765" i="26"/>
  <c r="F2764" i="26"/>
  <c r="F2763" i="26"/>
  <c r="F2762" i="26"/>
  <c r="F2761" i="26"/>
  <c r="F2760" i="26"/>
  <c r="F2759" i="26"/>
  <c r="F2758" i="26"/>
  <c r="F2757" i="26"/>
  <c r="F2756" i="26"/>
  <c r="F2755" i="26"/>
  <c r="F2754" i="26"/>
  <c r="F2753" i="26"/>
  <c r="F2752" i="26"/>
  <c r="F2751" i="26"/>
  <c r="F2750" i="26"/>
  <c r="F2749" i="26"/>
  <c r="F2748" i="26"/>
  <c r="F2747" i="26"/>
  <c r="F2746" i="26"/>
  <c r="F2745" i="26"/>
  <c r="F2744" i="26"/>
  <c r="F2743" i="26"/>
  <c r="F2742" i="26"/>
  <c r="F2741" i="26"/>
  <c r="F2740" i="26"/>
  <c r="F2739" i="26"/>
  <c r="F2738" i="26"/>
  <c r="F2737" i="26"/>
  <c r="F2736" i="26"/>
  <c r="F2735" i="26"/>
  <c r="F2734" i="26"/>
  <c r="F2733" i="26"/>
  <c r="F2732" i="26"/>
  <c r="F2731" i="26"/>
  <c r="F2730" i="26"/>
  <c r="F2729" i="26"/>
  <c r="F2728" i="26"/>
  <c r="F2727" i="26"/>
  <c r="F2726" i="26"/>
  <c r="F2725" i="26"/>
  <c r="F2724" i="26"/>
  <c r="F2723" i="26"/>
  <c r="F2722" i="26"/>
  <c r="F2721" i="26"/>
  <c r="F2720" i="26"/>
  <c r="F2719" i="26"/>
  <c r="F2718" i="26"/>
  <c r="F2717" i="26"/>
  <c r="F2716" i="26"/>
  <c r="F2715" i="26"/>
  <c r="F2714" i="26"/>
  <c r="F2713" i="26"/>
  <c r="F2712" i="26"/>
  <c r="F2711" i="26"/>
  <c r="F2710" i="26"/>
  <c r="F2709" i="26"/>
  <c r="F2708" i="26"/>
  <c r="F2707" i="26"/>
  <c r="F2706" i="26"/>
  <c r="F2705" i="26"/>
  <c r="F2704" i="26"/>
  <c r="F2703" i="26"/>
  <c r="F2702" i="26"/>
  <c r="F2701" i="26"/>
  <c r="F2700" i="26"/>
  <c r="F2699" i="26"/>
  <c r="F2698" i="26"/>
  <c r="F2697" i="26"/>
  <c r="F2696" i="26"/>
  <c r="F2695" i="26"/>
  <c r="F2694" i="26"/>
  <c r="F2693" i="26"/>
  <c r="F2692" i="26"/>
  <c r="F2691" i="26"/>
  <c r="F2690" i="26"/>
  <c r="F2689" i="26"/>
  <c r="F2688" i="26"/>
  <c r="F2687" i="26"/>
  <c r="F2686" i="26"/>
  <c r="F2685" i="26"/>
  <c r="F2684" i="26"/>
  <c r="F2683" i="26"/>
  <c r="F2682" i="26"/>
  <c r="F2681" i="26"/>
  <c r="F2680" i="26"/>
  <c r="F2679" i="26"/>
  <c r="F2678" i="26"/>
  <c r="F2677" i="26"/>
  <c r="F2676" i="26"/>
  <c r="F2675" i="26"/>
  <c r="F2674" i="26"/>
  <c r="F2673" i="26"/>
  <c r="F2672" i="26"/>
  <c r="F2671" i="26"/>
  <c r="F2670" i="26"/>
  <c r="F2669" i="26"/>
  <c r="F2668" i="26"/>
  <c r="F2667" i="26"/>
  <c r="F2666" i="26"/>
  <c r="F2665" i="26"/>
  <c r="F2664" i="26"/>
  <c r="F2663" i="26"/>
  <c r="F2662" i="26"/>
  <c r="F2661" i="26"/>
  <c r="F2660" i="26"/>
  <c r="F2659" i="26"/>
  <c r="F2658" i="26"/>
  <c r="F2657" i="26"/>
  <c r="F2656" i="26"/>
  <c r="F2655" i="26"/>
  <c r="F2654" i="26"/>
  <c r="F2653" i="26"/>
  <c r="F2652" i="26"/>
  <c r="F2651" i="26"/>
  <c r="F2650" i="26"/>
  <c r="F2649" i="26"/>
  <c r="F2648" i="26"/>
  <c r="F2647" i="26"/>
  <c r="F2646" i="26"/>
  <c r="F2645" i="26"/>
  <c r="F2644" i="26"/>
  <c r="F2643" i="26"/>
  <c r="F2642" i="26"/>
  <c r="F2641" i="26"/>
  <c r="F2640" i="26"/>
  <c r="F2639" i="26"/>
  <c r="F2638" i="26"/>
  <c r="F2637" i="26"/>
  <c r="F2636" i="26"/>
  <c r="F2635" i="26"/>
  <c r="F2634" i="26"/>
  <c r="F2633" i="26"/>
  <c r="F2632" i="26"/>
  <c r="F2631" i="26"/>
  <c r="F2630" i="26"/>
  <c r="F2629" i="26"/>
  <c r="F2628" i="26"/>
  <c r="F2627" i="26"/>
  <c r="F2626" i="26"/>
  <c r="F2625" i="26"/>
  <c r="F2624" i="26"/>
  <c r="F2623" i="26"/>
  <c r="F2622" i="26"/>
  <c r="F2621" i="26"/>
  <c r="F2620" i="26"/>
  <c r="F2619" i="26"/>
  <c r="F2618" i="26"/>
  <c r="F2617" i="26"/>
  <c r="F2616" i="26"/>
  <c r="F2615" i="26"/>
  <c r="F2614" i="26"/>
  <c r="F2613" i="26"/>
  <c r="F2612" i="26"/>
  <c r="F2611" i="26"/>
  <c r="F2610" i="26"/>
  <c r="F2609" i="26"/>
  <c r="F2608" i="26"/>
  <c r="F2607" i="26"/>
  <c r="F2606" i="26"/>
  <c r="F2605" i="26"/>
  <c r="F2604" i="26"/>
  <c r="F2603" i="26"/>
  <c r="F2602" i="26"/>
  <c r="F2601" i="26"/>
  <c r="F2600" i="26"/>
  <c r="F2599" i="26"/>
  <c r="F2598" i="26"/>
  <c r="F2597" i="26"/>
  <c r="F2596" i="26"/>
  <c r="F2595" i="26"/>
  <c r="F2594" i="26"/>
  <c r="F2593" i="26"/>
  <c r="F2592" i="26"/>
  <c r="F2591" i="26"/>
  <c r="F2590" i="26"/>
  <c r="F2589" i="26"/>
  <c r="F2588" i="26"/>
  <c r="F2587" i="26"/>
  <c r="F2586" i="26"/>
  <c r="F2585" i="26"/>
  <c r="F2584" i="26"/>
  <c r="F2583" i="26"/>
  <c r="F2582" i="26"/>
  <c r="F2581" i="26"/>
  <c r="F2580" i="26"/>
  <c r="F2579" i="26"/>
  <c r="F2578" i="26"/>
  <c r="F2577" i="26"/>
  <c r="F2576" i="26"/>
  <c r="F2575" i="26"/>
  <c r="F2574" i="26"/>
  <c r="F2573" i="26"/>
  <c r="F2572" i="26"/>
  <c r="F2571" i="26"/>
  <c r="F2570" i="26"/>
  <c r="F2569" i="26"/>
  <c r="F2568" i="26"/>
  <c r="F2567" i="26"/>
  <c r="F2566" i="26"/>
  <c r="F2565" i="26"/>
  <c r="F2564" i="26"/>
  <c r="F2563" i="26"/>
  <c r="F2562" i="26"/>
  <c r="F2561" i="26"/>
  <c r="F2560" i="26"/>
  <c r="F2559" i="26"/>
  <c r="F2558" i="26"/>
  <c r="F2557" i="26"/>
  <c r="F2556" i="26"/>
  <c r="F2555" i="26"/>
  <c r="F2554" i="26"/>
  <c r="F2553" i="26"/>
  <c r="F2552" i="26"/>
  <c r="F2551" i="26"/>
  <c r="F2550" i="26"/>
  <c r="F2549" i="26"/>
  <c r="F2548" i="26"/>
  <c r="F2547" i="26"/>
  <c r="F2546" i="26"/>
  <c r="F2545" i="26"/>
  <c r="F2544" i="26"/>
  <c r="F2543" i="26"/>
  <c r="F2542" i="26"/>
  <c r="F2541" i="26"/>
  <c r="F2540" i="26"/>
  <c r="F2539" i="26"/>
  <c r="F2538" i="26"/>
  <c r="F2537" i="26"/>
  <c r="F2536" i="26"/>
  <c r="F2535" i="26"/>
  <c r="F2534" i="26"/>
  <c r="F2533" i="26"/>
  <c r="F2532" i="26"/>
  <c r="F2531" i="26"/>
  <c r="F2530" i="26"/>
  <c r="F2529" i="26"/>
  <c r="F2528" i="26"/>
  <c r="F2527" i="26"/>
  <c r="F2526" i="26"/>
  <c r="F2525" i="26"/>
  <c r="F2524" i="26"/>
  <c r="F2523" i="26"/>
  <c r="F2522" i="26"/>
  <c r="F2521" i="26"/>
  <c r="F2520" i="26"/>
  <c r="F2519" i="26"/>
  <c r="F2518" i="26"/>
  <c r="F2517" i="26"/>
  <c r="F2516" i="26"/>
  <c r="F2515" i="26"/>
  <c r="F2514" i="26"/>
  <c r="F2513" i="26"/>
  <c r="F2512" i="26"/>
  <c r="F2511" i="26"/>
  <c r="F2510" i="26"/>
  <c r="F2509" i="26"/>
  <c r="F2508" i="26"/>
  <c r="F2507" i="26"/>
  <c r="F2506" i="26"/>
  <c r="F2505" i="26"/>
  <c r="F2504" i="26"/>
  <c r="F2503" i="26"/>
  <c r="F2502" i="26"/>
  <c r="F2501" i="26"/>
  <c r="F2500" i="26"/>
  <c r="F2499" i="26"/>
  <c r="F2498" i="26"/>
  <c r="F2497" i="26"/>
  <c r="F2496" i="26"/>
  <c r="F2495" i="26"/>
  <c r="F2494" i="26"/>
  <c r="F2493" i="26"/>
  <c r="F2492" i="26"/>
  <c r="F2491" i="26"/>
  <c r="F2490" i="26"/>
  <c r="F2489" i="26"/>
  <c r="F2488" i="26"/>
  <c r="F2487" i="26"/>
  <c r="F2486" i="26"/>
  <c r="F2485" i="26"/>
  <c r="F2484" i="26"/>
  <c r="F2483" i="26"/>
  <c r="F2482" i="26"/>
  <c r="F2481" i="26"/>
  <c r="F2480" i="26"/>
  <c r="F2479" i="26"/>
  <c r="F2478" i="26"/>
  <c r="F2477" i="26"/>
  <c r="F2476" i="26"/>
  <c r="F2475" i="26"/>
  <c r="F2474" i="26"/>
  <c r="F2473" i="26"/>
  <c r="F2472" i="26"/>
  <c r="F2471" i="26"/>
  <c r="F2470" i="26"/>
  <c r="F2469" i="26"/>
  <c r="F2468" i="26"/>
  <c r="F2467" i="26"/>
  <c r="F2466" i="26"/>
  <c r="F2465" i="26"/>
  <c r="F2464" i="26"/>
  <c r="F2463" i="26"/>
  <c r="F2462" i="26"/>
  <c r="F2461" i="26"/>
  <c r="F2460" i="26"/>
  <c r="F2459" i="26"/>
  <c r="F2458" i="26"/>
  <c r="F2457" i="26"/>
  <c r="F2456" i="26"/>
  <c r="F2455" i="26"/>
  <c r="F2454" i="26"/>
  <c r="F2453" i="26"/>
  <c r="F2452" i="26"/>
  <c r="F2451" i="26"/>
  <c r="F2450" i="26"/>
  <c r="F2449" i="26"/>
  <c r="F2448" i="26"/>
  <c r="F2447" i="26"/>
  <c r="F2446" i="26"/>
  <c r="F2445" i="26"/>
  <c r="F2444" i="26"/>
  <c r="F2443" i="26"/>
  <c r="F2442" i="26"/>
  <c r="F2441" i="26"/>
  <c r="F2440" i="26"/>
  <c r="F2439" i="26"/>
  <c r="F2438" i="26"/>
  <c r="F2437" i="26"/>
  <c r="F2436" i="26"/>
  <c r="F2435" i="26"/>
  <c r="F2434" i="26"/>
  <c r="F2433" i="26"/>
  <c r="F2432" i="26"/>
  <c r="F2431" i="26"/>
  <c r="F2430" i="26"/>
  <c r="F2429" i="26"/>
  <c r="F2428" i="26"/>
  <c r="F2427" i="26"/>
  <c r="F2426" i="26"/>
  <c r="F2425" i="26"/>
  <c r="F2424" i="26"/>
  <c r="F2423" i="26"/>
  <c r="F2422" i="26"/>
  <c r="F2421" i="26"/>
  <c r="F2420" i="26"/>
  <c r="F2419" i="26"/>
  <c r="F2418" i="26"/>
  <c r="F2417" i="26"/>
  <c r="F2416" i="26"/>
  <c r="F2415" i="26"/>
  <c r="F2414" i="26"/>
  <c r="F2413" i="26"/>
  <c r="F2412" i="26"/>
  <c r="F2411" i="26"/>
  <c r="F2410" i="26"/>
  <c r="F2409" i="26"/>
  <c r="F2408" i="26"/>
  <c r="F2407" i="26"/>
  <c r="F2406" i="26"/>
  <c r="F2405" i="26"/>
  <c r="F2404" i="26"/>
  <c r="F2403" i="26"/>
  <c r="F2402" i="26"/>
  <c r="F2401" i="26"/>
  <c r="F2400" i="26"/>
  <c r="F2399" i="26"/>
  <c r="F2398" i="26"/>
  <c r="F2397" i="26"/>
  <c r="F2396" i="26"/>
  <c r="F2395" i="26"/>
  <c r="F2394" i="26"/>
  <c r="F2393" i="26"/>
  <c r="F2392" i="26"/>
  <c r="F2391" i="26"/>
  <c r="F2390" i="26"/>
  <c r="F2389" i="26"/>
  <c r="F2388" i="26"/>
  <c r="F2387" i="26"/>
  <c r="F2386" i="26"/>
  <c r="F2385" i="26"/>
  <c r="F2384" i="26"/>
  <c r="F2383" i="26"/>
  <c r="F2382" i="26"/>
  <c r="F2381" i="26"/>
  <c r="F2380" i="26"/>
  <c r="F2379" i="26"/>
  <c r="F2378" i="26"/>
  <c r="F2377" i="26"/>
  <c r="F2376" i="26"/>
  <c r="F2375" i="26"/>
  <c r="F2374" i="26"/>
  <c r="F2373" i="26"/>
  <c r="F2372" i="26"/>
  <c r="F2371" i="26"/>
  <c r="F2370" i="26"/>
  <c r="F2369" i="26"/>
  <c r="F2368" i="26"/>
  <c r="F2367" i="26"/>
  <c r="F2366" i="26"/>
  <c r="F2365" i="26"/>
  <c r="F2364" i="26"/>
  <c r="F2363" i="26"/>
  <c r="F2362" i="26"/>
  <c r="F2361" i="26"/>
  <c r="F2360" i="26"/>
  <c r="F2359" i="26"/>
  <c r="F2358" i="26"/>
  <c r="F2357" i="26"/>
  <c r="F2356" i="26"/>
  <c r="F2355" i="26"/>
  <c r="F2354" i="26"/>
  <c r="F2353" i="26"/>
  <c r="F2352" i="26"/>
  <c r="F2351" i="26"/>
  <c r="F2350" i="26"/>
  <c r="F2349" i="26"/>
  <c r="F2348" i="26"/>
  <c r="F2347" i="26"/>
  <c r="F2346" i="26"/>
  <c r="F2345" i="26"/>
  <c r="F2344" i="26"/>
  <c r="F2343" i="26"/>
  <c r="F2342" i="26"/>
  <c r="F2341" i="26"/>
  <c r="F2340" i="26"/>
  <c r="F2339" i="26"/>
  <c r="F2338" i="26"/>
  <c r="F2337" i="26"/>
  <c r="F2336" i="26"/>
  <c r="F2335" i="26"/>
  <c r="F2334" i="26"/>
  <c r="F2333" i="26"/>
  <c r="F2332" i="26"/>
  <c r="F2331" i="26"/>
  <c r="F2330" i="26"/>
  <c r="F2329" i="26"/>
  <c r="F2328" i="26"/>
  <c r="F2327" i="26"/>
  <c r="F2326" i="26"/>
  <c r="F2325" i="26"/>
  <c r="F2324" i="26"/>
  <c r="F2323" i="26"/>
  <c r="F2322" i="26"/>
  <c r="F2321" i="26"/>
  <c r="F2320" i="26"/>
  <c r="F2319" i="26"/>
  <c r="F2318" i="26"/>
  <c r="F2317" i="26"/>
  <c r="F2316" i="26"/>
  <c r="F2315" i="26"/>
  <c r="F2314" i="26"/>
  <c r="F2313" i="26"/>
  <c r="F2312" i="26"/>
  <c r="F2311" i="26"/>
  <c r="F2310" i="26"/>
  <c r="F2309" i="26"/>
  <c r="F2308" i="26"/>
  <c r="F2307" i="26"/>
  <c r="F2306" i="26"/>
  <c r="F2305" i="26"/>
  <c r="F2304" i="26"/>
  <c r="F2303" i="26"/>
  <c r="F2302" i="26"/>
  <c r="F2301" i="26"/>
  <c r="F2300" i="26"/>
  <c r="F2299" i="26"/>
  <c r="F2298" i="26"/>
  <c r="F2297" i="26"/>
  <c r="F2296" i="26"/>
  <c r="F2295" i="26"/>
  <c r="F2294" i="26"/>
  <c r="F2293" i="26"/>
  <c r="F2292" i="26"/>
  <c r="F2291" i="26"/>
  <c r="F2290" i="26"/>
  <c r="F2289" i="26"/>
  <c r="F2288" i="26"/>
  <c r="F2287" i="26"/>
  <c r="F2286" i="26"/>
  <c r="F2285" i="26"/>
  <c r="F2284" i="26"/>
  <c r="F2283" i="26"/>
  <c r="F2282" i="26"/>
  <c r="F2281" i="26"/>
  <c r="F2280" i="26"/>
  <c r="F2279" i="26"/>
  <c r="F2278" i="26"/>
  <c r="F2277" i="26"/>
  <c r="F2276" i="26"/>
  <c r="F2275" i="26"/>
  <c r="F2274" i="26"/>
  <c r="F2273" i="26"/>
  <c r="F2272" i="26"/>
  <c r="F2271" i="26"/>
  <c r="F2270" i="26"/>
  <c r="F2269" i="26"/>
  <c r="F2268" i="26"/>
  <c r="F2267" i="26"/>
  <c r="F2266" i="26"/>
  <c r="F2265" i="26"/>
  <c r="F2264" i="26"/>
  <c r="F2263" i="26"/>
  <c r="F2262" i="26"/>
  <c r="F2261" i="26"/>
  <c r="F2260" i="26"/>
  <c r="F2259" i="26"/>
  <c r="F2258" i="26"/>
  <c r="F2257" i="26"/>
  <c r="F2256" i="26"/>
  <c r="F2255" i="26"/>
  <c r="F2254" i="26"/>
  <c r="F2253" i="26"/>
  <c r="F2252" i="26"/>
  <c r="F2251" i="26"/>
  <c r="F2250" i="26"/>
  <c r="F2249" i="26"/>
  <c r="F2248" i="26"/>
  <c r="F2247" i="26"/>
  <c r="F2246" i="26"/>
  <c r="F2245" i="26"/>
  <c r="F2244" i="26"/>
  <c r="F2243" i="26"/>
  <c r="F2242" i="26"/>
  <c r="F2241" i="26"/>
  <c r="F2240" i="26"/>
  <c r="F2239" i="26"/>
  <c r="F2238" i="26"/>
  <c r="F2237" i="26"/>
  <c r="F2236" i="26"/>
  <c r="F2235" i="26"/>
  <c r="F2234" i="26"/>
  <c r="F2233" i="26"/>
  <c r="F2232" i="26"/>
  <c r="F2231" i="26"/>
  <c r="F2230" i="26"/>
  <c r="F2229" i="26"/>
  <c r="F2228" i="26"/>
  <c r="F2227" i="26"/>
  <c r="F2226" i="26"/>
  <c r="F2225" i="26"/>
  <c r="F2224" i="26"/>
  <c r="F2223" i="26"/>
  <c r="F2222" i="26"/>
  <c r="F2221" i="26"/>
  <c r="F2220" i="26"/>
  <c r="F2219" i="26"/>
  <c r="F2218" i="26"/>
  <c r="F2217" i="26"/>
  <c r="F2216" i="26"/>
  <c r="F2215" i="26"/>
  <c r="F2214" i="26"/>
  <c r="F2213" i="26"/>
  <c r="F2212" i="26"/>
  <c r="F2211" i="26"/>
  <c r="F2210" i="26"/>
  <c r="F2209" i="26"/>
  <c r="F2208" i="26"/>
  <c r="F2207" i="26"/>
  <c r="F2206" i="26"/>
  <c r="F2205" i="26"/>
  <c r="F2204" i="26"/>
  <c r="F2203" i="26"/>
  <c r="F2202" i="26"/>
  <c r="F2201" i="26"/>
  <c r="F2200" i="26"/>
  <c r="F2199" i="26"/>
  <c r="F2198" i="26"/>
  <c r="F2197" i="26"/>
  <c r="F2196" i="26"/>
  <c r="F2195" i="26"/>
  <c r="F2194" i="26"/>
  <c r="F2193" i="26"/>
  <c r="F2192" i="26"/>
  <c r="F2191" i="26"/>
  <c r="F2190" i="26"/>
  <c r="F2189" i="26"/>
  <c r="F2188" i="26"/>
  <c r="F2187" i="26"/>
  <c r="F2186" i="26"/>
  <c r="F2185" i="26"/>
  <c r="F2184" i="26"/>
  <c r="F2183" i="26"/>
  <c r="F2182" i="26"/>
  <c r="F2181" i="26"/>
  <c r="F2180" i="26"/>
  <c r="F2179" i="26"/>
  <c r="F2178" i="26"/>
  <c r="F2177" i="26"/>
  <c r="F2176" i="26"/>
  <c r="F2175" i="26"/>
  <c r="F2174" i="26"/>
  <c r="F2173" i="26"/>
  <c r="F2172" i="26"/>
  <c r="F2171" i="26"/>
  <c r="F2170" i="26"/>
  <c r="F2169" i="26"/>
  <c r="F2168" i="26"/>
  <c r="F2167" i="26"/>
  <c r="F2166" i="26"/>
  <c r="F2165" i="26"/>
  <c r="F2164" i="26"/>
  <c r="F2163" i="26"/>
  <c r="F2162" i="26"/>
  <c r="F2161" i="26"/>
  <c r="F2160" i="26"/>
  <c r="F2159" i="26"/>
  <c r="F2158" i="26"/>
  <c r="F2157" i="26"/>
  <c r="F2156" i="26"/>
  <c r="F2155" i="26"/>
  <c r="F2154" i="26"/>
  <c r="F2153" i="26"/>
  <c r="F2152" i="26"/>
  <c r="F2151" i="26"/>
  <c r="F2150" i="26"/>
  <c r="F2149" i="26"/>
  <c r="F2148" i="26"/>
  <c r="F2147" i="26"/>
  <c r="F2146" i="26"/>
  <c r="F2145" i="26"/>
  <c r="F2144" i="26"/>
  <c r="F2143" i="26"/>
  <c r="F2142" i="26"/>
  <c r="F2141" i="26"/>
  <c r="F2140" i="26"/>
  <c r="F2139" i="26"/>
  <c r="F2138" i="26"/>
  <c r="F2137" i="26"/>
  <c r="F2136" i="26"/>
  <c r="F2135" i="26"/>
  <c r="F2134" i="26"/>
  <c r="F2133" i="26"/>
  <c r="F2132" i="26"/>
  <c r="F2131" i="26"/>
  <c r="F2130" i="26"/>
  <c r="F2129" i="26"/>
  <c r="F2128" i="26"/>
  <c r="F2127" i="26"/>
  <c r="F2126" i="26"/>
  <c r="F2125" i="26"/>
  <c r="F2124" i="26"/>
  <c r="F2123" i="26"/>
  <c r="F2122" i="26"/>
  <c r="F2121" i="26"/>
  <c r="F2120" i="26"/>
  <c r="F2119" i="26"/>
  <c r="F2118" i="26"/>
  <c r="F2117" i="26"/>
  <c r="F2116" i="26"/>
  <c r="F2115" i="26"/>
  <c r="F2114" i="26"/>
  <c r="F2113" i="26"/>
  <c r="F2112" i="26"/>
  <c r="F2111" i="26"/>
  <c r="F2110" i="26"/>
  <c r="F2109" i="26"/>
  <c r="F2108" i="26"/>
  <c r="F2107" i="26"/>
  <c r="F2106" i="26"/>
  <c r="F2105" i="26"/>
  <c r="F2104" i="26"/>
  <c r="F2103" i="26"/>
  <c r="F2102" i="26"/>
  <c r="F2101" i="26"/>
  <c r="F2100" i="26"/>
  <c r="F2099" i="26"/>
  <c r="F2098" i="26"/>
  <c r="F2097" i="26"/>
  <c r="F2096" i="26"/>
  <c r="F2095" i="26"/>
  <c r="F2094" i="26"/>
  <c r="F2093" i="26"/>
  <c r="F2092" i="26"/>
  <c r="F2091" i="26"/>
  <c r="F2090" i="26"/>
  <c r="F2089" i="26"/>
  <c r="F2088" i="26"/>
  <c r="F2087" i="26"/>
  <c r="F2086" i="26"/>
  <c r="F2085" i="26"/>
  <c r="F2084" i="26"/>
  <c r="F2083" i="26"/>
  <c r="F2082" i="26"/>
  <c r="F2081" i="26"/>
  <c r="F2080" i="26"/>
  <c r="F2079" i="26"/>
  <c r="F2078" i="26"/>
  <c r="F2077" i="26"/>
  <c r="F2076" i="26"/>
  <c r="F2075" i="26"/>
  <c r="F2074" i="26"/>
  <c r="F2073" i="26"/>
  <c r="F2072" i="26"/>
  <c r="F2071" i="26"/>
  <c r="F2070" i="26"/>
  <c r="F2069" i="26"/>
  <c r="F2068" i="26"/>
  <c r="F2067" i="26"/>
  <c r="F2066" i="26"/>
  <c r="F2065" i="26"/>
  <c r="F2064" i="26"/>
  <c r="F2063" i="26"/>
  <c r="F2062" i="26"/>
  <c r="F2061" i="26"/>
  <c r="F2060" i="26"/>
  <c r="F2059" i="26"/>
  <c r="F2058" i="26"/>
  <c r="F2057" i="26"/>
  <c r="F2056" i="26"/>
  <c r="F2055" i="26"/>
  <c r="F2054" i="26"/>
  <c r="F2053" i="26"/>
  <c r="F2052" i="26"/>
  <c r="F2051" i="26"/>
  <c r="F2050" i="26"/>
  <c r="F2049" i="26"/>
  <c r="F2048" i="26"/>
  <c r="F2047" i="26"/>
  <c r="F2046" i="26"/>
  <c r="F2045" i="26"/>
  <c r="F2044" i="26"/>
  <c r="F2043" i="26"/>
  <c r="F2042" i="26"/>
  <c r="F2041" i="26"/>
  <c r="F2040" i="26"/>
  <c r="F2039" i="26"/>
  <c r="F2038" i="26"/>
  <c r="F2037" i="26"/>
  <c r="F2036" i="26"/>
  <c r="F2035" i="26"/>
  <c r="F2034" i="26"/>
  <c r="F2033" i="26"/>
  <c r="F2032" i="26"/>
  <c r="F2031" i="26"/>
  <c r="F2030" i="26"/>
  <c r="F2029" i="26"/>
  <c r="F2028" i="26"/>
  <c r="F2027" i="26"/>
  <c r="F2026" i="26"/>
  <c r="F2025" i="26"/>
  <c r="F2024" i="26"/>
  <c r="F2023" i="26"/>
  <c r="F2022" i="26"/>
  <c r="F2021" i="26"/>
  <c r="F2020" i="26"/>
  <c r="F2019" i="26"/>
  <c r="F2018" i="26"/>
  <c r="F2017" i="26"/>
  <c r="F2016" i="26"/>
  <c r="F2015" i="26"/>
  <c r="F2014" i="26"/>
  <c r="F2013" i="26"/>
  <c r="F2012" i="26"/>
  <c r="F2011" i="26"/>
  <c r="F2010" i="26"/>
  <c r="F2009" i="26"/>
  <c r="F2008" i="26"/>
  <c r="F2007" i="26"/>
  <c r="F2006" i="26"/>
  <c r="F2005" i="26"/>
  <c r="F2004" i="26"/>
  <c r="F2003" i="26"/>
  <c r="F2002" i="26"/>
  <c r="F2001" i="26"/>
  <c r="F2000" i="26"/>
  <c r="F1999" i="26"/>
  <c r="F1998" i="26"/>
  <c r="F1997" i="26"/>
  <c r="F1996" i="26"/>
  <c r="F1995" i="26"/>
  <c r="F1994" i="26"/>
  <c r="F1993" i="26"/>
  <c r="F1992" i="26"/>
  <c r="F1991" i="26"/>
  <c r="F1990" i="26"/>
  <c r="F1989" i="26"/>
  <c r="F1988" i="26"/>
  <c r="F1987" i="26"/>
  <c r="F1986" i="26"/>
  <c r="F1985" i="26"/>
  <c r="F1984" i="26"/>
  <c r="F1983" i="26"/>
  <c r="F1982" i="26"/>
  <c r="F1981" i="26"/>
  <c r="F1980" i="26"/>
  <c r="F1979" i="26"/>
  <c r="F1978" i="26"/>
  <c r="F1977" i="26"/>
  <c r="F1976" i="26"/>
  <c r="F1975" i="26"/>
  <c r="F1974" i="26"/>
  <c r="F1973" i="26"/>
  <c r="F1972" i="26"/>
  <c r="F1971" i="26"/>
  <c r="F1970" i="26"/>
  <c r="F1969" i="26"/>
  <c r="F1968" i="26"/>
  <c r="F1967" i="26"/>
  <c r="F1966" i="26"/>
  <c r="F1965" i="26"/>
  <c r="F1964" i="26"/>
  <c r="F1963" i="26"/>
  <c r="F1962" i="26"/>
  <c r="F1961" i="26"/>
  <c r="F1960" i="26"/>
  <c r="F1959" i="26"/>
  <c r="F1958" i="26"/>
  <c r="F1957" i="26"/>
  <c r="F1956" i="26"/>
  <c r="F1955" i="26"/>
  <c r="F1954" i="26"/>
  <c r="F1953" i="26"/>
  <c r="F1952" i="26"/>
  <c r="F1951" i="26"/>
  <c r="F1950" i="26"/>
  <c r="F1949" i="26"/>
  <c r="F1948" i="26"/>
  <c r="F1947" i="26"/>
  <c r="F1946" i="26"/>
  <c r="F1945" i="26"/>
  <c r="F1944" i="26"/>
  <c r="F1943" i="26"/>
  <c r="F1942" i="26"/>
  <c r="F1941" i="26"/>
  <c r="F1940" i="26"/>
  <c r="F1939" i="26"/>
  <c r="F1938" i="26"/>
  <c r="F1937" i="26"/>
  <c r="F1936" i="26"/>
  <c r="F1935" i="26"/>
  <c r="F1934" i="26"/>
  <c r="F1933" i="26"/>
  <c r="F1932" i="26"/>
  <c r="F1931" i="26"/>
  <c r="F1930" i="26"/>
  <c r="F1929" i="26"/>
  <c r="F1928" i="26"/>
  <c r="F1927" i="26"/>
  <c r="F1926" i="26"/>
  <c r="F1925" i="26"/>
  <c r="F1924" i="26"/>
  <c r="F1923" i="26"/>
  <c r="F1922" i="26"/>
  <c r="F1921" i="26"/>
  <c r="F1920" i="26"/>
  <c r="F1919" i="26"/>
  <c r="F1918" i="26"/>
  <c r="F1917" i="26"/>
  <c r="F1916" i="26"/>
  <c r="F1915" i="26"/>
  <c r="F1914" i="26"/>
  <c r="F1913" i="26"/>
  <c r="F1912" i="26"/>
  <c r="F1911" i="26"/>
  <c r="F1910" i="26"/>
  <c r="F1909" i="26"/>
  <c r="F1908" i="26"/>
  <c r="F1907" i="26"/>
  <c r="F1906" i="26"/>
  <c r="F1905" i="26"/>
  <c r="F1904" i="26"/>
  <c r="F1903" i="26"/>
  <c r="F1902" i="26"/>
  <c r="F1901" i="26"/>
  <c r="F1900" i="26"/>
  <c r="F1899" i="26"/>
  <c r="F1898" i="26"/>
  <c r="F1897" i="26"/>
  <c r="F1896" i="26"/>
  <c r="F1895" i="26"/>
  <c r="F1894" i="26"/>
  <c r="F1893" i="26"/>
  <c r="F1892" i="26"/>
  <c r="F1891" i="26"/>
  <c r="F1890" i="26"/>
  <c r="F1889" i="26"/>
  <c r="F1888" i="26"/>
  <c r="F1887" i="26"/>
  <c r="F1886" i="26"/>
  <c r="F1885" i="26"/>
  <c r="F1884" i="26"/>
  <c r="F1883" i="26"/>
  <c r="F1882" i="26"/>
  <c r="F1881" i="26"/>
  <c r="F1880" i="26"/>
  <c r="F1879" i="26"/>
  <c r="F1878" i="26"/>
  <c r="F1877" i="26"/>
  <c r="F1876" i="26"/>
  <c r="F1875" i="26"/>
  <c r="F1874" i="26"/>
  <c r="F1873" i="26"/>
  <c r="F1872" i="26"/>
  <c r="F1871" i="26"/>
  <c r="F1870" i="26"/>
  <c r="F1869" i="26"/>
  <c r="F1868" i="26"/>
  <c r="F1867" i="26"/>
  <c r="F1866" i="26"/>
  <c r="F1865" i="26"/>
  <c r="F1864" i="26"/>
  <c r="F1863" i="26"/>
  <c r="F1862" i="26"/>
  <c r="F1861" i="26"/>
  <c r="F1860" i="26"/>
  <c r="F1859" i="26"/>
  <c r="F1858" i="26"/>
  <c r="F1857" i="26"/>
  <c r="F1856" i="26"/>
  <c r="F1855" i="26"/>
  <c r="F1854" i="26"/>
  <c r="F1853" i="26"/>
  <c r="F1852" i="26"/>
  <c r="F1851" i="26"/>
  <c r="F1850" i="26"/>
  <c r="F1849" i="26"/>
  <c r="F1848" i="26"/>
  <c r="F1847" i="26"/>
  <c r="F1846" i="26"/>
  <c r="F1845" i="26"/>
  <c r="F1844" i="26"/>
  <c r="F1843" i="26"/>
  <c r="F1842" i="26"/>
  <c r="F1841" i="26"/>
  <c r="F1840" i="26"/>
  <c r="F1839" i="26"/>
  <c r="F1838" i="26"/>
  <c r="F1837" i="26"/>
  <c r="F1836" i="26"/>
  <c r="F1835" i="26"/>
  <c r="F1834" i="26"/>
  <c r="F1833" i="26"/>
  <c r="F1832" i="26"/>
  <c r="F1831" i="26"/>
  <c r="F1830" i="26"/>
  <c r="F1829" i="26"/>
  <c r="F1828" i="26"/>
  <c r="F1827" i="26"/>
  <c r="F1826" i="26"/>
  <c r="F1825" i="26"/>
  <c r="F1824" i="26"/>
  <c r="F1823" i="26"/>
  <c r="F1822" i="26"/>
  <c r="F1821" i="26"/>
  <c r="F1820" i="26"/>
  <c r="F1819" i="26"/>
  <c r="F1818" i="26"/>
  <c r="F1817" i="26"/>
  <c r="F1816" i="26"/>
  <c r="F1815" i="26"/>
  <c r="F1814" i="26"/>
  <c r="F1813" i="26"/>
  <c r="F1812" i="26"/>
  <c r="F1811" i="26"/>
  <c r="F1810" i="26"/>
  <c r="F1809" i="26"/>
  <c r="F1808" i="26"/>
  <c r="F1807" i="26"/>
  <c r="F1806" i="26"/>
  <c r="F1805" i="26"/>
  <c r="F1804" i="26"/>
  <c r="F1803" i="26"/>
  <c r="F1802" i="26"/>
  <c r="F1801" i="26"/>
  <c r="F1800" i="26"/>
  <c r="F1799" i="26"/>
  <c r="F1798" i="26"/>
  <c r="F1797" i="26"/>
  <c r="F1796" i="26"/>
  <c r="F1795" i="26"/>
  <c r="F1794" i="26"/>
  <c r="F1793" i="26"/>
  <c r="F1792" i="26"/>
  <c r="F1791" i="26"/>
  <c r="F1790" i="26"/>
  <c r="F1789" i="26"/>
  <c r="F1788" i="26"/>
  <c r="F1787" i="26"/>
  <c r="F1786" i="26"/>
  <c r="F1785" i="26"/>
  <c r="F1784" i="26"/>
  <c r="F1783" i="26"/>
  <c r="F1782" i="26"/>
  <c r="F1781" i="26"/>
  <c r="F1780" i="26"/>
  <c r="F1779" i="26"/>
  <c r="F1778" i="26"/>
  <c r="F1777" i="26"/>
  <c r="F1776" i="26"/>
  <c r="F1775" i="26"/>
  <c r="F1774" i="26"/>
  <c r="F1773" i="26"/>
  <c r="F1772" i="26"/>
  <c r="F1771" i="26"/>
  <c r="F1770" i="26"/>
  <c r="F1769" i="26"/>
  <c r="F1768" i="26"/>
  <c r="F1767" i="26"/>
  <c r="F1766" i="26"/>
  <c r="F1765" i="26"/>
  <c r="F1764" i="26"/>
  <c r="F1763" i="26"/>
  <c r="F1762" i="26"/>
  <c r="F1761" i="26"/>
  <c r="F1760" i="26"/>
  <c r="F1759" i="26"/>
  <c r="F1758" i="26"/>
  <c r="F1757" i="26"/>
  <c r="F1756" i="26"/>
  <c r="F1755" i="26"/>
  <c r="F1754" i="26"/>
  <c r="F1753" i="26"/>
  <c r="F1752" i="26"/>
  <c r="F1751" i="26"/>
  <c r="F1750" i="26"/>
  <c r="F1749" i="26"/>
  <c r="F1748" i="26"/>
  <c r="F1747" i="26"/>
  <c r="F1746" i="26"/>
  <c r="F1745" i="26"/>
  <c r="F1744" i="26"/>
  <c r="F1743" i="26"/>
  <c r="F1742" i="26"/>
  <c r="F1741" i="26"/>
  <c r="F1740" i="26"/>
  <c r="F1739" i="26"/>
  <c r="F1738" i="26"/>
  <c r="F1737" i="26"/>
  <c r="F1736" i="26"/>
  <c r="F1735" i="26"/>
  <c r="F1734" i="26"/>
  <c r="F1733" i="26"/>
  <c r="F1732" i="26"/>
  <c r="F1731" i="26"/>
  <c r="F1730" i="26"/>
  <c r="F1729" i="26"/>
  <c r="F1728" i="26"/>
  <c r="F1727" i="26"/>
  <c r="F1726" i="26"/>
  <c r="F1725" i="26"/>
  <c r="F1724" i="26"/>
  <c r="F1723" i="26"/>
  <c r="F1722" i="26"/>
  <c r="F1721" i="26"/>
  <c r="F1720" i="26"/>
  <c r="F1719" i="26"/>
  <c r="F1718" i="26"/>
  <c r="F1717" i="26"/>
  <c r="F1716" i="26"/>
  <c r="F1715" i="26"/>
  <c r="F1714" i="26"/>
  <c r="F1713" i="26"/>
  <c r="F1712" i="26"/>
  <c r="F1711" i="26"/>
  <c r="F1710" i="26"/>
  <c r="F1709" i="26"/>
  <c r="F1708" i="26"/>
  <c r="F1707" i="26"/>
  <c r="F1706" i="26"/>
  <c r="F1705" i="26"/>
  <c r="F1704" i="26"/>
  <c r="F1703" i="26"/>
  <c r="F1702" i="26"/>
  <c r="F1701" i="26"/>
  <c r="F1700" i="26"/>
  <c r="F1699" i="26"/>
  <c r="F1698" i="26"/>
  <c r="F1697" i="26"/>
  <c r="F1696" i="26"/>
  <c r="F1695" i="26"/>
  <c r="F1694" i="26"/>
  <c r="F1693" i="26"/>
  <c r="F1692" i="26"/>
  <c r="F1691" i="26"/>
  <c r="F1690" i="26"/>
  <c r="F1689" i="26"/>
  <c r="F1688" i="26"/>
  <c r="F1687" i="26"/>
  <c r="F1686" i="26"/>
  <c r="F1685" i="26"/>
  <c r="F1684" i="26"/>
  <c r="F1683" i="26"/>
  <c r="F1682" i="26"/>
  <c r="F1681" i="26"/>
  <c r="F1680" i="26"/>
  <c r="F1679" i="26"/>
  <c r="F1678" i="26"/>
  <c r="F1677" i="26"/>
  <c r="F1676" i="26"/>
  <c r="F1675" i="26"/>
  <c r="F1674" i="26"/>
  <c r="F1673" i="26"/>
  <c r="F1672" i="26"/>
  <c r="F1671" i="26"/>
  <c r="F1670" i="26"/>
  <c r="F1669" i="26"/>
  <c r="F1668" i="26"/>
  <c r="F1667" i="26"/>
  <c r="F1666" i="26"/>
  <c r="F1665" i="26"/>
  <c r="F1664" i="26"/>
  <c r="F1663" i="26"/>
  <c r="F1662" i="26"/>
  <c r="F1661" i="26"/>
  <c r="F1660" i="26"/>
  <c r="F1659" i="26"/>
  <c r="F1658" i="26"/>
  <c r="F1657" i="26"/>
  <c r="F1656" i="26"/>
  <c r="F1655" i="26"/>
  <c r="F1654" i="26"/>
  <c r="F1653" i="26"/>
  <c r="F1652" i="26"/>
  <c r="F1651" i="26"/>
  <c r="F1650" i="26"/>
  <c r="F1649" i="26"/>
  <c r="F1648" i="26"/>
  <c r="F1647" i="26"/>
  <c r="F1646" i="26"/>
  <c r="F1645" i="26"/>
  <c r="F1644" i="26"/>
  <c r="F1643" i="26"/>
  <c r="F1642" i="26"/>
  <c r="F1641" i="26"/>
  <c r="F1640" i="26"/>
  <c r="F1639" i="26"/>
  <c r="F1638" i="26"/>
  <c r="F1637" i="26"/>
  <c r="F1636" i="26"/>
  <c r="F1635" i="26"/>
  <c r="F1634" i="26"/>
  <c r="F1633" i="26"/>
  <c r="F1632" i="26"/>
  <c r="F1631" i="26"/>
  <c r="F1630" i="26"/>
  <c r="F1629" i="26"/>
  <c r="F1628" i="26"/>
  <c r="F1627" i="26"/>
  <c r="F1626" i="26"/>
  <c r="F1625" i="26"/>
  <c r="F1624" i="26"/>
  <c r="F1623" i="26"/>
  <c r="F1622" i="26"/>
  <c r="F1621" i="26"/>
  <c r="F1620" i="26"/>
  <c r="F1619" i="26"/>
  <c r="F1618" i="26"/>
  <c r="F1617" i="26"/>
  <c r="F1616" i="26"/>
  <c r="F1615" i="26"/>
  <c r="F1614" i="26"/>
  <c r="F1613" i="26"/>
  <c r="F1612" i="26"/>
  <c r="F1611" i="26"/>
  <c r="F1610" i="26"/>
  <c r="F1609" i="26"/>
  <c r="F1608" i="26"/>
  <c r="F1607" i="26"/>
  <c r="F1606" i="26"/>
  <c r="F1605" i="26"/>
  <c r="F1604" i="26"/>
  <c r="F1603" i="26"/>
  <c r="F1602" i="26"/>
  <c r="F1601" i="26"/>
  <c r="F1600" i="26"/>
  <c r="F1599" i="26"/>
  <c r="F1598" i="26"/>
  <c r="F1597" i="26"/>
  <c r="F1596" i="26"/>
  <c r="F1595" i="26"/>
  <c r="F1594" i="26"/>
  <c r="F1593" i="26"/>
  <c r="F1592" i="26"/>
  <c r="F1591" i="26"/>
  <c r="F1590" i="26"/>
  <c r="F1589" i="26"/>
  <c r="F1588" i="26"/>
  <c r="F1587" i="26"/>
  <c r="F1586" i="26"/>
  <c r="F1585" i="26"/>
  <c r="F1584" i="26"/>
  <c r="F1583" i="26"/>
  <c r="F1582" i="26"/>
  <c r="F1581" i="26"/>
  <c r="F1580" i="26"/>
  <c r="F1579" i="26"/>
  <c r="F1578" i="26"/>
  <c r="F1577" i="26"/>
  <c r="F1576" i="26"/>
  <c r="F1575" i="26"/>
  <c r="F1574" i="26"/>
  <c r="F1573" i="26"/>
  <c r="F1572" i="26"/>
  <c r="F1571" i="26"/>
  <c r="F1570" i="26"/>
  <c r="F1569" i="26"/>
  <c r="F1568" i="26"/>
  <c r="F1567" i="26"/>
  <c r="F1566" i="26"/>
  <c r="F1565" i="26"/>
  <c r="F1564" i="26"/>
  <c r="F1563" i="26"/>
  <c r="F1562" i="26"/>
  <c r="F1561" i="26"/>
  <c r="F1560" i="26"/>
  <c r="F1559" i="26"/>
  <c r="F1558" i="26"/>
  <c r="F1557" i="26"/>
  <c r="F1556" i="26"/>
  <c r="F1555" i="26"/>
  <c r="F1554" i="26"/>
  <c r="F1553" i="26"/>
  <c r="F1552" i="26"/>
  <c r="F1551" i="26"/>
  <c r="F1550" i="26"/>
  <c r="F1549" i="26"/>
  <c r="F1548" i="26"/>
  <c r="F1547" i="26"/>
  <c r="F1546" i="26"/>
  <c r="F1545" i="26"/>
  <c r="F1544" i="26"/>
  <c r="F1543" i="26"/>
  <c r="F1542" i="26"/>
  <c r="F1541" i="26"/>
  <c r="F1540" i="26"/>
  <c r="F1539" i="26"/>
  <c r="F1538" i="26"/>
  <c r="F1537" i="26"/>
  <c r="F1536" i="26"/>
  <c r="F1535" i="26"/>
  <c r="F1534" i="26"/>
  <c r="F1533" i="26"/>
  <c r="F1532" i="26"/>
  <c r="F1531" i="26"/>
  <c r="F1530" i="26"/>
  <c r="F1529" i="26"/>
  <c r="F1528" i="26"/>
  <c r="F1527" i="26"/>
  <c r="F1526" i="26"/>
  <c r="F1525" i="26"/>
  <c r="F1524" i="26"/>
  <c r="F1523" i="26"/>
  <c r="F1522" i="26"/>
  <c r="F1521" i="26"/>
  <c r="F1520" i="26"/>
  <c r="F1519" i="26"/>
  <c r="F1518" i="26"/>
  <c r="F1517" i="26"/>
  <c r="F1516" i="26"/>
  <c r="F1515" i="26"/>
  <c r="F1514" i="26"/>
  <c r="F1513" i="26"/>
  <c r="F1512" i="26"/>
  <c r="F1511" i="26"/>
  <c r="F1510" i="26"/>
  <c r="F1509" i="26"/>
  <c r="F1508" i="26"/>
  <c r="F1507" i="26"/>
  <c r="F1506" i="26"/>
  <c r="F1505" i="26"/>
  <c r="F1504" i="26"/>
  <c r="F1503" i="26"/>
  <c r="F1502" i="26"/>
  <c r="F1501" i="26"/>
  <c r="F1500" i="26"/>
  <c r="F1499" i="26"/>
  <c r="F1498" i="26"/>
  <c r="F1497" i="26"/>
  <c r="F1496" i="26"/>
  <c r="F1495" i="26"/>
  <c r="F1494" i="26"/>
  <c r="F1493" i="26"/>
  <c r="F1492" i="26"/>
  <c r="F1491" i="26"/>
  <c r="F1490" i="26"/>
  <c r="F1489" i="26"/>
  <c r="F1488" i="26"/>
  <c r="F1487" i="26"/>
  <c r="F1486" i="26"/>
  <c r="F1485" i="26"/>
  <c r="F1484" i="26"/>
  <c r="F1483" i="26"/>
  <c r="F1482" i="26"/>
  <c r="F1481" i="26"/>
  <c r="F1480" i="26"/>
  <c r="F1479" i="26"/>
  <c r="F1478" i="26"/>
  <c r="F1477" i="26"/>
  <c r="F1476" i="26"/>
  <c r="F1475" i="26"/>
  <c r="F1474" i="26"/>
  <c r="F1473" i="26"/>
  <c r="F1472" i="26"/>
  <c r="F1471" i="26"/>
  <c r="F1470" i="26"/>
  <c r="F1469" i="26"/>
  <c r="F1468" i="26"/>
  <c r="F1467" i="26"/>
  <c r="F1466" i="26"/>
  <c r="F1465" i="26"/>
  <c r="F1464" i="26"/>
  <c r="F1463" i="26"/>
  <c r="F1462" i="26"/>
  <c r="F1461" i="26"/>
  <c r="F1460" i="26"/>
  <c r="F1459" i="26"/>
  <c r="F1458" i="26"/>
  <c r="F1457" i="26"/>
  <c r="F1456" i="26"/>
  <c r="F1455" i="26"/>
  <c r="F1454" i="26"/>
  <c r="F1453" i="26"/>
  <c r="F1452" i="26"/>
  <c r="F1451" i="26"/>
  <c r="F1450" i="26"/>
  <c r="F1449" i="26"/>
  <c r="F1448" i="26"/>
  <c r="F1447" i="26"/>
  <c r="F1446" i="26"/>
  <c r="F1445" i="26"/>
  <c r="F1444" i="26"/>
  <c r="F1443" i="26"/>
  <c r="F1442" i="26"/>
  <c r="F1441" i="26"/>
  <c r="F1440" i="26"/>
  <c r="F1439" i="26"/>
  <c r="F1438" i="26"/>
  <c r="F1437" i="26"/>
  <c r="F1436" i="26"/>
  <c r="F1435" i="26"/>
  <c r="F1434" i="26"/>
  <c r="F1433" i="26"/>
  <c r="F1432" i="26"/>
  <c r="F1431" i="26"/>
  <c r="F1430" i="26"/>
  <c r="F1429" i="26"/>
  <c r="F1428" i="26"/>
  <c r="F1427" i="26"/>
  <c r="F1426" i="26"/>
  <c r="F1425" i="26"/>
  <c r="F1424" i="26"/>
  <c r="F1423" i="26"/>
  <c r="F1422" i="26"/>
  <c r="F1421" i="26"/>
  <c r="F1420" i="26"/>
  <c r="F1419" i="26"/>
  <c r="F1418" i="26"/>
  <c r="F1417" i="26"/>
  <c r="F1416" i="26"/>
  <c r="F1415" i="26"/>
  <c r="F1414" i="26"/>
  <c r="F1413" i="26"/>
  <c r="F1412" i="26"/>
  <c r="F1411" i="26"/>
  <c r="F1410" i="26"/>
  <c r="F1409" i="26"/>
  <c r="F1408" i="26"/>
  <c r="F1407" i="26"/>
  <c r="F1406" i="26"/>
  <c r="F1405" i="26"/>
  <c r="F1404" i="26"/>
  <c r="F1403" i="26"/>
  <c r="F1402" i="26"/>
  <c r="F1401" i="26"/>
  <c r="F1400" i="26"/>
  <c r="F1399" i="26"/>
  <c r="F1398" i="26"/>
  <c r="F1397" i="26"/>
  <c r="F1396" i="26"/>
  <c r="F1395" i="26"/>
  <c r="F1394" i="26"/>
  <c r="F1393" i="26"/>
  <c r="F1392" i="26"/>
  <c r="F1391" i="26"/>
  <c r="F1390" i="26"/>
  <c r="F1389" i="26"/>
  <c r="F1388" i="26"/>
  <c r="F1387" i="26"/>
  <c r="F1386" i="26"/>
  <c r="F1385" i="26"/>
  <c r="F1384" i="26"/>
  <c r="F1383" i="26"/>
  <c r="F1382" i="26"/>
  <c r="F1381" i="26"/>
  <c r="F1380" i="26"/>
  <c r="F1379" i="26"/>
  <c r="F1378" i="26"/>
  <c r="F1377" i="26"/>
  <c r="F1376" i="26"/>
  <c r="F1375" i="26"/>
  <c r="F1374" i="26"/>
  <c r="F1373" i="26"/>
  <c r="F1372" i="26"/>
  <c r="F1371" i="26"/>
  <c r="F1370" i="26"/>
  <c r="F1369" i="26"/>
  <c r="F1368" i="26"/>
  <c r="F1367" i="26"/>
  <c r="F1366" i="26"/>
  <c r="F1365" i="26"/>
  <c r="F1364" i="26"/>
  <c r="F1363" i="26"/>
  <c r="F1362" i="26"/>
  <c r="F1361" i="26"/>
  <c r="F1360" i="26"/>
  <c r="F1359" i="26"/>
  <c r="F1358" i="26"/>
  <c r="F1357" i="26"/>
  <c r="F1356" i="26"/>
  <c r="F1355" i="26"/>
  <c r="F1354" i="26"/>
  <c r="F1353" i="26"/>
  <c r="F1352" i="26"/>
  <c r="F1351" i="26"/>
  <c r="F1350" i="26"/>
  <c r="F1349" i="26"/>
  <c r="F1348" i="26"/>
  <c r="F1347" i="26"/>
  <c r="F1346" i="26"/>
  <c r="F1345" i="26"/>
  <c r="F1344" i="26"/>
  <c r="F1343" i="26"/>
  <c r="F1342" i="26"/>
  <c r="F1341" i="26"/>
  <c r="F1340" i="26"/>
  <c r="F1339" i="26"/>
  <c r="F1338" i="26"/>
  <c r="F1337" i="26"/>
  <c r="F1336" i="26"/>
  <c r="F1335" i="26"/>
  <c r="F1334" i="26"/>
  <c r="F1333" i="26"/>
  <c r="F1332" i="26"/>
  <c r="F1331" i="26"/>
  <c r="F1330" i="26"/>
  <c r="F1329" i="26"/>
  <c r="F1328" i="26"/>
  <c r="F1327" i="26"/>
  <c r="F1326" i="26"/>
  <c r="F1325" i="26"/>
  <c r="F1324" i="26"/>
  <c r="F1323" i="26"/>
  <c r="F1322" i="26"/>
  <c r="F1321" i="26"/>
  <c r="F1320" i="26"/>
  <c r="F1319" i="26"/>
  <c r="F1318" i="26"/>
  <c r="F1317" i="26"/>
  <c r="F1316" i="26"/>
  <c r="F1315" i="26"/>
  <c r="F1314" i="26"/>
  <c r="F1313" i="26"/>
  <c r="F1312" i="26"/>
  <c r="F1311" i="26"/>
  <c r="F1310" i="26"/>
  <c r="F1309" i="26"/>
  <c r="F1308" i="26"/>
  <c r="F1307" i="26"/>
  <c r="F1306" i="26"/>
  <c r="F1305" i="26"/>
  <c r="F1304" i="26"/>
  <c r="F1303" i="26"/>
  <c r="F1302" i="26"/>
  <c r="F1301" i="26"/>
  <c r="F1300" i="26"/>
  <c r="F1299" i="26"/>
  <c r="F1298" i="26"/>
  <c r="F1297" i="26"/>
  <c r="F1296" i="26"/>
  <c r="F1295" i="26"/>
  <c r="F1294" i="26"/>
  <c r="F1293" i="26"/>
  <c r="F1292" i="26"/>
  <c r="F1291" i="26"/>
  <c r="F1290" i="26"/>
  <c r="F1289" i="26"/>
  <c r="F1288" i="26"/>
  <c r="F1287" i="26"/>
  <c r="F1286" i="26"/>
  <c r="F1285" i="26"/>
  <c r="F1284" i="26"/>
  <c r="F1283" i="26"/>
  <c r="F1282" i="26"/>
  <c r="F1281" i="26"/>
  <c r="F1280" i="26"/>
  <c r="F1279" i="26"/>
  <c r="F1278" i="26"/>
  <c r="F1277" i="26"/>
  <c r="F1276" i="26"/>
  <c r="F1275" i="26"/>
  <c r="F1274" i="26"/>
  <c r="F1273" i="26"/>
  <c r="F1272" i="26"/>
  <c r="F1271" i="26"/>
  <c r="F1270" i="26"/>
  <c r="F1269" i="26"/>
  <c r="F1268" i="26"/>
  <c r="F1267" i="26"/>
  <c r="F1266" i="26"/>
  <c r="F1265" i="26"/>
  <c r="F1264" i="26"/>
  <c r="F1263" i="26"/>
  <c r="F1262" i="26"/>
  <c r="F1261" i="26"/>
  <c r="F1260" i="26"/>
  <c r="F1259" i="26"/>
  <c r="F1258" i="26"/>
  <c r="F1257" i="26"/>
  <c r="F1256" i="26"/>
  <c r="F1255" i="26"/>
  <c r="F1254" i="26"/>
  <c r="F1253" i="26"/>
  <c r="F1252" i="26"/>
  <c r="F1251" i="26"/>
  <c r="F1250" i="26"/>
  <c r="F1249" i="26"/>
  <c r="F1248" i="26"/>
  <c r="F1247" i="26"/>
  <c r="F1246" i="26"/>
  <c r="F1245" i="26"/>
  <c r="F1244" i="26"/>
  <c r="F1243" i="26"/>
  <c r="F1242" i="26"/>
  <c r="F1241" i="26"/>
  <c r="F1240" i="26"/>
  <c r="F1239" i="26"/>
  <c r="F1238" i="26"/>
  <c r="F1237" i="26"/>
  <c r="F1236" i="26"/>
  <c r="F1235" i="26"/>
  <c r="F1234" i="26"/>
  <c r="F1233" i="26"/>
  <c r="F1232" i="26"/>
  <c r="F1231" i="26"/>
  <c r="F1230" i="26"/>
  <c r="F1229" i="26"/>
  <c r="F1228" i="26"/>
  <c r="F1227" i="26"/>
  <c r="F1226" i="26"/>
  <c r="F1225" i="26"/>
  <c r="F1224" i="26"/>
  <c r="F1223" i="26"/>
  <c r="F1222" i="26"/>
  <c r="F1221" i="26"/>
  <c r="F1220" i="26"/>
  <c r="F1219" i="26"/>
  <c r="F1218" i="26"/>
  <c r="F1217" i="26"/>
  <c r="F1216" i="26"/>
  <c r="F1215" i="26"/>
  <c r="F1214" i="26"/>
  <c r="F1213" i="26"/>
  <c r="F1212" i="26"/>
  <c r="F1211" i="26"/>
  <c r="F1210" i="26"/>
  <c r="F1209" i="26"/>
  <c r="F1208" i="26"/>
  <c r="F1207" i="26"/>
  <c r="F1206" i="26"/>
  <c r="F1205" i="26"/>
  <c r="F1204" i="26"/>
  <c r="F1203" i="26"/>
  <c r="F1202" i="26"/>
  <c r="F1201" i="26"/>
  <c r="F1200" i="26"/>
  <c r="F1199" i="26"/>
  <c r="F1198" i="26"/>
  <c r="F1197" i="26"/>
  <c r="F1196" i="26"/>
  <c r="F1195" i="26"/>
  <c r="F1194" i="26"/>
  <c r="F1193" i="26"/>
  <c r="F1192" i="26"/>
  <c r="F1191" i="26"/>
  <c r="F1190" i="26"/>
  <c r="F1189" i="26"/>
  <c r="F1188" i="26"/>
  <c r="F1187" i="26"/>
  <c r="F1186" i="26"/>
  <c r="F1185" i="26"/>
  <c r="F1184" i="26"/>
  <c r="F1183" i="26"/>
  <c r="F1182" i="26"/>
  <c r="F1181" i="26"/>
  <c r="F1180" i="26"/>
  <c r="F1179" i="26"/>
  <c r="F1178" i="26"/>
  <c r="F1177" i="26"/>
  <c r="F1176" i="26"/>
  <c r="F1175" i="26"/>
  <c r="F1174" i="26"/>
  <c r="F1173" i="26"/>
  <c r="F1172" i="26"/>
  <c r="F1171" i="26"/>
  <c r="F1170" i="26"/>
  <c r="F1169" i="26"/>
  <c r="F1168" i="26"/>
  <c r="F1167" i="26"/>
  <c r="F1166" i="26"/>
  <c r="F1165" i="26"/>
  <c r="F1164" i="26"/>
  <c r="F1163" i="26"/>
  <c r="F1162" i="26"/>
  <c r="F1161" i="26"/>
  <c r="F1160" i="26"/>
  <c r="F1159" i="26"/>
  <c r="F1158" i="26"/>
  <c r="F1157" i="26"/>
  <c r="F1156" i="26"/>
  <c r="F1155" i="26"/>
  <c r="F1154" i="26"/>
  <c r="F1153" i="26"/>
  <c r="F1152" i="26"/>
  <c r="F1151" i="26"/>
  <c r="F1150" i="26"/>
  <c r="F1149" i="26"/>
  <c r="F1148" i="26"/>
  <c r="F1147" i="26"/>
  <c r="F1146" i="26"/>
  <c r="F1145" i="26"/>
  <c r="F1144" i="26"/>
  <c r="F1143" i="26"/>
  <c r="F1142" i="26"/>
  <c r="F1141" i="26"/>
  <c r="F1140" i="26"/>
  <c r="F1139" i="26"/>
  <c r="F1138" i="26"/>
  <c r="F1137" i="26"/>
  <c r="F1136" i="26"/>
  <c r="F1135" i="26"/>
  <c r="F1134" i="26"/>
  <c r="F1133" i="26"/>
  <c r="F1132" i="26"/>
  <c r="F1131" i="26"/>
  <c r="F1130" i="26"/>
  <c r="F1129" i="26"/>
  <c r="F1128" i="26"/>
  <c r="F1127" i="26"/>
  <c r="F1126" i="26"/>
  <c r="F1125" i="26"/>
  <c r="F1124" i="26"/>
  <c r="F1123" i="26"/>
  <c r="F1122" i="26"/>
  <c r="F1121" i="26"/>
  <c r="F1120" i="26"/>
  <c r="F1119" i="26"/>
  <c r="F1118" i="26"/>
  <c r="F1117" i="26"/>
  <c r="F1116" i="26"/>
  <c r="F1115" i="26"/>
  <c r="F1114" i="26"/>
  <c r="F1113" i="26"/>
  <c r="F1112" i="26"/>
  <c r="F1111" i="26"/>
  <c r="F1110" i="26"/>
  <c r="F1109" i="26"/>
  <c r="F1108" i="26"/>
  <c r="F1107" i="26"/>
  <c r="F1106" i="26"/>
  <c r="F1105" i="26"/>
  <c r="F1104" i="26"/>
  <c r="F1103" i="26"/>
  <c r="F1102" i="26"/>
  <c r="F1101" i="26"/>
  <c r="F1100" i="26"/>
  <c r="F1099" i="26"/>
  <c r="F1098" i="26"/>
  <c r="F1097" i="26"/>
  <c r="F1096" i="26"/>
  <c r="F1095" i="26"/>
  <c r="F1094" i="26"/>
  <c r="F1093" i="26"/>
  <c r="F1092" i="26"/>
  <c r="F1091" i="26"/>
  <c r="F1090" i="26"/>
  <c r="F1089" i="26"/>
  <c r="F1088" i="26"/>
  <c r="F1087" i="26"/>
  <c r="F1086" i="26"/>
  <c r="F1085" i="26"/>
  <c r="F1084" i="26"/>
  <c r="F1083" i="26"/>
  <c r="F1082" i="26"/>
  <c r="F1081" i="26"/>
  <c r="F1080" i="26"/>
  <c r="F1079" i="26"/>
  <c r="F1078" i="26"/>
  <c r="F1077" i="26"/>
  <c r="F1076" i="26"/>
  <c r="F1075" i="26"/>
  <c r="F1074" i="26"/>
  <c r="F1073" i="26"/>
  <c r="F1072" i="26"/>
  <c r="F1071" i="26"/>
  <c r="F1070" i="26"/>
  <c r="F1069" i="26"/>
  <c r="F1068" i="26"/>
  <c r="F1067" i="26"/>
  <c r="F1066" i="26"/>
  <c r="F1065" i="26"/>
  <c r="F1064" i="26"/>
  <c r="F1063" i="26"/>
  <c r="F1062" i="26"/>
  <c r="F1061" i="26"/>
  <c r="F1060" i="26"/>
  <c r="F1059" i="26"/>
  <c r="F1058" i="26"/>
  <c r="F1057" i="26"/>
  <c r="F1056" i="26"/>
  <c r="F1055" i="26"/>
  <c r="F1054" i="26"/>
  <c r="F1053" i="26"/>
  <c r="F1052" i="26"/>
  <c r="F1051" i="26"/>
  <c r="F1050" i="26"/>
  <c r="F1049" i="26"/>
  <c r="F1048" i="26"/>
  <c r="F1047" i="26"/>
  <c r="F1046" i="26"/>
  <c r="F1045" i="26"/>
  <c r="F1044" i="26"/>
  <c r="F1043" i="26"/>
  <c r="F1042" i="26"/>
  <c r="F1041" i="26"/>
  <c r="F1040" i="26"/>
  <c r="F1039" i="26"/>
  <c r="F1038" i="26"/>
  <c r="F1037" i="26"/>
  <c r="F1036" i="26"/>
  <c r="F1035" i="26"/>
  <c r="F1034" i="26"/>
  <c r="F1033" i="26"/>
  <c r="F1032" i="26"/>
  <c r="F1031" i="26"/>
  <c r="F1030" i="26"/>
  <c r="F1029" i="26"/>
  <c r="F1028" i="26"/>
  <c r="F1027" i="26"/>
  <c r="F1026" i="26"/>
  <c r="F1025" i="26"/>
  <c r="F1024" i="26"/>
  <c r="F1023" i="26"/>
  <c r="F1022" i="26"/>
  <c r="F1021" i="26"/>
  <c r="F1020" i="26"/>
  <c r="F1019" i="26"/>
  <c r="F1018" i="26"/>
  <c r="F1017" i="26"/>
  <c r="F1016" i="26"/>
  <c r="F1015" i="26"/>
  <c r="F1014" i="26"/>
  <c r="F1013" i="26"/>
  <c r="F1012" i="26"/>
  <c r="F1011" i="26"/>
  <c r="F1010" i="26"/>
  <c r="F1009" i="26"/>
  <c r="F1008" i="26"/>
  <c r="F1007" i="26"/>
  <c r="F1006" i="26"/>
  <c r="F1005" i="26"/>
  <c r="F1004" i="26"/>
  <c r="F1003" i="26"/>
  <c r="F1002" i="26"/>
  <c r="F1001" i="26"/>
  <c r="F1000" i="26"/>
  <c r="F999" i="26"/>
  <c r="F998" i="26"/>
  <c r="F997" i="26"/>
  <c r="F996" i="26"/>
  <c r="F995" i="26"/>
  <c r="F994" i="26"/>
  <c r="F993" i="26"/>
  <c r="F992" i="26"/>
  <c r="F991" i="26"/>
  <c r="F990" i="26"/>
  <c r="F989" i="26"/>
  <c r="F988" i="26"/>
  <c r="F987" i="26"/>
  <c r="F986" i="26"/>
  <c r="F985" i="26"/>
  <c r="F984" i="26"/>
  <c r="F983" i="26"/>
  <c r="F982" i="26"/>
  <c r="F981" i="26"/>
  <c r="F980" i="26"/>
  <c r="F979" i="26"/>
  <c r="F978" i="26"/>
  <c r="F977" i="26"/>
  <c r="F976" i="26"/>
  <c r="F975" i="26"/>
  <c r="F974" i="26"/>
  <c r="F973" i="26"/>
  <c r="F972" i="26"/>
  <c r="F971" i="26"/>
  <c r="F970" i="26"/>
  <c r="F969" i="26"/>
  <c r="F968" i="26"/>
  <c r="F967" i="26"/>
  <c r="F966" i="26"/>
  <c r="F965" i="26"/>
  <c r="F964" i="26"/>
  <c r="F963" i="26"/>
  <c r="F962" i="26"/>
  <c r="F961" i="26"/>
  <c r="F960" i="26"/>
  <c r="F959" i="26"/>
  <c r="F958" i="26"/>
  <c r="F957" i="26"/>
  <c r="F956" i="26"/>
  <c r="F955" i="26"/>
  <c r="F954" i="26"/>
  <c r="F953" i="26"/>
  <c r="F952" i="26"/>
  <c r="F951" i="26"/>
  <c r="F950" i="26"/>
  <c r="F949" i="26"/>
  <c r="F948" i="26"/>
  <c r="F947" i="26"/>
  <c r="F946" i="26"/>
  <c r="F945" i="26"/>
  <c r="F944" i="26"/>
  <c r="F943" i="26"/>
  <c r="F942" i="26"/>
  <c r="F941" i="26"/>
  <c r="F940" i="26"/>
  <c r="F939" i="26"/>
  <c r="F938" i="26"/>
  <c r="F937" i="26"/>
  <c r="F936" i="26"/>
  <c r="F935" i="26"/>
  <c r="F934" i="26"/>
  <c r="F933" i="26"/>
  <c r="F932" i="26"/>
  <c r="F931" i="26"/>
  <c r="F930" i="26"/>
  <c r="F929" i="26"/>
  <c r="F928" i="26"/>
  <c r="F927" i="26"/>
  <c r="F926" i="26"/>
  <c r="F925" i="26"/>
  <c r="F924" i="26"/>
  <c r="F923" i="26"/>
  <c r="F922" i="26"/>
  <c r="F921" i="26"/>
  <c r="F920" i="26"/>
  <c r="F919" i="26"/>
  <c r="F918" i="26"/>
  <c r="F917" i="26"/>
  <c r="F916" i="26"/>
  <c r="F915" i="26"/>
  <c r="F914" i="26"/>
  <c r="F913" i="26"/>
  <c r="F912" i="26"/>
  <c r="F911" i="26"/>
  <c r="F910" i="26"/>
  <c r="F909" i="26"/>
  <c r="F908" i="26"/>
  <c r="F907" i="26"/>
  <c r="F906" i="26"/>
  <c r="F905" i="26"/>
  <c r="F904" i="26"/>
  <c r="F903" i="26"/>
  <c r="F902" i="26"/>
  <c r="F901" i="26"/>
  <c r="F900" i="26"/>
  <c r="F899" i="26"/>
  <c r="F898" i="26"/>
  <c r="F897" i="26"/>
  <c r="F896" i="26"/>
  <c r="F895" i="26"/>
  <c r="F894" i="26"/>
  <c r="F893" i="26"/>
  <c r="F892" i="26"/>
  <c r="F891" i="26"/>
  <c r="F890" i="26"/>
  <c r="F889" i="26"/>
  <c r="F888" i="26"/>
  <c r="F887" i="26"/>
  <c r="F886" i="26"/>
  <c r="F885" i="26"/>
  <c r="F884" i="26"/>
  <c r="F883" i="26"/>
  <c r="F882" i="26"/>
  <c r="F881" i="26"/>
  <c r="F880" i="26"/>
  <c r="F879" i="26"/>
  <c r="F878" i="26"/>
  <c r="F877" i="26"/>
  <c r="F876" i="26"/>
  <c r="F875" i="26"/>
  <c r="F874" i="26"/>
  <c r="F873" i="26"/>
  <c r="F872" i="26"/>
  <c r="F871" i="26"/>
  <c r="F870" i="26"/>
  <c r="F869" i="26"/>
  <c r="F868" i="26"/>
  <c r="F867" i="26"/>
  <c r="F866" i="26"/>
  <c r="F865" i="26"/>
  <c r="F864" i="26"/>
  <c r="F863" i="26"/>
  <c r="F862" i="26"/>
  <c r="F861" i="26"/>
  <c r="F860" i="26"/>
  <c r="F859" i="26"/>
  <c r="F858" i="26"/>
  <c r="F857" i="26"/>
  <c r="F856" i="26"/>
  <c r="F855" i="26"/>
  <c r="F854" i="26"/>
  <c r="F853" i="26"/>
  <c r="F852" i="26"/>
  <c r="F851" i="26"/>
  <c r="F850" i="26"/>
  <c r="F849" i="26"/>
  <c r="F848" i="26"/>
  <c r="F847" i="26"/>
  <c r="F846" i="26"/>
  <c r="F845" i="26"/>
  <c r="F844" i="26"/>
  <c r="F843" i="26"/>
  <c r="F842" i="26"/>
  <c r="F841" i="26"/>
  <c r="F840" i="26"/>
  <c r="F839" i="26"/>
  <c r="F838" i="26"/>
  <c r="F837" i="26"/>
  <c r="F836" i="26"/>
  <c r="F835" i="26"/>
  <c r="F834" i="26"/>
  <c r="F833" i="26"/>
  <c r="F832" i="26"/>
  <c r="F831" i="26"/>
  <c r="F830" i="26"/>
  <c r="F829" i="26"/>
  <c r="F828" i="26"/>
  <c r="F827" i="26"/>
  <c r="F826" i="26"/>
  <c r="F825" i="26"/>
  <c r="F824" i="26"/>
  <c r="F823" i="26"/>
  <c r="F822" i="26"/>
  <c r="F821" i="26"/>
  <c r="F820" i="26"/>
  <c r="F819" i="26"/>
  <c r="F818" i="26"/>
  <c r="F817" i="26"/>
  <c r="F816" i="26"/>
  <c r="F815" i="26"/>
  <c r="F814" i="26"/>
  <c r="F813" i="26"/>
  <c r="F812" i="26"/>
  <c r="F811" i="26"/>
  <c r="F810" i="26"/>
  <c r="F809" i="26"/>
  <c r="F808" i="26"/>
  <c r="F807" i="26"/>
  <c r="F806" i="26"/>
  <c r="F805" i="26"/>
  <c r="F804" i="26"/>
  <c r="F803" i="26"/>
  <c r="F802" i="26"/>
  <c r="F801" i="26"/>
  <c r="F800" i="26"/>
  <c r="F799" i="26"/>
  <c r="F798" i="26"/>
  <c r="F797" i="26"/>
  <c r="F796" i="26"/>
  <c r="F795" i="26"/>
  <c r="F794" i="26"/>
  <c r="F793" i="26"/>
  <c r="F792" i="26"/>
  <c r="F791" i="26"/>
  <c r="F790" i="26"/>
  <c r="F789" i="26"/>
  <c r="F788" i="26"/>
  <c r="F787" i="26"/>
  <c r="F786" i="26"/>
  <c r="F785" i="26"/>
  <c r="F784" i="26"/>
  <c r="F783" i="26"/>
  <c r="F782" i="26"/>
  <c r="F781" i="26"/>
  <c r="F780" i="26"/>
  <c r="F779" i="26"/>
  <c r="F778" i="26"/>
  <c r="F777" i="26"/>
  <c r="F776" i="26"/>
  <c r="F775" i="26"/>
  <c r="F774" i="26"/>
  <c r="F773" i="26"/>
  <c r="F772" i="26"/>
  <c r="F771" i="26"/>
  <c r="F770" i="26"/>
  <c r="F769" i="26"/>
  <c r="F768" i="26"/>
  <c r="F767" i="26"/>
  <c r="F766" i="26"/>
  <c r="F765" i="26"/>
  <c r="F764" i="26"/>
  <c r="F763" i="26"/>
  <c r="F762" i="26"/>
  <c r="F761" i="26"/>
  <c r="F760" i="26"/>
  <c r="F759" i="26"/>
  <c r="F758" i="26"/>
  <c r="F757" i="26"/>
  <c r="F756" i="26"/>
  <c r="F755" i="26"/>
  <c r="F754" i="26"/>
  <c r="F753" i="26"/>
  <c r="F752" i="26"/>
  <c r="F751" i="26"/>
  <c r="F750" i="26"/>
  <c r="F749" i="26"/>
  <c r="F748" i="26"/>
  <c r="F747" i="26"/>
  <c r="F746" i="26"/>
  <c r="F745" i="26"/>
  <c r="F744" i="26"/>
  <c r="F743" i="26"/>
  <c r="F742" i="26"/>
  <c r="F741" i="26"/>
  <c r="F740" i="26"/>
  <c r="F739" i="26"/>
  <c r="F738" i="26"/>
  <c r="F737" i="26"/>
  <c r="F736" i="26"/>
  <c r="F735" i="26"/>
  <c r="F734" i="26"/>
  <c r="F733" i="26"/>
  <c r="F732" i="26"/>
  <c r="F731" i="26"/>
  <c r="F730" i="26"/>
  <c r="F729" i="26"/>
  <c r="F728" i="26"/>
  <c r="F727" i="26"/>
  <c r="F726" i="26"/>
  <c r="F725" i="26"/>
  <c r="F724" i="26"/>
  <c r="F723" i="26"/>
  <c r="F722" i="26"/>
  <c r="F721" i="26"/>
  <c r="F720" i="26"/>
  <c r="F719" i="26"/>
  <c r="F718" i="26"/>
  <c r="F717" i="26"/>
  <c r="F716" i="26"/>
  <c r="F715" i="26"/>
  <c r="F714" i="26"/>
  <c r="F713" i="26"/>
  <c r="F712" i="26"/>
  <c r="F711" i="26"/>
  <c r="F710" i="26"/>
  <c r="F709" i="26"/>
  <c r="F708" i="26"/>
  <c r="F707" i="26"/>
  <c r="F706" i="26"/>
  <c r="F705" i="26"/>
  <c r="F704" i="26"/>
  <c r="F703" i="26"/>
  <c r="F702" i="26"/>
  <c r="F701" i="26"/>
  <c r="F700" i="26"/>
  <c r="F699" i="26"/>
  <c r="F698" i="26"/>
  <c r="F697" i="26"/>
  <c r="F696" i="26"/>
  <c r="F695" i="26"/>
  <c r="F694" i="26"/>
  <c r="F693" i="26"/>
  <c r="F692" i="26"/>
  <c r="F691" i="26"/>
  <c r="F690" i="26"/>
  <c r="F689" i="26"/>
  <c r="F688" i="26"/>
  <c r="F687" i="26"/>
  <c r="F686" i="26"/>
  <c r="F685" i="26"/>
  <c r="F684" i="26"/>
  <c r="F683" i="26"/>
  <c r="F682" i="26"/>
  <c r="F681" i="26"/>
  <c r="F680" i="26"/>
  <c r="F679" i="26"/>
  <c r="F678" i="26"/>
  <c r="F677" i="26"/>
  <c r="F676" i="26"/>
  <c r="F675" i="26"/>
  <c r="F674" i="26"/>
  <c r="F673" i="26"/>
  <c r="F672" i="26"/>
  <c r="F671" i="26"/>
  <c r="F670" i="26"/>
  <c r="F669" i="26"/>
  <c r="F668" i="26"/>
  <c r="F667" i="26"/>
  <c r="F666" i="26"/>
  <c r="F665" i="26"/>
  <c r="F664" i="26"/>
  <c r="F663" i="26"/>
  <c r="F662" i="26"/>
  <c r="F661" i="26"/>
  <c r="F660" i="26"/>
  <c r="F659" i="26"/>
  <c r="F658" i="26"/>
  <c r="F657" i="26"/>
  <c r="F656" i="26"/>
  <c r="F655" i="26"/>
  <c r="F654" i="26"/>
  <c r="F653" i="26"/>
  <c r="F652" i="26"/>
  <c r="F651" i="26"/>
  <c r="F650" i="26"/>
  <c r="F649" i="26"/>
  <c r="F648" i="26"/>
  <c r="F647" i="26"/>
  <c r="F646" i="26"/>
  <c r="F645" i="26"/>
  <c r="F644" i="26"/>
  <c r="F643" i="26"/>
  <c r="F642" i="26"/>
  <c r="F641" i="26"/>
  <c r="F640" i="26"/>
  <c r="F639" i="26"/>
  <c r="F638" i="26"/>
  <c r="F637" i="26"/>
  <c r="F636" i="26"/>
  <c r="F635" i="26"/>
  <c r="F634" i="26"/>
  <c r="F633" i="26"/>
  <c r="F632" i="26"/>
  <c r="F631" i="26"/>
  <c r="F630" i="26"/>
  <c r="F629" i="26"/>
  <c r="F628" i="26"/>
  <c r="F627" i="26"/>
  <c r="F626" i="26"/>
  <c r="F625" i="26"/>
  <c r="F624" i="26"/>
  <c r="F623" i="26"/>
  <c r="F622" i="26"/>
  <c r="F621" i="26"/>
  <c r="F620" i="26"/>
  <c r="F619" i="26"/>
  <c r="F618" i="26"/>
  <c r="F617" i="26"/>
  <c r="F616" i="26"/>
  <c r="F615" i="26"/>
  <c r="F614" i="26"/>
  <c r="F613" i="26"/>
  <c r="F612" i="26"/>
  <c r="F611" i="26"/>
  <c r="F610" i="26"/>
  <c r="F609" i="26"/>
  <c r="F608" i="26"/>
  <c r="F607" i="26"/>
  <c r="F606" i="26"/>
  <c r="F605" i="26"/>
  <c r="F604" i="26"/>
  <c r="F603" i="26"/>
  <c r="F602" i="26"/>
  <c r="F601" i="26"/>
  <c r="F600" i="26"/>
  <c r="F599" i="26"/>
  <c r="F598" i="26"/>
  <c r="F597" i="26"/>
  <c r="F596" i="26"/>
  <c r="F595" i="26"/>
  <c r="F594" i="26"/>
  <c r="F593" i="26"/>
  <c r="F592" i="26"/>
  <c r="F591" i="26"/>
  <c r="F590" i="26"/>
  <c r="F589" i="26"/>
  <c r="F588" i="26"/>
  <c r="F587" i="26"/>
  <c r="F586" i="26"/>
  <c r="F585" i="26"/>
  <c r="F584" i="26"/>
  <c r="F583" i="26"/>
  <c r="F582" i="26"/>
  <c r="F581" i="26"/>
  <c r="F580" i="26"/>
  <c r="F579" i="26"/>
  <c r="F578" i="26"/>
  <c r="F577" i="26"/>
  <c r="F576" i="26"/>
  <c r="F575" i="26"/>
  <c r="F574" i="26"/>
  <c r="F573" i="26"/>
  <c r="F572" i="26"/>
  <c r="F571" i="26"/>
  <c r="F570" i="26"/>
  <c r="F569" i="26"/>
  <c r="F568" i="26"/>
  <c r="F567" i="26"/>
  <c r="F566" i="26"/>
  <c r="F565" i="26"/>
  <c r="F564" i="26"/>
  <c r="F563" i="26"/>
  <c r="F562" i="26"/>
  <c r="F561" i="26"/>
  <c r="F560" i="26"/>
  <c r="F559" i="26"/>
  <c r="F558" i="26"/>
  <c r="F557" i="26"/>
  <c r="F556" i="26"/>
  <c r="F555" i="26"/>
  <c r="F554" i="26"/>
  <c r="F553" i="26"/>
  <c r="F552" i="26"/>
  <c r="F551" i="26"/>
  <c r="F550" i="26"/>
  <c r="F549" i="26"/>
  <c r="F548" i="26"/>
  <c r="F547" i="26"/>
  <c r="F546" i="26"/>
  <c r="F545" i="26"/>
  <c r="F544" i="26"/>
  <c r="F543" i="26"/>
  <c r="F542" i="26"/>
  <c r="F541" i="26"/>
  <c r="F540" i="26"/>
  <c r="F539" i="26"/>
  <c r="F538" i="26"/>
  <c r="F537" i="26"/>
  <c r="F536" i="26"/>
  <c r="F535" i="26"/>
  <c r="F534" i="26"/>
  <c r="F533" i="26"/>
  <c r="F532" i="26"/>
  <c r="F531" i="26"/>
  <c r="F530" i="26"/>
  <c r="F529" i="26"/>
  <c r="F528" i="26"/>
  <c r="F527" i="26"/>
  <c r="F526" i="26"/>
  <c r="F525" i="26"/>
  <c r="F524" i="26"/>
  <c r="F523" i="26"/>
  <c r="F522" i="26"/>
  <c r="F521" i="26"/>
  <c r="F520" i="26"/>
  <c r="F519" i="26"/>
  <c r="F518" i="26"/>
  <c r="F517" i="26"/>
  <c r="F516" i="26"/>
  <c r="F515" i="26"/>
  <c r="F514" i="26"/>
  <c r="F513" i="26"/>
  <c r="F512" i="26"/>
  <c r="F511" i="26"/>
  <c r="F510" i="26"/>
  <c r="F509" i="26"/>
  <c r="F508" i="26"/>
  <c r="F507" i="26"/>
  <c r="F506" i="26"/>
  <c r="F505" i="26"/>
  <c r="F504" i="26"/>
  <c r="F503" i="26"/>
  <c r="F502" i="26"/>
  <c r="F501" i="26"/>
  <c r="F500" i="26"/>
  <c r="F499" i="26"/>
  <c r="F498" i="26"/>
  <c r="F497" i="26"/>
  <c r="F496" i="26"/>
  <c r="F495" i="26"/>
  <c r="F494" i="26"/>
  <c r="F493" i="26"/>
  <c r="F492" i="26"/>
  <c r="F491" i="26"/>
  <c r="F490" i="26"/>
  <c r="F489" i="26"/>
  <c r="F488" i="26"/>
  <c r="F487" i="26"/>
  <c r="F486" i="26"/>
  <c r="F485" i="26"/>
  <c r="F484" i="26"/>
  <c r="F483" i="26"/>
  <c r="F482" i="26"/>
  <c r="F481" i="26"/>
  <c r="F480" i="26"/>
  <c r="F479" i="26"/>
  <c r="F478" i="26"/>
  <c r="F477" i="26"/>
  <c r="F476" i="26"/>
  <c r="F475" i="26"/>
  <c r="F474" i="26"/>
  <c r="F473" i="26"/>
  <c r="F472" i="26"/>
  <c r="F471" i="26"/>
  <c r="F470" i="26"/>
  <c r="F469" i="26"/>
  <c r="F468" i="26"/>
  <c r="F467" i="26"/>
  <c r="F466" i="26"/>
  <c r="F465" i="26"/>
  <c r="F464" i="26"/>
  <c r="F463" i="26"/>
  <c r="F462" i="26"/>
  <c r="F461" i="26"/>
  <c r="F460" i="26"/>
  <c r="F459" i="26"/>
  <c r="F458" i="26"/>
  <c r="F457" i="26"/>
  <c r="F456" i="26"/>
  <c r="F455" i="26"/>
  <c r="F454" i="26"/>
  <c r="F453" i="26"/>
  <c r="F452" i="26"/>
  <c r="F451" i="26"/>
  <c r="F450" i="26"/>
  <c r="F449" i="26"/>
  <c r="F448" i="26"/>
  <c r="F447" i="26"/>
  <c r="F446" i="26"/>
  <c r="F445" i="26"/>
  <c r="F444" i="26"/>
  <c r="F443" i="26"/>
  <c r="F442" i="26"/>
  <c r="F441" i="26"/>
  <c r="F440" i="26"/>
  <c r="F439" i="26"/>
  <c r="F438" i="26"/>
  <c r="F437" i="26"/>
  <c r="F436" i="26"/>
  <c r="F435" i="26"/>
  <c r="F434" i="26"/>
  <c r="F433" i="26"/>
  <c r="F432" i="26"/>
  <c r="F431" i="26"/>
  <c r="F430" i="26"/>
  <c r="F429" i="26"/>
  <c r="F428" i="26"/>
  <c r="F427" i="26"/>
  <c r="F426" i="26"/>
  <c r="F425" i="26"/>
  <c r="F424" i="26"/>
  <c r="F423" i="26"/>
  <c r="F422" i="26"/>
  <c r="F421" i="26"/>
  <c r="F420" i="26"/>
  <c r="F419" i="26"/>
  <c r="F418" i="26"/>
  <c r="F417" i="26"/>
  <c r="F416" i="26"/>
  <c r="F415" i="26"/>
  <c r="F414" i="26"/>
  <c r="F413" i="26"/>
  <c r="F412" i="26"/>
  <c r="F411" i="26"/>
  <c r="F410" i="26"/>
  <c r="F409" i="26"/>
  <c r="F408" i="26"/>
  <c r="F407" i="26"/>
  <c r="F406" i="26"/>
  <c r="F405" i="26"/>
  <c r="F404" i="26"/>
  <c r="F403" i="26"/>
  <c r="F402" i="26"/>
  <c r="F401" i="26"/>
  <c r="F400" i="26"/>
  <c r="F399" i="26"/>
  <c r="F398" i="26"/>
  <c r="F397" i="26"/>
  <c r="F396" i="26"/>
  <c r="F395" i="26"/>
  <c r="F394" i="26"/>
  <c r="F393" i="26"/>
  <c r="F392" i="26"/>
  <c r="F391" i="26"/>
  <c r="F390" i="26"/>
  <c r="F389" i="26"/>
  <c r="F388" i="26"/>
  <c r="F387" i="26"/>
  <c r="F386" i="26"/>
  <c r="F385" i="26"/>
  <c r="F384" i="26"/>
  <c r="F383" i="26"/>
  <c r="F382" i="26"/>
  <c r="F381" i="26"/>
  <c r="F380" i="26"/>
  <c r="F379" i="26"/>
  <c r="F378" i="26"/>
  <c r="F377" i="26"/>
  <c r="F376" i="26"/>
  <c r="F375" i="26"/>
  <c r="F374" i="26"/>
  <c r="F373" i="26"/>
  <c r="F372" i="26"/>
  <c r="F371" i="26"/>
  <c r="F370" i="26"/>
  <c r="F369" i="26"/>
  <c r="F368" i="26"/>
  <c r="F367" i="26"/>
  <c r="F366" i="26"/>
  <c r="F365" i="26"/>
  <c r="F364" i="26"/>
  <c r="F363" i="26"/>
  <c r="F362" i="26"/>
  <c r="F361" i="26"/>
  <c r="F360" i="26"/>
  <c r="F359" i="26"/>
  <c r="F358" i="26"/>
  <c r="F357" i="26"/>
  <c r="F356" i="26"/>
  <c r="F355" i="26"/>
  <c r="F354" i="26"/>
  <c r="F353" i="26"/>
  <c r="F352" i="26"/>
  <c r="F351" i="26"/>
  <c r="F350" i="26"/>
  <c r="F349" i="26"/>
  <c r="F348" i="26"/>
  <c r="F347" i="26"/>
  <c r="F346" i="26"/>
  <c r="F345" i="26"/>
  <c r="F344" i="26"/>
  <c r="F343" i="26"/>
  <c r="F342" i="26"/>
  <c r="F341" i="26"/>
  <c r="F340" i="26"/>
  <c r="F339" i="26"/>
  <c r="F338" i="26"/>
  <c r="F337" i="26"/>
  <c r="F336" i="26"/>
  <c r="F335" i="26"/>
  <c r="F334" i="26"/>
  <c r="F333" i="26"/>
  <c r="F332" i="26"/>
  <c r="F331" i="26"/>
  <c r="F330" i="26"/>
  <c r="F329" i="26"/>
  <c r="F328" i="26"/>
  <c r="F327" i="26"/>
  <c r="F326" i="26"/>
  <c r="F325" i="26"/>
  <c r="F324" i="26"/>
  <c r="F323" i="26"/>
  <c r="F322" i="26"/>
  <c r="F321" i="26"/>
  <c r="F320" i="26"/>
  <c r="F319" i="26"/>
  <c r="F318" i="26"/>
  <c r="F317" i="26"/>
  <c r="F316" i="26"/>
  <c r="F315" i="26"/>
  <c r="F314" i="26"/>
  <c r="F313" i="26"/>
  <c r="F312" i="26"/>
  <c r="F311" i="26"/>
  <c r="F310" i="26"/>
  <c r="F309" i="26"/>
  <c r="F308" i="26"/>
  <c r="F307" i="26"/>
  <c r="F306" i="26"/>
  <c r="F305" i="26"/>
  <c r="F304" i="26"/>
  <c r="F303" i="26"/>
  <c r="F302" i="26"/>
  <c r="F301" i="26"/>
  <c r="F300" i="26"/>
  <c r="F299" i="26"/>
  <c r="F298" i="26"/>
  <c r="F297" i="26"/>
  <c r="F296" i="26"/>
  <c r="F295" i="26"/>
  <c r="F294" i="26"/>
  <c r="F293" i="26"/>
  <c r="F292" i="26"/>
  <c r="F291" i="26"/>
  <c r="F290" i="26"/>
  <c r="F289" i="26"/>
  <c r="F288" i="26"/>
  <c r="F287" i="26"/>
  <c r="F286" i="26"/>
  <c r="F285" i="26"/>
  <c r="F284" i="26"/>
  <c r="F283" i="26"/>
  <c r="F282" i="26"/>
  <c r="F281" i="26"/>
  <c r="F280" i="26"/>
  <c r="F279" i="26"/>
  <c r="F278" i="26"/>
  <c r="F277" i="26"/>
  <c r="F276" i="26"/>
  <c r="F275" i="26"/>
  <c r="F274" i="26"/>
  <c r="F273" i="26"/>
  <c r="F272" i="26"/>
  <c r="F271" i="26"/>
  <c r="F270" i="26"/>
  <c r="F269" i="26"/>
  <c r="F268" i="26"/>
  <c r="F267" i="26"/>
  <c r="F266" i="26"/>
  <c r="F265" i="26"/>
  <c r="F264" i="26"/>
  <c r="F263" i="26"/>
  <c r="F262" i="26"/>
  <c r="F261" i="26"/>
  <c r="F260" i="26"/>
  <c r="F259" i="26"/>
  <c r="F258" i="26"/>
  <c r="F257" i="26"/>
  <c r="F256" i="26"/>
  <c r="F255" i="26"/>
  <c r="F254" i="26"/>
  <c r="F253" i="26"/>
  <c r="F252" i="26"/>
  <c r="F251" i="26"/>
  <c r="F250" i="26"/>
  <c r="F249" i="26"/>
  <c r="F248" i="26"/>
  <c r="F247" i="26"/>
  <c r="F246" i="26"/>
  <c r="F245" i="26"/>
  <c r="F244" i="26"/>
  <c r="F243" i="26"/>
  <c r="F242" i="26"/>
  <c r="F241" i="26"/>
  <c r="F240" i="26"/>
  <c r="F239" i="26"/>
  <c r="F238" i="26"/>
  <c r="F237" i="26"/>
  <c r="F236" i="26"/>
  <c r="F235" i="26"/>
  <c r="F234" i="26"/>
  <c r="F233" i="26"/>
  <c r="F232" i="26"/>
  <c r="F231" i="26"/>
  <c r="F230" i="26"/>
  <c r="F229" i="26"/>
  <c r="F228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0" i="26"/>
  <c r="AN4" i="1"/>
  <c r="AN3" i="1"/>
  <c r="AN5" i="1" s="1"/>
  <c r="AM4" i="1"/>
  <c r="AM3" i="1"/>
  <c r="AM5" i="1" s="1"/>
  <c r="AH4" i="1"/>
  <c r="AH3" i="1"/>
  <c r="AG4" i="1"/>
  <c r="AG3" i="1"/>
  <c r="AF4" i="1"/>
  <c r="AF3" i="1"/>
  <c r="AC4" i="1"/>
  <c r="AC3" i="1"/>
  <c r="AB4" i="1"/>
  <c r="AB3" i="1"/>
  <c r="Z4" i="1"/>
  <c r="Z3" i="1"/>
  <c r="Y4" i="1"/>
  <c r="Y3" i="1"/>
  <c r="W4" i="1"/>
  <c r="W3" i="1"/>
  <c r="V4" i="1"/>
  <c r="V3" i="1"/>
  <c r="S4" i="1"/>
  <c r="S3" i="1"/>
  <c r="R4" i="1"/>
  <c r="R3" i="1"/>
  <c r="AD3" i="1" l="1"/>
  <c r="R5" i="1"/>
  <c r="AG5" i="1"/>
  <c r="AF5" i="1"/>
  <c r="W5" i="1"/>
  <c r="V5" i="1"/>
  <c r="AH5" i="1"/>
  <c r="Z5" i="1"/>
  <c r="AB5" i="1"/>
  <c r="S5" i="1"/>
  <c r="Y5" i="1"/>
  <c r="AC5" i="1"/>
  <c r="X4" i="1"/>
  <c r="T3" i="1"/>
  <c r="T4" i="1"/>
  <c r="AD4" i="1"/>
  <c r="AJ3" i="1"/>
  <c r="AA3" i="1"/>
  <c r="AJ4" i="1"/>
  <c r="AA4" i="1"/>
  <c r="X3" i="1"/>
  <c r="M4" i="1"/>
  <c r="M3" i="1"/>
  <c r="L4" i="1"/>
  <c r="L3" i="1"/>
  <c r="G23" i="29"/>
  <c r="AV4" i="1" s="1"/>
  <c r="G22" i="29"/>
  <c r="AV3" i="1" s="1"/>
  <c r="AT4" i="1"/>
  <c r="AT3" i="1"/>
  <c r="AS4" i="1"/>
  <c r="AS3" i="1"/>
  <c r="AR4" i="1"/>
  <c r="AR3" i="1"/>
  <c r="AQ4" i="1"/>
  <c r="I4" i="1" s="1"/>
  <c r="AQ3" i="1"/>
  <c r="I3" i="1" s="1"/>
  <c r="O4" i="1"/>
  <c r="H4" i="1" s="1"/>
  <c r="O3" i="1"/>
  <c r="O5" i="1" s="1"/>
  <c r="K4" i="1"/>
  <c r="K3" i="1"/>
  <c r="J4" i="1"/>
  <c r="J3" i="1"/>
  <c r="U3" i="1" s="1"/>
  <c r="D4" i="1"/>
  <c r="D3" i="1"/>
  <c r="AO4" i="1"/>
  <c r="AO3" i="1"/>
  <c r="H3" i="1" l="1"/>
  <c r="AO5" i="1"/>
  <c r="AV5" i="1"/>
  <c r="I5" i="1"/>
  <c r="F3" i="1"/>
  <c r="AA5" i="1"/>
  <c r="AR5" i="1"/>
  <c r="G4" i="1"/>
  <c r="L5" i="1"/>
  <c r="X5" i="1"/>
  <c r="AS5" i="1"/>
  <c r="J5" i="1"/>
  <c r="AQ5" i="1"/>
  <c r="AT5" i="1"/>
  <c r="U4" i="1"/>
  <c r="U5" i="1" s="1"/>
  <c r="K5" i="1"/>
  <c r="AD5" i="1"/>
  <c r="M5" i="1"/>
  <c r="AJ5" i="1"/>
  <c r="T5" i="1"/>
  <c r="Q4" i="1"/>
  <c r="G3" i="1"/>
  <c r="G5" i="1" s="1"/>
  <c r="F4" i="1"/>
  <c r="Q3" i="1"/>
  <c r="Q5" i="1" s="1"/>
  <c r="F5" i="1" l="1"/>
  <c r="H5" i="1"/>
  <c r="E6" i="14" l="1"/>
  <c r="E5" i="14"/>
  <c r="E4" i="14"/>
  <c r="E3" i="14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L4" i="1" l="1"/>
  <c r="AE4" i="1"/>
  <c r="AP4" i="1"/>
  <c r="AI4" i="1"/>
  <c r="AE3" i="1" l="1"/>
  <c r="AE5" i="1" s="1"/>
  <c r="AP3" i="1"/>
  <c r="AI3" i="1"/>
  <c r="AI5" i="1" s="1"/>
  <c r="AL3" i="1"/>
  <c r="AL5" i="1" s="1"/>
  <c r="E7" i="14" l="1"/>
  <c r="E8" i="14"/>
  <c r="E9" i="14"/>
  <c r="E10" i="14"/>
  <c r="AC4" i="2" l="1"/>
  <c r="M12" i="2"/>
  <c r="BA17" i="2"/>
  <c r="BF3" i="2"/>
  <c r="AT9" i="2"/>
  <c r="AD17" i="2"/>
  <c r="AQ4" i="2"/>
  <c r="AQ11" i="2" s="1"/>
  <c r="AA12" i="2"/>
  <c r="O18" i="2"/>
  <c r="BD4" i="2"/>
  <c r="AY13" i="2"/>
  <c r="AY20" i="2" s="1"/>
  <c r="AM4" i="2"/>
  <c r="AM11" i="2" s="1"/>
  <c r="S13" i="2"/>
  <c r="S20" i="2" s="1"/>
  <c r="AN4" i="2"/>
  <c r="T13" i="2"/>
  <c r="T20" i="2" s="1"/>
  <c r="BB3" i="2"/>
  <c r="AR13" i="2"/>
  <c r="AR20" i="2" s="1"/>
  <c r="AH12" i="2"/>
  <c r="AH16" i="2" s="1"/>
  <c r="AI12" i="2"/>
  <c r="R12" i="2"/>
  <c r="AN13" i="2"/>
  <c r="AN20" i="2" s="1"/>
  <c r="X17" i="2"/>
  <c r="Y17" i="2"/>
  <c r="AJ4" i="2"/>
  <c r="AD3" i="2"/>
  <c r="O4" i="2"/>
  <c r="O11" i="2" s="1"/>
  <c r="AV3" i="2"/>
  <c r="AP9" i="2"/>
  <c r="AM13" i="2"/>
  <c r="AM20" i="2" s="1"/>
  <c r="AG8" i="2"/>
  <c r="U12" i="2"/>
  <c r="AI17" i="2"/>
  <c r="BC8" i="2"/>
  <c r="AO4" i="2"/>
  <c r="AO11" i="2" s="1"/>
  <c r="Y12" i="2"/>
  <c r="M18" i="2"/>
  <c r="R4" i="2"/>
  <c r="R11" i="2" s="1"/>
  <c r="BF9" i="2"/>
  <c r="AP17" i="2"/>
  <c r="BC4" i="2"/>
  <c r="BC11" i="2" s="1"/>
  <c r="AM12" i="2"/>
  <c r="AA18" i="2"/>
  <c r="AA14" i="2" s="1"/>
  <c r="S8" i="2"/>
  <c r="N17" i="2"/>
  <c r="BE4" i="2"/>
  <c r="BE11" i="2" s="1"/>
  <c r="AK13" i="2"/>
  <c r="BF4" i="2"/>
  <c r="BF11" i="2" s="1"/>
  <c r="AL13" i="2"/>
  <c r="AL20" i="2" s="1"/>
  <c r="Z4" i="2"/>
  <c r="Z11" i="2" s="1"/>
  <c r="M17" i="2"/>
  <c r="O3" i="2"/>
  <c r="BF12" i="2"/>
  <c r="P3" i="2"/>
  <c r="BG12" i="2"/>
  <c r="AJ12" i="2"/>
  <c r="W17" i="2"/>
  <c r="AZ17" i="2"/>
  <c r="BD17" i="2"/>
  <c r="L8" i="2"/>
  <c r="T4" i="2"/>
  <c r="T11" i="2" s="1"/>
  <c r="AF3" i="2"/>
  <c r="AN3" i="2"/>
  <c r="T18" i="2"/>
  <c r="BG4" i="2"/>
  <c r="BG11" i="2" s="1"/>
  <c r="AS17" i="2"/>
  <c r="AQ13" i="2"/>
  <c r="AQ20" i="2" s="1"/>
  <c r="BA4" i="2"/>
  <c r="AK12" i="2"/>
  <c r="Y18" i="2"/>
  <c r="AD4" i="2"/>
  <c r="AD11" i="2" s="1"/>
  <c r="N12" i="2"/>
  <c r="BB17" i="2"/>
  <c r="O8" i="2"/>
  <c r="AY12" i="2"/>
  <c r="AM18" i="2"/>
  <c r="AH8" i="2"/>
  <c r="AF17" i="2"/>
  <c r="T8" i="2"/>
  <c r="AZ13" i="2"/>
  <c r="U8" i="2"/>
  <c r="BA13" i="2"/>
  <c r="BA20" i="2" s="1"/>
  <c r="AU4" i="2"/>
  <c r="AU11" i="2" s="1"/>
  <c r="AK17" i="2"/>
  <c r="AK3" i="2"/>
  <c r="AA13" i="2"/>
  <c r="AA20" i="2" s="1"/>
  <c r="AL3" i="2"/>
  <c r="AB13" i="2"/>
  <c r="Q3" i="2"/>
  <c r="H13" i="2"/>
  <c r="AY17" i="2"/>
  <c r="S3" i="2"/>
  <c r="AI18" i="2"/>
  <c r="AJ18" i="2"/>
  <c r="Y3" i="2"/>
  <c r="X8" i="2"/>
  <c r="AE3" i="2"/>
  <c r="V4" i="2"/>
  <c r="V11" i="2" s="1"/>
  <c r="AO3" i="2"/>
  <c r="AK9" i="2"/>
  <c r="AT17" i="2"/>
  <c r="N4" i="2"/>
  <c r="M8" i="2"/>
  <c r="AW12" i="2"/>
  <c r="AK18" i="2"/>
  <c r="AP4" i="2"/>
  <c r="AP11" i="2" s="1"/>
  <c r="Z12" i="2"/>
  <c r="N18" i="2"/>
  <c r="AA8" i="2"/>
  <c r="K13" i="2"/>
  <c r="AY18" i="2"/>
  <c r="AZ8" i="2"/>
  <c r="AU17" i="2"/>
  <c r="AI8" i="2"/>
  <c r="O17" i="2"/>
  <c r="AJ8" i="2"/>
  <c r="P17" i="2"/>
  <c r="P8" i="2"/>
  <c r="BF17" i="2"/>
  <c r="BC3" i="2"/>
  <c r="AV13" i="2"/>
  <c r="AV20" i="2" s="1"/>
  <c r="BD3" i="2"/>
  <c r="AW13" i="2"/>
  <c r="AM3" i="2"/>
  <c r="AC13" i="2"/>
  <c r="R3" i="2"/>
  <c r="R7" i="2" s="1"/>
  <c r="AH18" i="2"/>
  <c r="AY3" i="2"/>
  <c r="W3" i="2"/>
  <c r="P4" i="2"/>
  <c r="P11" i="2" s="1"/>
  <c r="M9" i="2"/>
  <c r="M5" i="2" s="1"/>
  <c r="U4" i="2"/>
  <c r="U11" i="2" s="1"/>
  <c r="AC8" i="2"/>
  <c r="AZ4" i="2"/>
  <c r="AZ11" i="2" s="1"/>
  <c r="S12" i="2"/>
  <c r="AF8" i="2"/>
  <c r="S18" i="2"/>
  <c r="S14" i="2" s="1"/>
  <c r="M4" i="2"/>
  <c r="AT12" i="2"/>
  <c r="U18" i="2"/>
  <c r="H17" i="2"/>
  <c r="Y8" i="2"/>
  <c r="I13" i="2"/>
  <c r="I20" i="2" s="1"/>
  <c r="AW18" i="2"/>
  <c r="BB4" i="2"/>
  <c r="BB11" i="2" s="1"/>
  <c r="AL12" i="2"/>
  <c r="Z18" i="2"/>
  <c r="AM8" i="2"/>
  <c r="W13" i="2"/>
  <c r="W20" i="2" s="1"/>
  <c r="O9" i="2"/>
  <c r="J18" i="2"/>
  <c r="BA8" i="2"/>
  <c r="AG17" i="2"/>
  <c r="BB8" i="2"/>
  <c r="AH17" i="2"/>
  <c r="AN8" i="2"/>
  <c r="X18" i="2"/>
  <c r="AA4" i="2"/>
  <c r="AA11" i="2" s="1"/>
  <c r="T17" i="2"/>
  <c r="AB4" i="2"/>
  <c r="U17" i="2"/>
  <c r="K4" i="2"/>
  <c r="K11" i="2" s="1"/>
  <c r="AX13" i="2"/>
  <c r="AX3" i="2"/>
  <c r="AH4" i="2"/>
  <c r="AZ3" i="2"/>
  <c r="W8" i="2"/>
  <c r="AR9" i="2"/>
  <c r="AB8" i="2"/>
  <c r="R9" i="2"/>
  <c r="R5" i="2" s="1"/>
  <c r="Z9" i="2"/>
  <c r="AF13" i="2"/>
  <c r="AE8" i="2"/>
  <c r="BC13" i="2"/>
  <c r="BC20" i="2" s="1"/>
  <c r="AA17" i="2"/>
  <c r="AC3" i="2"/>
  <c r="AS9" i="2"/>
  <c r="Z8" i="2"/>
  <c r="R17" i="2"/>
  <c r="BG3" i="2"/>
  <c r="BG13" i="2"/>
  <c r="BG20" i="2" s="1"/>
  <c r="AP3" i="2"/>
  <c r="AQ18" i="2"/>
  <c r="L3" i="2"/>
  <c r="AV17" i="2"/>
  <c r="BE12" i="2"/>
  <c r="AJ3" i="2"/>
  <c r="AZ18" i="2"/>
  <c r="AF18" i="2"/>
  <c r="L9" i="2"/>
  <c r="L5" i="2" s="1"/>
  <c r="AT18" i="2"/>
  <c r="N9" i="2"/>
  <c r="AE13" i="2"/>
  <c r="AE20" i="2" s="1"/>
  <c r="K12" i="2"/>
  <c r="K16" i="2" s="1"/>
  <c r="T12" i="2"/>
  <c r="J12" i="2"/>
  <c r="BA12" i="2"/>
  <c r="AY4" i="2"/>
  <c r="AO18" i="2"/>
  <c r="P9" i="2"/>
  <c r="Y4" i="2"/>
  <c r="I18" i="2"/>
  <c r="AS8" i="2"/>
  <c r="AI4" i="2"/>
  <c r="AI11" i="2" s="1"/>
  <c r="BA3" i="2"/>
  <c r="BC18" i="2"/>
  <c r="AU12" i="2"/>
  <c r="AV12" i="2"/>
  <c r="I17" i="2"/>
  <c r="Q17" i="2"/>
  <c r="AX12" i="2"/>
  <c r="AI9" i="2"/>
  <c r="V12" i="2"/>
  <c r="AE9" i="2"/>
  <c r="Q9" i="2"/>
  <c r="BB12" i="2"/>
  <c r="AB9" i="2"/>
  <c r="H9" i="2"/>
  <c r="I8" i="2"/>
  <c r="BD13" i="2"/>
  <c r="BD20" i="2" s="1"/>
  <c r="W18" i="2"/>
  <c r="AK8" i="2"/>
  <c r="I3" i="2"/>
  <c r="AZ9" i="2"/>
  <c r="AC9" i="2"/>
  <c r="AC5" i="2" s="1"/>
  <c r="AR17" i="2"/>
  <c r="AB12" i="2"/>
  <c r="AO17" i="2"/>
  <c r="V13" i="2"/>
  <c r="V20" i="2" s="1"/>
  <c r="BG9" i="2"/>
  <c r="BC12" i="2"/>
  <c r="H12" i="2"/>
  <c r="T9" i="2"/>
  <c r="AF12" i="2"/>
  <c r="BB13" i="2"/>
  <c r="BB20" i="2" s="1"/>
  <c r="AK4" i="2"/>
  <c r="AK11" i="2" s="1"/>
  <c r="I9" i="2"/>
  <c r="AH3" i="2"/>
  <c r="AH7" i="2" s="1"/>
  <c r="V3" i="2"/>
  <c r="V7" i="2" s="1"/>
  <c r="W12" i="2"/>
  <c r="I12" i="2"/>
  <c r="H3" i="2"/>
  <c r="BE9" i="2"/>
  <c r="AL8" i="2"/>
  <c r="AL18" i="2"/>
  <c r="S4" i="2"/>
  <c r="S11" i="2" s="1"/>
  <c r="S17" i="2"/>
  <c r="H4" i="2"/>
  <c r="H11" i="2" s="1"/>
  <c r="BF18" i="2"/>
  <c r="AA3" i="2"/>
  <c r="AA7" i="2" s="1"/>
  <c r="K18" i="2"/>
  <c r="M3" i="2"/>
  <c r="AW17" i="2"/>
  <c r="BF8" i="2"/>
  <c r="BA18" i="2"/>
  <c r="AJ9" i="2"/>
  <c r="AQ12" i="2"/>
  <c r="AR12" i="2"/>
  <c r="AR16" i="2" s="1"/>
  <c r="Z17" i="2"/>
  <c r="Q13" i="2"/>
  <c r="V18" i="2"/>
  <c r="AG4" i="2"/>
  <c r="AG11" i="2" s="1"/>
  <c r="AD8" i="2"/>
  <c r="X9" i="2"/>
  <c r="BB18" i="2"/>
  <c r="AT8" i="2"/>
  <c r="AV18" i="2"/>
  <c r="AF4" i="2"/>
  <c r="T3" i="2"/>
  <c r="U13" i="2"/>
  <c r="U20" i="2" s="1"/>
  <c r="AX8" i="2"/>
  <c r="AX18" i="2"/>
  <c r="AE4" i="2"/>
  <c r="AE17" i="2"/>
  <c r="W4" i="2"/>
  <c r="W11" i="2" s="1"/>
  <c r="AQ3" i="2"/>
  <c r="AC18" i="2"/>
  <c r="AB3" i="2"/>
  <c r="L18" i="2"/>
  <c r="AA9" i="2"/>
  <c r="AA5" i="2" s="1"/>
  <c r="AV4" i="2"/>
  <c r="AV11" i="2" s="1"/>
  <c r="BB9" i="2"/>
  <c r="Y13" i="2"/>
  <c r="AD13" i="2"/>
  <c r="AD20" i="2" s="1"/>
  <c r="R18" i="2"/>
  <c r="AJ17" i="2"/>
  <c r="BD8" i="2"/>
  <c r="AZ12" i="2"/>
  <c r="BA9" i="2"/>
  <c r="Y9" i="2"/>
  <c r="AG3" i="2"/>
  <c r="AG13" i="2"/>
  <c r="J9" i="2"/>
  <c r="AY8" i="2"/>
  <c r="AQ17" i="2"/>
  <c r="AL4" i="2"/>
  <c r="AL11" i="2" s="1"/>
  <c r="I4" i="2"/>
  <c r="I11" i="2" s="1"/>
  <c r="AR18" i="2"/>
  <c r="AR14" i="2" s="1"/>
  <c r="AR3" i="2"/>
  <c r="AD18" i="2"/>
  <c r="AY9" i="2"/>
  <c r="Q8" i="2"/>
  <c r="AW4" i="2"/>
  <c r="AW11" i="2" s="1"/>
  <c r="V17" i="2"/>
  <c r="K17" i="2"/>
  <c r="L17" i="2"/>
  <c r="BD18" i="2"/>
  <c r="AP18" i="2"/>
  <c r="P13" i="2"/>
  <c r="P20" i="2" s="1"/>
  <c r="AN18" i="2"/>
  <c r="AN14" i="2" s="1"/>
  <c r="AS3" i="2"/>
  <c r="AS13" i="2"/>
  <c r="V9" i="2"/>
  <c r="K9" i="2"/>
  <c r="BC17" i="2"/>
  <c r="AD9" i="2"/>
  <c r="X4" i="2"/>
  <c r="BG18" i="2"/>
  <c r="J4" i="2"/>
  <c r="J11" i="2" s="1"/>
  <c r="AS18" i="2"/>
  <c r="L12" i="2"/>
  <c r="AO8" i="2"/>
  <c r="R8" i="2"/>
  <c r="AN17" i="2"/>
  <c r="J8" i="2"/>
  <c r="X3" i="2"/>
  <c r="P18" i="2"/>
  <c r="Q18" i="2"/>
  <c r="L4" i="2"/>
  <c r="AT4" i="2"/>
  <c r="AT11" i="2" s="1"/>
  <c r="AV8" i="2"/>
  <c r="BE3" i="2"/>
  <c r="BE13" i="2"/>
  <c r="AH9" i="2"/>
  <c r="AH5" i="2" s="1"/>
  <c r="W9" i="2"/>
  <c r="AV9" i="2"/>
  <c r="AG12" i="2"/>
  <c r="BG8" i="2"/>
  <c r="AP8" i="2"/>
  <c r="AU18" i="2"/>
  <c r="AR4" i="2"/>
  <c r="AR11" i="2" s="1"/>
  <c r="Q4" i="2"/>
  <c r="Q11" i="2" s="1"/>
  <c r="AG18" i="2"/>
  <c r="AG14" i="2" s="1"/>
  <c r="K8" i="2"/>
  <c r="BE8" i="2"/>
  <c r="AM9" i="2"/>
  <c r="AN9" i="2"/>
  <c r="AC17" i="2"/>
  <c r="J13" i="2"/>
  <c r="J20" i="2" s="1"/>
  <c r="AU9" i="2"/>
  <c r="AN12" i="2"/>
  <c r="AW9" i="2"/>
  <c r="AF9" i="2"/>
  <c r="Z13" i="2"/>
  <c r="AR8" i="2"/>
  <c r="BD9" i="2"/>
  <c r="AQ9" i="2"/>
  <c r="S9" i="2"/>
  <c r="AW8" i="2"/>
  <c r="U3" i="2"/>
  <c r="J3" i="2"/>
  <c r="AX9" i="2"/>
  <c r="P12" i="2"/>
  <c r="AD12" i="2"/>
  <c r="BE18" i="2"/>
  <c r="AH13" i="2"/>
  <c r="AH20" i="2" s="1"/>
  <c r="O12" i="2"/>
  <c r="R13" i="2"/>
  <c r="R20" i="2" s="1"/>
  <c r="BD12" i="2"/>
  <c r="BD16" i="2" s="1"/>
  <c r="N3" i="2"/>
  <c r="AL17" i="2"/>
  <c r="Q12" i="2"/>
  <c r="BC9" i="2"/>
  <c r="AW3" i="2"/>
  <c r="O13" i="2"/>
  <c r="O20" i="2" s="1"/>
  <c r="V8" i="2"/>
  <c r="AP12" i="2"/>
  <c r="AU8" i="2"/>
  <c r="U9" i="2"/>
  <c r="AE12" i="2"/>
  <c r="AX17" i="2"/>
  <c r="AO13" i="2"/>
  <c r="AO20" i="2" s="1"/>
  <c r="N13" i="2"/>
  <c r="BE17" i="2"/>
  <c r="AS4" i="2"/>
  <c r="AS11" i="2" s="1"/>
  <c r="AT3" i="2"/>
  <c r="K3" i="2"/>
  <c r="BG17" i="2"/>
  <c r="AM17" i="2"/>
  <c r="AC12" i="2"/>
  <c r="H8" i="2"/>
  <c r="AB17" i="2"/>
  <c r="AS12" i="2"/>
  <c r="AU3" i="2"/>
  <c r="AO12" i="2"/>
  <c r="N8" i="2"/>
  <c r="Z3" i="2"/>
  <c r="AE18" i="2"/>
  <c r="H18" i="2"/>
  <c r="L13" i="2"/>
  <c r="L20" i="2" s="1"/>
  <c r="AL9" i="2"/>
  <c r="AI3" i="2"/>
  <c r="AI13" i="2"/>
  <c r="AU13" i="2"/>
  <c r="AU20" i="2" s="1"/>
  <c r="AO9" i="2"/>
  <c r="AT13" i="2"/>
  <c r="AT20" i="2" s="1"/>
  <c r="AJ13" i="2"/>
  <c r="AJ20" i="2" s="1"/>
  <c r="BF13" i="2"/>
  <c r="AB18" i="2"/>
  <c r="AX4" i="2"/>
  <c r="AX11" i="2" s="1"/>
  <c r="X12" i="2"/>
  <c r="AQ8" i="2"/>
  <c r="M13" i="2"/>
  <c r="X13" i="2"/>
  <c r="X20" i="2" s="1"/>
  <c r="AG9" i="2"/>
  <c r="J17" i="2"/>
  <c r="AP13" i="2"/>
  <c r="N3" i="1"/>
  <c r="AC7" i="2" l="1"/>
  <c r="U14" i="2"/>
  <c r="AQ5" i="2"/>
  <c r="H14" i="2"/>
  <c r="Z14" i="2"/>
  <c r="M16" i="2"/>
  <c r="AB14" i="2"/>
  <c r="J7" i="2"/>
  <c r="AG16" i="2"/>
  <c r="V5" i="2"/>
  <c r="X14" i="2"/>
  <c r="AE7" i="2"/>
  <c r="M14" i="2"/>
  <c r="Q16" i="2"/>
  <c r="AV5" i="2"/>
  <c r="AQ7" i="2"/>
  <c r="M7" i="2"/>
  <c r="Y16" i="2"/>
  <c r="AS5" i="2"/>
  <c r="BD5" i="2"/>
  <c r="AS14" i="2"/>
  <c r="AG5" i="2"/>
  <c r="I7" i="2"/>
  <c r="AO14" i="2"/>
  <c r="J14" i="2"/>
  <c r="AT16" i="2"/>
  <c r="BG16" i="2"/>
  <c r="BG14" i="2"/>
  <c r="BB5" i="2"/>
  <c r="O5" i="2"/>
  <c r="AT5" i="2"/>
  <c r="T7" i="2"/>
  <c r="AL14" i="2"/>
  <c r="T5" i="2"/>
  <c r="BA16" i="2"/>
  <c r="Q7" i="2"/>
  <c r="BF16" i="2"/>
  <c r="AP5" i="2"/>
  <c r="BF7" i="2"/>
  <c r="AU14" i="2"/>
  <c r="AV16" i="2"/>
  <c r="AM7" i="2"/>
  <c r="AK5" i="2"/>
  <c r="O7" i="2"/>
  <c r="AM5" i="2"/>
  <c r="I14" i="2"/>
  <c r="AJ14" i="2"/>
  <c r="AN16" i="2"/>
  <c r="P14" i="2"/>
  <c r="AV14" i="2"/>
  <c r="AY14" i="2"/>
  <c r="AO7" i="2"/>
  <c r="AE14" i="2"/>
  <c r="AT7" i="2"/>
  <c r="AU5" i="2"/>
  <c r="X7" i="2"/>
  <c r="Y5" i="2"/>
  <c r="BC14" i="2"/>
  <c r="AL16" i="2"/>
  <c r="BD7" i="2"/>
  <c r="AW15" i="2"/>
  <c r="AW20" i="2"/>
  <c r="Y15" i="2"/>
  <c r="Y20" i="2"/>
  <c r="N15" i="2"/>
  <c r="N20" i="2"/>
  <c r="AS15" i="2"/>
  <c r="AS20" i="2"/>
  <c r="Z15" i="2"/>
  <c r="Z20" i="2"/>
  <c r="BE15" i="2"/>
  <c r="BE20" i="2"/>
  <c r="AF15" i="2"/>
  <c r="AF20" i="2"/>
  <c r="AX15" i="2"/>
  <c r="AX20" i="2"/>
  <c r="BF15" i="2"/>
  <c r="BF20" i="2"/>
  <c r="AI15" i="2"/>
  <c r="AI20" i="2"/>
  <c r="K15" i="2"/>
  <c r="K20" i="2"/>
  <c r="AZ15" i="2"/>
  <c r="AZ20" i="2"/>
  <c r="AC15" i="2"/>
  <c r="AC20" i="2"/>
  <c r="AB15" i="2"/>
  <c r="AB20" i="2"/>
  <c r="AK15" i="2"/>
  <c r="AK20" i="2"/>
  <c r="H15" i="2"/>
  <c r="H20" i="2"/>
  <c r="AO16" i="2"/>
  <c r="Q15" i="2"/>
  <c r="Q20" i="2"/>
  <c r="M15" i="2"/>
  <c r="M20" i="2"/>
  <c r="AP15" i="2"/>
  <c r="AP20" i="2"/>
  <c r="AG15" i="2"/>
  <c r="AG20" i="2"/>
  <c r="X6" i="2"/>
  <c r="X11" i="2"/>
  <c r="AB6" i="2"/>
  <c r="AB11" i="2"/>
  <c r="BA6" i="2"/>
  <c r="BA11" i="2"/>
  <c r="AJ6" i="2"/>
  <c r="AJ11" i="2"/>
  <c r="AN6" i="2"/>
  <c r="AN11" i="2"/>
  <c r="L6" i="2"/>
  <c r="L11" i="2"/>
  <c r="AY6" i="2"/>
  <c r="AY11" i="2"/>
  <c r="N6" i="2"/>
  <c r="N11" i="2"/>
  <c r="BD6" i="2"/>
  <c r="BD11" i="2"/>
  <c r="AE6" i="2"/>
  <c r="AE11" i="2"/>
  <c r="AF6" i="2"/>
  <c r="AF11" i="2"/>
  <c r="Y6" i="2"/>
  <c r="Y11" i="2"/>
  <c r="AH6" i="2"/>
  <c r="AH11" i="2"/>
  <c r="M6" i="2"/>
  <c r="M11" i="2"/>
  <c r="AC6" i="2"/>
  <c r="AC11" i="2"/>
  <c r="AD15" i="2"/>
  <c r="T16" i="2"/>
  <c r="AM14" i="2"/>
  <c r="W16" i="2"/>
  <c r="AZ5" i="2"/>
  <c r="J6" i="2"/>
  <c r="W14" i="2"/>
  <c r="H5" i="2"/>
  <c r="AW5" i="2"/>
  <c r="W7" i="2"/>
  <c r="BB14" i="2"/>
  <c r="V16" i="2"/>
  <c r="U5" i="2"/>
  <c r="U7" i="2"/>
  <c r="BB16" i="2"/>
  <c r="Z7" i="2"/>
  <c r="Q5" i="2"/>
  <c r="Z5" i="2"/>
  <c r="O15" i="2"/>
  <c r="AW7" i="2"/>
  <c r="W5" i="2"/>
  <c r="S6" i="2"/>
  <c r="AL7" i="2"/>
  <c r="T14" i="2"/>
  <c r="BE6" i="2"/>
  <c r="AM16" i="2"/>
  <c r="AL5" i="2"/>
  <c r="AX5" i="2"/>
  <c r="V14" i="2"/>
  <c r="I6" i="2"/>
  <c r="U15" i="2"/>
  <c r="AD5" i="2"/>
  <c r="AZ7" i="2"/>
  <c r="AX7" i="2"/>
  <c r="AP14" i="2"/>
  <c r="Z16" i="2"/>
  <c r="U16" i="2"/>
  <c r="BE14" i="2"/>
  <c r="I5" i="2"/>
  <c r="AF14" i="2"/>
  <c r="AU6" i="2"/>
  <c r="AJ16" i="2"/>
  <c r="AF16" i="2"/>
  <c r="AB7" i="2"/>
  <c r="R15" i="2"/>
  <c r="AN5" i="2"/>
  <c r="AR6" i="2"/>
  <c r="AD14" i="2"/>
  <c r="P6" i="2"/>
  <c r="K7" i="2"/>
  <c r="L14" i="2"/>
  <c r="BG6" i="2"/>
  <c r="AO6" i="2"/>
  <c r="AR7" i="2"/>
  <c r="BA5" i="2"/>
  <c r="AV6" i="2"/>
  <c r="AQ16" i="2"/>
  <c r="AI5" i="2"/>
  <c r="L7" i="2"/>
  <c r="AY16" i="2"/>
  <c r="AN7" i="2"/>
  <c r="AX14" i="2"/>
  <c r="AX16" i="2"/>
  <c r="BB6" i="2"/>
  <c r="X15" i="2"/>
  <c r="AV7" i="2"/>
  <c r="K6" i="2"/>
  <c r="AO15" i="2"/>
  <c r="AE15" i="2"/>
  <c r="AI6" i="2"/>
  <c r="AY15" i="2"/>
  <c r="L15" i="2"/>
  <c r="K5" i="2"/>
  <c r="AR5" i="2"/>
  <c r="AQ15" i="2"/>
  <c r="N7" i="2"/>
  <c r="AJ7" i="2"/>
  <c r="AD16" i="2"/>
  <c r="AJ5" i="2"/>
  <c r="AB5" i="2"/>
  <c r="N14" i="2"/>
  <c r="J15" i="2"/>
  <c r="J5" i="2"/>
  <c r="AS6" i="2"/>
  <c r="O16" i="2"/>
  <c r="L16" i="2"/>
  <c r="AZ16" i="2"/>
  <c r="H7" i="2"/>
  <c r="BC16" i="2"/>
  <c r="N5" i="2"/>
  <c r="AV15" i="2"/>
  <c r="AK14" i="2"/>
  <c r="V6" i="2"/>
  <c r="AI14" i="2"/>
  <c r="AD6" i="2"/>
  <c r="T6" i="2"/>
  <c r="Z6" i="2"/>
  <c r="AL15" i="2"/>
  <c r="AI16" i="2"/>
  <c r="AA16" i="2"/>
  <c r="BC7" i="2"/>
  <c r="AW16" i="2"/>
  <c r="S7" i="2"/>
  <c r="BF6" i="2"/>
  <c r="BF5" i="2"/>
  <c r="R16" i="2"/>
  <c r="AQ6" i="2"/>
  <c r="S16" i="2"/>
  <c r="AA15" i="2"/>
  <c r="Y14" i="2"/>
  <c r="AF7" i="2"/>
  <c r="R6" i="2"/>
  <c r="AR15" i="2"/>
  <c r="AC14" i="2"/>
  <c r="K14" i="2"/>
  <c r="H16" i="2"/>
  <c r="AB16" i="2"/>
  <c r="BD15" i="2"/>
  <c r="P5" i="2"/>
  <c r="AQ14" i="2"/>
  <c r="AW14" i="2"/>
  <c r="AP6" i="2"/>
  <c r="BA15" i="2"/>
  <c r="P7" i="2"/>
  <c r="BC6" i="2"/>
  <c r="AN15" i="2"/>
  <c r="S15" i="2"/>
  <c r="AO5" i="2"/>
  <c r="AU7" i="2"/>
  <c r="AP16" i="2"/>
  <c r="AH15" i="2"/>
  <c r="S5" i="2"/>
  <c r="AT6" i="2"/>
  <c r="AS7" i="2"/>
  <c r="AY5" i="2"/>
  <c r="AG6" i="2"/>
  <c r="BE5" i="2"/>
  <c r="J16" i="2"/>
  <c r="AP7" i="2"/>
  <c r="AA6" i="2"/>
  <c r="I15" i="2"/>
  <c r="AY7" i="2"/>
  <c r="Y7" i="2"/>
  <c r="N16" i="2"/>
  <c r="O6" i="2"/>
  <c r="AM6" i="2"/>
  <c r="O14" i="2"/>
  <c r="X16" i="2"/>
  <c r="AU15" i="2"/>
  <c r="BE7" i="2"/>
  <c r="AG7" i="2"/>
  <c r="AJ15" i="2"/>
  <c r="P15" i="2"/>
  <c r="BD14" i="2"/>
  <c r="R14" i="2"/>
  <c r="AK6" i="2"/>
  <c r="AT15" i="2"/>
  <c r="AE16" i="2"/>
  <c r="P16" i="2"/>
  <c r="AF5" i="2"/>
  <c r="Q6" i="2"/>
  <c r="BA14" i="2"/>
  <c r="BF14" i="2"/>
  <c r="I16" i="2"/>
  <c r="BG5" i="2"/>
  <c r="AU16" i="2"/>
  <c r="AZ14" i="2"/>
  <c r="BE16" i="2"/>
  <c r="BG15" i="2"/>
  <c r="BC15" i="2"/>
  <c r="AX6" i="2"/>
  <c r="AI7" i="2"/>
  <c r="AS16" i="2"/>
  <c r="AC16" i="2"/>
  <c r="BC5" i="2"/>
  <c r="Q14" i="2"/>
  <c r="AW6" i="2"/>
  <c r="AL6" i="2"/>
  <c r="W6" i="2"/>
  <c r="X5" i="2"/>
  <c r="H6" i="2"/>
  <c r="BB15" i="2"/>
  <c r="V15" i="2"/>
  <c r="AE5" i="2"/>
  <c r="BA7" i="2"/>
  <c r="AT14" i="2"/>
  <c r="BG7" i="2"/>
  <c r="W15" i="2"/>
  <c r="AZ6" i="2"/>
  <c r="U6" i="2"/>
  <c r="AH14" i="2"/>
  <c r="AK7" i="2"/>
  <c r="AK16" i="2"/>
  <c r="AM15" i="2"/>
  <c r="AD7" i="2"/>
  <c r="BB7" i="2"/>
  <c r="T15" i="2"/>
  <c r="N4" i="1"/>
  <c r="N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keepAlive="1" name="Query - Item Information" description="Connection to the 'Item Information' query in the workbook." type="5" refreshedVersion="6" background="1" saveData="1">
    <dbPr connection="Provider=Microsoft.Mashup.OleDb.1;Data Source=$Workbook$;Location=Item Information;Extended Properties=&quot;&quot;" command="SELECT * FROM [Item Information]"/>
  </connection>
</connections>
</file>

<file path=xl/sharedStrings.xml><?xml version="1.0" encoding="utf-8"?>
<sst xmlns="http://schemas.openxmlformats.org/spreadsheetml/2006/main" count="1056" uniqueCount="343">
  <si>
    <r>
      <t xml:space="preserve">Sales | </t>
    </r>
    <r>
      <rPr>
        <b/>
        <sz val="20"/>
        <color rgb="FF212A40"/>
        <rFont val="Calibri"/>
        <family val="2"/>
        <scheme val="minor"/>
      </rPr>
      <t>Weekly Summary</t>
    </r>
  </si>
  <si>
    <t>Prime Item Nbr</t>
  </si>
  <si>
    <t>Prime Item Desc</t>
  </si>
  <si>
    <t>Vendor Stk Nbr</t>
  </si>
  <si>
    <t>UPC</t>
  </si>
  <si>
    <t>Effective Date</t>
  </si>
  <si>
    <t xml:space="preserve"> Unit Cost</t>
  </si>
  <si>
    <t xml:space="preserve"> Unit Retail</t>
  </si>
  <si>
    <t xml:space="preserve"> Avg Retail</t>
  </si>
  <si>
    <t xml:space="preserve"> MU %</t>
  </si>
  <si>
    <t xml:space="preserve"> Curr Traited Store/Item Comb</t>
  </si>
  <si>
    <t xml:space="preserve"> Curr Repl Instock %</t>
  </si>
  <si>
    <t xml:space="preserve"> LW POS Qty</t>
  </si>
  <si>
    <t xml:space="preserve"> LY LW POS Qty</t>
  </si>
  <si>
    <t xml:space="preserve"> LW Sales Qty Chng</t>
  </si>
  <si>
    <t xml:space="preserve"> LW POS Sales</t>
  </si>
  <si>
    <t xml:space="preserve"> LY LW POS Sales</t>
  </si>
  <si>
    <t xml:space="preserve"> LW Sales Chng</t>
  </si>
  <si>
    <t xml:space="preserve"> YTD POS Qty</t>
  </si>
  <si>
    <t xml:space="preserve"> LY YTD POS Qty</t>
  </si>
  <si>
    <t xml:space="preserve"> YTD Sales Qty Chng</t>
  </si>
  <si>
    <t xml:space="preserve"> YTD POS Sales</t>
  </si>
  <si>
    <t xml:space="preserve"> LY YTD POS Sales</t>
  </si>
  <si>
    <t xml:space="preserve"> YTD Sales Chng</t>
  </si>
  <si>
    <t xml:space="preserve"> Wkly Sell Thru %</t>
  </si>
  <si>
    <t xml:space="preserve"> YTD Sell Thru %</t>
  </si>
  <si>
    <t xml:space="preserve"> LW U/S/W</t>
  </si>
  <si>
    <t xml:space="preserve"> LW $/S/W</t>
  </si>
  <si>
    <t xml:space="preserve"> LW Gross Ship Qty</t>
  </si>
  <si>
    <t xml:space="preserve"> YTD Gross Ship Qty</t>
  </si>
  <si>
    <t xml:space="preserve"> LW Total Customer Item Return</t>
  </si>
  <si>
    <t xml:space="preserve"> LW Total Return Rate</t>
  </si>
  <si>
    <t xml:space="preserve"> YTD Def Rate (sales)</t>
  </si>
  <si>
    <t xml:space="preserve"> YTD Total Customer Item Return</t>
  </si>
  <si>
    <t xml:space="preserve"> YTD Total Return Rate</t>
  </si>
  <si>
    <t xml:space="preserve"> LW SI Total MUMD $</t>
  </si>
  <si>
    <t xml:space="preserve"> YTD SI Total MUMD $</t>
  </si>
  <si>
    <t xml:space="preserve"> 52/53 WK FC Units</t>
  </si>
  <si>
    <t xml:space="preserve"> Frcst WOS</t>
  </si>
  <si>
    <t xml:space="preserve"> Curr Str On Hand Qty</t>
  </si>
  <si>
    <t xml:space="preserve"> Curr Str In Transit Qty</t>
  </si>
  <si>
    <t xml:space="preserve"> Curr Str In Whse Qty</t>
  </si>
  <si>
    <t xml:space="preserve"> Curr Str On Order Qty</t>
  </si>
  <si>
    <t xml:space="preserve"> Curr Whse On Hand Qty</t>
  </si>
  <si>
    <t xml:space="preserve"> Curr Whse SS Order Qty</t>
  </si>
  <si>
    <r>
      <t xml:space="preserve">Replenishment | </t>
    </r>
    <r>
      <rPr>
        <b/>
        <sz val="20"/>
        <color rgb="FF212A40"/>
        <rFont val="Calibri"/>
        <family val="2"/>
        <scheme val="minor"/>
      </rPr>
      <t>All Item Detail</t>
    </r>
  </si>
  <si>
    <t>Data Type</t>
  </si>
  <si>
    <t>Acct Dept Nbr</t>
  </si>
  <si>
    <t>A</t>
  </si>
  <si>
    <t>Avg Price</t>
  </si>
  <si>
    <t>Warehouse Turns</t>
  </si>
  <si>
    <t>Cost On Hand</t>
  </si>
  <si>
    <t>Cost On Order</t>
  </si>
  <si>
    <t>Retail Dollar Inventory</t>
  </si>
  <si>
    <t>Cost Dollar Inventory</t>
  </si>
  <si>
    <t>Repl Instock %</t>
  </si>
  <si>
    <t>Unit Turns</t>
  </si>
  <si>
    <t>Maintain Margin %</t>
  </si>
  <si>
    <t>Net Maintain Margin %</t>
  </si>
  <si>
    <t>Net Maintained Margin $</t>
  </si>
  <si>
    <t>GMROII</t>
  </si>
  <si>
    <t xml:space="preserve">Unique </t>
  </si>
  <si>
    <t>POS Qty</t>
  </si>
  <si>
    <t>Units per Store per Week (w/zeros)</t>
  </si>
  <si>
    <t>Grand Totals</t>
  </si>
  <si>
    <t>LW POS Cost</t>
  </si>
  <si>
    <t>573415018POS Sales</t>
  </si>
  <si>
    <t>573415018POS Qty</t>
  </si>
  <si>
    <t>573415018USW</t>
  </si>
  <si>
    <t>573415018Avg Price</t>
  </si>
  <si>
    <t>573415018Avg Traited Store/Item Comb.</t>
  </si>
  <si>
    <t>20</t>
  </si>
  <si>
    <t>POS Qty if Instock</t>
  </si>
  <si>
    <t>Forecast</t>
  </si>
  <si>
    <t>Variance</t>
  </si>
  <si>
    <t>573415018POS Qty if Instock</t>
  </si>
  <si>
    <t>573415018Forecast</t>
  </si>
  <si>
    <t>573415019Variance</t>
  </si>
  <si>
    <t>NA</t>
  </si>
  <si>
    <t>573415018Avg Instock %</t>
  </si>
  <si>
    <t>Last Week</t>
  </si>
  <si>
    <t>Current Month</t>
  </si>
  <si>
    <t>Last Month</t>
  </si>
  <si>
    <t>Year</t>
  </si>
  <si>
    <t>Q1</t>
  </si>
  <si>
    <t>Q2</t>
  </si>
  <si>
    <t>Q3</t>
  </si>
  <si>
    <t>Q4</t>
  </si>
  <si>
    <t>TY</t>
  </si>
  <si>
    <t>LY</t>
  </si>
  <si>
    <t>Diff</t>
  </si>
  <si>
    <t>Store Sales</t>
  </si>
  <si>
    <t>POS Sales in dollars</t>
  </si>
  <si>
    <t>Comp Sales in dollars</t>
  </si>
  <si>
    <t>POS Sales in Units</t>
  </si>
  <si>
    <t>AUR (Avg Unit Retail)</t>
  </si>
  <si>
    <t>Store Returns as % of POS Sales</t>
  </si>
  <si>
    <t>Store Inventory</t>
  </si>
  <si>
    <t>Retail turns</t>
  </si>
  <si>
    <t>Store Weeks of Supply/ Weeks on Hand</t>
  </si>
  <si>
    <t>Ships at Retail</t>
  </si>
  <si>
    <t>Ships at cost</t>
  </si>
  <si>
    <t>DC Inventory</t>
  </si>
  <si>
    <t>Ships At Cost WHSE</t>
  </si>
  <si>
    <t>Warehouse Weeks of Supply/Weeks on Hand</t>
  </si>
  <si>
    <t>Margins and Markdowns</t>
  </si>
  <si>
    <t>Gross Initial Margin %</t>
  </si>
  <si>
    <t>MUMD Dollars</t>
  </si>
  <si>
    <t>MUMD Percent To Sales</t>
  </si>
  <si>
    <t>prime_item_number</t>
  </si>
  <si>
    <t>all_links_item_description</t>
  </si>
  <si>
    <t>vendor_stock_id</t>
  </si>
  <si>
    <t>all_links_item_desc_1</t>
  </si>
  <si>
    <t>walmart_calendar_week</t>
  </si>
  <si>
    <t>final_fcst_each_qty</t>
  </si>
  <si>
    <t>Row Labels</t>
  </si>
  <si>
    <t>(blank)</t>
  </si>
  <si>
    <t>Grand Total</t>
  </si>
  <si>
    <t>Sum of final_fcst_each_qty</t>
  </si>
  <si>
    <t>Total</t>
  </si>
  <si>
    <t>store_on_order_quantity_this_year</t>
  </si>
  <si>
    <t>store_in_warehouse_quantity_this_year</t>
  </si>
  <si>
    <t>store_in_transit_quantity_this_year</t>
  </si>
  <si>
    <t>store_on_hand_quantity_this_year_eop</t>
  </si>
  <si>
    <t>repl_instock_percentage_this_year_eop</t>
  </si>
  <si>
    <t>traited_store_count_this_year</t>
  </si>
  <si>
    <t>warehouse_pack_width_quantity</t>
  </si>
  <si>
    <t>warehouse_pack_length_quantity</t>
  </si>
  <si>
    <t>warehouse_pack_height_quantity</t>
  </si>
  <si>
    <t>warehouse_pack_weight_quantity</t>
  </si>
  <si>
    <t>vendor_pack_width_quantity</t>
  </si>
  <si>
    <t>vendor_pack_length_quantity</t>
  </si>
  <si>
    <t>vendor_pack_height_quantity</t>
  </si>
  <si>
    <t>vendor_pack_weight_quantity</t>
  </si>
  <si>
    <t>item_width_quantity</t>
  </si>
  <si>
    <t>item_length_quantity</t>
  </si>
  <si>
    <t>item_height_quantity</t>
  </si>
  <si>
    <t>item_weight_quantity</t>
  </si>
  <si>
    <t>item_cube_quantity</t>
  </si>
  <si>
    <t>consumer_id</t>
  </si>
  <si>
    <t>fineline_number</t>
  </si>
  <si>
    <t>fineline_description</t>
  </si>
  <si>
    <t>omni_subcategory_description</t>
  </si>
  <si>
    <t>omni_category_group_description</t>
  </si>
  <si>
    <t>omni_department_description</t>
  </si>
  <si>
    <t>accounting_department_number</t>
  </si>
  <si>
    <t>buyer_name</t>
  </si>
  <si>
    <t>vendor_sequence_number</t>
  </si>
  <si>
    <t>vendor_name</t>
  </si>
  <si>
    <t>vendor_number</t>
  </si>
  <si>
    <t>warehouse_pack_quantity</t>
  </si>
  <si>
    <t>vendor_pack_cost_amount</t>
  </si>
  <si>
    <t>vendor_pack_quantity</t>
  </si>
  <si>
    <t>brand_name</t>
  </si>
  <si>
    <t>size_description</t>
  </si>
  <si>
    <t>color_description</t>
  </si>
  <si>
    <t>cancel_when_out_indicator</t>
  </si>
  <si>
    <t>item_replenishment_indicator</t>
  </si>
  <si>
    <t>item_status_code</t>
  </si>
  <si>
    <t>item_type_code</t>
  </si>
  <si>
    <t>warehouse_alignment_type_code</t>
  </si>
  <si>
    <t>base_unit_retail_amount</t>
  </si>
  <si>
    <t>unit_cost_amount</t>
  </si>
  <si>
    <t>item_order_effective_date</t>
  </si>
  <si>
    <t>item_start_date</t>
  </si>
  <si>
    <t>walmart_upc_number</t>
  </si>
  <si>
    <t>consumer_item_description</t>
  </si>
  <si>
    <t>warehouse_pack_quantity_this_year</t>
  </si>
  <si>
    <t>warehouse_packs_on_order_this_year</t>
  </si>
  <si>
    <t>Eaches On Order</t>
  </si>
  <si>
    <t>POS Sales $</t>
  </si>
  <si>
    <t>Instock</t>
  </si>
  <si>
    <t>LW_pos_quantity_this_year</t>
  </si>
  <si>
    <t>LW_pos_quantity_last_year</t>
  </si>
  <si>
    <t>LW_pos_sales_this_year</t>
  </si>
  <si>
    <t>LW_pos_sales_last_year</t>
  </si>
  <si>
    <t>LW_units_per_str_with_sales_per_week_or_per_day_ty</t>
  </si>
  <si>
    <t>LW_units_per_str_with_sales_per_week_or_per_day_ly</t>
  </si>
  <si>
    <t>LW_dollar_per_str_with_sales_per_week_or_per_day_ty</t>
  </si>
  <si>
    <t>LW_dollar_per_str_with_sales_per_week_or_per_day_ly</t>
  </si>
  <si>
    <t>LW_gross_receipt_quantity_this_year</t>
  </si>
  <si>
    <t>LW_gross_receipt_quantity_last_year</t>
  </si>
  <si>
    <t>LW_total_store_customer_returns_amount_defective_this_year</t>
  </si>
  <si>
    <t>LW_total_store_customer_returns_amount_defective_last_year</t>
  </si>
  <si>
    <t>LW_total_store_customer_returns_quantity_defective_this_year</t>
  </si>
  <si>
    <t>LW_total_store_customer_returns_quantity_defective_last_year</t>
  </si>
  <si>
    <t>LW_total_store_customer_returns_quantity_this_year</t>
  </si>
  <si>
    <t>LW_total_store_customer_returns_quantity_last_year</t>
  </si>
  <si>
    <t>LW_total_store_customer_returns_amount_this_year</t>
  </si>
  <si>
    <t>LW_total_store_customer_returns_amount_last_year</t>
  </si>
  <si>
    <t>YTD_pos_quantity_this_year</t>
  </si>
  <si>
    <t>YTD_pos_quantity_last_year</t>
  </si>
  <si>
    <t>YTD_pos_sales_this_year</t>
  </si>
  <si>
    <t>YTD_pos_sales_last_year</t>
  </si>
  <si>
    <t>YTD_units_per_str_with_sales_per_week_or_per_day_ty</t>
  </si>
  <si>
    <t>YTD_units_per_str_with_sales_per_week_or_per_day_ly</t>
  </si>
  <si>
    <t>YTD_dollar_per_str_with_sales_per_week_or_per_day_ty</t>
  </si>
  <si>
    <t>YTD_dollar_per_str_with_sales_per_week_or_per_day_ly</t>
  </si>
  <si>
    <t>YTD_gross_receipt_quantity_this_year</t>
  </si>
  <si>
    <t>YTD_gross_receipt_quantity_last_year</t>
  </si>
  <si>
    <t>YTD_total_store_customer_returns_amount_defective_this_year</t>
  </si>
  <si>
    <t>YTD_total_store_customer_returns_amount_defective_last_year</t>
  </si>
  <si>
    <t>YTD_total_store_customer_returns_quantity_defective_this_year</t>
  </si>
  <si>
    <t>YTD_total_store_customer_returns_quantity_defective_last_year</t>
  </si>
  <si>
    <t>YTD_total_store_customer_returns_quantity_this_year</t>
  </si>
  <si>
    <t>YTD_total_store_customer_returns_quantity_last_year</t>
  </si>
  <si>
    <t>YTD_total_store_customer_returns_amount_this_year</t>
  </si>
  <si>
    <t>YTD_total_store_customer_returns_amount_last_year</t>
  </si>
  <si>
    <t>Traited Stores</t>
  </si>
  <si>
    <t>LW_mumd_amount_this_year</t>
  </si>
  <si>
    <t>LW_mumd_amount_last_year</t>
  </si>
  <si>
    <t>YTD_mumd_amount_this_year</t>
  </si>
  <si>
    <t>YTD_mumd_amount_last_year</t>
  </si>
  <si>
    <t>Column Labels</t>
  </si>
  <si>
    <t>Frcst Wk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</si>
  <si>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</si>
  <si>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</si>
  <si>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</si>
  <si>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</si>
  <si>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</si>
  <si>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</si>
  <si>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</si>
  <si>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</si>
  <si>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</si>
  <si>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</si>
  <si>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</si>
  <si>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</si>
  <si>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</si>
  <si>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</si>
  <si>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</si>
  <si>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</si>
  <si>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</si>
  <si>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</si>
  <si>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</si>
  <si>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</si>
  <si>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</si>
  <si>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</si>
  <si>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</si>
  <si>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</si>
  <si>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</si>
  <si>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</si>
  <si>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</si>
  <si>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</si>
  <si>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</si>
  <si>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</si>
  <si>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</si>
  <si>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</si>
  <si>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</si>
  <si>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</si>
  <si>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</si>
  <si>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</si>
  <si>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</si>
  <si>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</si>
  <si>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</si>
  <si>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</si>
  <si>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</si>
  <si>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</si>
  <si>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</si>
  <si>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</si>
  <si>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</si>
  <si>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</si>
  <si>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</si>
  <si>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</si>
  <si>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</si>
  <si>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</si>
  <si>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</si>
  <si>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(202501-202513/202401-202413)</t>
  </si>
  <si>
    <t>(202514-202526/202414-202426)</t>
  </si>
  <si>
    <t>(202527-202539/202427-202439)</t>
  </si>
  <si>
    <t>(202540-202552/202440-202452)</t>
  </si>
  <si>
    <t>Store Returns in dollars</t>
  </si>
  <si>
    <t>WH</t>
  </si>
  <si>
    <t>Traited Store LY</t>
  </si>
  <si>
    <t>LW Store Count Chg %</t>
  </si>
  <si>
    <t>traited_store_count_last_year</t>
  </si>
  <si>
    <t>BLACK</t>
  </si>
  <si>
    <t>pos_sales_this_year</t>
  </si>
  <si>
    <t>pos_quantity_this_year</t>
  </si>
  <si>
    <t>WOW Increase/Decrease</t>
  </si>
  <si>
    <t>Total Sales $</t>
  </si>
  <si>
    <t>Total TSC</t>
  </si>
  <si>
    <t>Total Sales Units per Week</t>
  </si>
  <si>
    <t>YTD $/P/W</t>
  </si>
  <si>
    <t>YTD AUR</t>
  </si>
  <si>
    <t>LW</t>
  </si>
  <si>
    <t>For last week</t>
  </si>
  <si>
    <t>For last 4 weeks</t>
  </si>
  <si>
    <t>Year to Date</t>
  </si>
  <si>
    <t>Change</t>
  </si>
  <si>
    <t>$ sales</t>
  </si>
  <si>
    <t>Units</t>
  </si>
  <si>
    <t>AUR</t>
  </si>
  <si>
    <t>BIS sales</t>
  </si>
  <si>
    <t>Digital</t>
  </si>
  <si>
    <t>Vendor Scorecard  - Vendor 122289 / AQUASONIC LLC</t>
  </si>
  <si>
    <t>AQUASONIC WFLS PREC</t>
  </si>
  <si>
    <t>AS-PREC-FLOS-BK</t>
  </si>
  <si>
    <t>AquaSonic</t>
  </si>
  <si>
    <t>AQUASONIC LLC</t>
  </si>
  <si>
    <t>PERSONAL CARE</t>
  </si>
  <si>
    <t>ORAL CARE</t>
  </si>
  <si>
    <t>WATER FLOSSERS</t>
  </si>
  <si>
    <t>BASE WATER FLOSSERS</t>
  </si>
  <si>
    <t>AS TOOTHBRUSH</t>
  </si>
  <si>
    <t>AS-PREC-TB-BK</t>
  </si>
  <si>
    <t>PORTABLE WATER FLOSSERS</t>
  </si>
  <si>
    <t>202532_traited_store_count_this_year</t>
  </si>
  <si>
    <t>202532_repl_instock_percentage_this_year_eop</t>
  </si>
  <si>
    <t>202532_store_on_hand_quantity_this_year_eop</t>
  </si>
  <si>
    <t>202532_store_in_transit_quantity_this_year</t>
  </si>
  <si>
    <t>202532_store_in_warehouse_quantity_this_year</t>
  </si>
  <si>
    <t>202532_store_on_order_quantity_this_year</t>
  </si>
  <si>
    <t>202532_traited_store_count_last_year</t>
  </si>
  <si>
    <t>677410826</t>
  </si>
  <si>
    <t>679250386</t>
  </si>
  <si>
    <t>679250397</t>
  </si>
  <si>
    <t>677536463</t>
  </si>
  <si>
    <t>0085007565805</t>
  </si>
  <si>
    <t>0085007565803</t>
  </si>
  <si>
    <t>0085007565821</t>
  </si>
  <si>
    <t>0085007565801</t>
  </si>
  <si>
    <t>AquaSonic Precision Rechargeable Cordless Water Flosser with Travel Bag and 2 Standard Flossing Tips - Black</t>
  </si>
  <si>
    <t>Aquasonic Precision Ultra Whitening Rechargeable Toothbrush with 4 ProFlex Brush Heads &amp; Travel Case, ADA Accepted, 5 Modes, Wireless Charging, 50,000 VPM Power, Rose Gold</t>
  </si>
  <si>
    <t>Aquasonic Precision Flosser, Rechargeable Cordless Water Flosser with 4 Modes, 8 Pressure Levels, 2 Tips &amp; Travel Bag, White</t>
  </si>
  <si>
    <t>AquaSonic Precision Ultra-Whitening Rechargeable Electric Toothbrush, 5 Modes, 30-day Battery, Travel case + 4 ProFlex Brush Heads - Black</t>
  </si>
  <si>
    <t>Prime Item Number</t>
  </si>
  <si>
    <t>Item Desc</t>
  </si>
  <si>
    <t>Content Score</t>
  </si>
  <si>
    <t>AQUASONIC PRECISION</t>
  </si>
  <si>
    <t>AS-PREC-FLOS-WH</t>
  </si>
  <si>
    <t>G1</t>
  </si>
  <si>
    <t>WHITE</t>
  </si>
  <si>
    <t>Aquasonic LLC</t>
  </si>
  <si>
    <t>DOTCOM ONLY</t>
  </si>
  <si>
    <t>AS-PREC-TB-RG</t>
  </si>
  <si>
    <t>GOLD</t>
  </si>
  <si>
    <t>(202536-202539/202437-202440)</t>
  </si>
  <si>
    <t>BATTERY TOOTHBRUSHES</t>
  </si>
  <si>
    <t>Blake Barron</t>
  </si>
  <si>
    <t>Shawn Townzen</t>
  </si>
  <si>
    <t>(202542-202542/202443-202443)</t>
  </si>
  <si>
    <t>(202540-202543/202441-202444)</t>
  </si>
  <si>
    <t>(202501-202543/202402-202444)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</si>
</sst>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0.0%"/>
    <numFmt numFmtId="167" formatCode="\$#,##0.00"/>
    <numFmt numFmtId="168" formatCode="0.00%;[Red]0.00%"/>
    <numFmt numFmtId="169" formatCode="yyyy\-mm\-dd"/>
    <numFmt numFmtId="170" formatCode="_(* #,##0_);_(* \(#,##0\);_(* &quot;-&quot;??_);_(@_)"/>
    <numFmt numFmtId="171" formatCode="_(&quot;$&quot;* #,##0_);_(&quot;$&quot;* \(#,##0\);_(&quot;$&quot;* &quot;-&quot;??_);_(@_)"/>
  </numFmts>
  <fonts count="4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0"/>
      <color theme="1" tint="0.34998626667073579"/>
      <name val="Calibri"/>
      <family val="2"/>
      <scheme val="minor"/>
    </font>
    <font>
      <b/>
      <sz val="20"/>
      <color rgb="FF212A4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Helv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0" tint="-0.1499984740745262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name val="Calibri"/>
      <family val="2"/>
      <scheme val="minor"/>
    </font>
    <font>
      <sz val="12"/>
      <color theme="9"/>
      <name val="Calibri"/>
      <family val="2"/>
      <scheme val="minor"/>
    </font>
    <font>
      <b/>
      <sz val="12"/>
      <name val="Calibri"/>
      <family val="2"/>
      <scheme val="minor"/>
    </font>
    <font>
      <sz val="9"/>
      <color rgb="FF242424"/>
      <name val="Segoe UI"/>
      <family val="2"/>
    </font>
    <font>
      <sz val="12"/>
      <color rgb="FF000000"/>
      <name val="Aptos"/>
      <family val="2"/>
    </font>
    <font>
      <b/>
      <sz val="12"/>
      <color rgb="FF000000"/>
      <name val="Inherit"/>
    </font>
    <font>
      <b/>
      <i/>
      <sz val="12"/>
      <color rgb="FF000000"/>
      <name val="Inherit"/>
    </font>
    <font>
      <b/>
      <sz val="11"/>
      <name val="Calibri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95B3D7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6">
    <xf numFmtId="0" fontId="0" fillId="0" borderId="0"/>
    <xf numFmtId="9" fontId="3" fillId="0" borderId="0" applyFont="0" applyFill="0" applyBorder="0" applyAlignment="0" applyProtection="0"/>
    <xf numFmtId="0" fontId="11" fillId="0" borderId="0"/>
    <xf numFmtId="0" fontId="12" fillId="0" borderId="0" applyProtection="0"/>
    <xf numFmtId="9" fontId="11" fillId="0" borderId="0" applyFont="0" applyFill="0" applyBorder="0" applyAlignment="0" applyProtection="0"/>
    <xf numFmtId="0" fontId="18" fillId="0" borderId="0"/>
    <xf numFmtId="0" fontId="19" fillId="0" borderId="0"/>
    <xf numFmtId="0" fontId="2" fillId="0" borderId="0"/>
    <xf numFmtId="9" fontId="2" fillId="0" borderId="0" applyFont="0" applyFill="0" applyBorder="0" applyAlignment="0" applyProtection="0"/>
    <xf numFmtId="0" fontId="10" fillId="0" borderId="0"/>
    <xf numFmtId="0" fontId="21" fillId="0" borderId="0"/>
    <xf numFmtId="0" fontId="22" fillId="0" borderId="0"/>
    <xf numFmtId="0" fontId="31" fillId="0" borderId="0"/>
    <xf numFmtId="0" fontId="33" fillId="8" borderId="17" applyNumberFormat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71">
    <xf numFmtId="0" fontId="0" fillId="0" borderId="0" xfId="0"/>
    <xf numFmtId="0" fontId="7" fillId="0" borderId="0" xfId="0" applyFont="1" applyAlignment="1">
      <alignment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vertical="center"/>
    </xf>
    <xf numFmtId="10" fontId="0" fillId="0" borderId="0" xfId="1" applyNumberFormat="1" applyFont="1"/>
    <xf numFmtId="0" fontId="5" fillId="0" borderId="0" xfId="0" applyFont="1" applyAlignment="1">
      <alignment vertical="center"/>
    </xf>
    <xf numFmtId="164" fontId="6" fillId="2" borderId="0" xfId="0" applyNumberFormat="1" applyFont="1" applyFill="1" applyAlignment="1">
      <alignment horizontal="center" vertical="center" wrapText="1"/>
    </xf>
    <xf numFmtId="10" fontId="6" fillId="2" borderId="0" xfId="1" applyNumberFormat="1" applyFont="1" applyFill="1" applyAlignment="1">
      <alignment horizontal="center" vertical="center" wrapText="1"/>
    </xf>
    <xf numFmtId="3" fontId="6" fillId="2" borderId="0" xfId="0" applyNumberFormat="1" applyFont="1" applyFill="1" applyAlignment="1">
      <alignment horizontal="center" vertical="center" wrapText="1"/>
    </xf>
    <xf numFmtId="9" fontId="0" fillId="0" borderId="0" xfId="1" applyFont="1"/>
    <xf numFmtId="9" fontId="6" fillId="2" borderId="0" xfId="1" applyFont="1" applyFill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9" fontId="6" fillId="2" borderId="0" xfId="0" applyNumberFormat="1" applyFont="1" applyFill="1" applyAlignment="1">
      <alignment horizontal="center" vertical="center" wrapText="1"/>
    </xf>
    <xf numFmtId="9" fontId="0" fillId="0" borderId="0" xfId="0" applyNumberFormat="1" applyAlignment="1">
      <alignment horizontal="center"/>
    </xf>
    <xf numFmtId="166" fontId="0" fillId="0" borderId="0" xfId="1" applyNumberFormat="1" applyFont="1"/>
    <xf numFmtId="166" fontId="6" fillId="2" borderId="0" xfId="1" applyNumberFormat="1" applyFont="1" applyFill="1" applyAlignment="1">
      <alignment horizontal="center" vertical="center" wrapText="1"/>
    </xf>
    <xf numFmtId="0" fontId="11" fillId="0" borderId="0" xfId="2"/>
    <xf numFmtId="3" fontId="16" fillId="0" borderId="0" xfId="3" applyNumberFormat="1" applyFont="1" applyAlignment="1" applyProtection="1">
      <alignment horizontal="center"/>
      <protection locked="0"/>
    </xf>
    <xf numFmtId="0" fontId="11" fillId="0" borderId="0" xfId="2" applyAlignment="1">
      <alignment horizontal="center"/>
    </xf>
    <xf numFmtId="0" fontId="17" fillId="0" borderId="9" xfId="3" applyFont="1" applyBorder="1" applyAlignment="1" applyProtection="1">
      <alignment horizontal="center" vertical="top" wrapText="1"/>
      <protection locked="0"/>
    </xf>
    <xf numFmtId="0" fontId="17" fillId="0" borderId="3" xfId="3" applyFont="1" applyBorder="1" applyAlignment="1" applyProtection="1">
      <alignment horizontal="center" vertical="top" wrapText="1"/>
      <protection locked="0"/>
    </xf>
    <xf numFmtId="0" fontId="14" fillId="0" borderId="0" xfId="3" applyFont="1" applyAlignment="1" applyProtection="1">
      <alignment horizontal="center"/>
      <protection locked="0"/>
    </xf>
    <xf numFmtId="0" fontId="4" fillId="0" borderId="0" xfId="0" applyFont="1"/>
    <xf numFmtId="0" fontId="4" fillId="0" borderId="0" xfId="0" applyFont="1" applyAlignment="1">
      <alignment vertical="center"/>
    </xf>
    <xf numFmtId="0" fontId="15" fillId="6" borderId="6" xfId="3" applyFont="1" applyFill="1" applyBorder="1" applyAlignment="1" applyProtection="1">
      <alignment horizontal="left"/>
      <protection locked="0"/>
    </xf>
    <xf numFmtId="0" fontId="15" fillId="3" borderId="6" xfId="3" applyFont="1" applyFill="1" applyBorder="1" applyAlignment="1" applyProtection="1">
      <alignment horizontal="left"/>
      <protection locked="0"/>
    </xf>
    <xf numFmtId="3" fontId="16" fillId="3" borderId="0" xfId="1" applyNumberFormat="1" applyFont="1" applyFill="1" applyAlignment="1" applyProtection="1">
      <alignment horizontal="center"/>
      <protection locked="0"/>
    </xf>
    <xf numFmtId="0" fontId="14" fillId="4" borderId="8" xfId="3" applyFont="1" applyFill="1" applyBorder="1" applyAlignment="1" applyProtection="1">
      <alignment horizontal="left"/>
      <protection locked="0"/>
    </xf>
    <xf numFmtId="0" fontId="15" fillId="7" borderId="10" xfId="3" applyFont="1" applyFill="1" applyBorder="1" applyAlignment="1" applyProtection="1">
      <alignment horizontal="left"/>
      <protection locked="0"/>
    </xf>
    <xf numFmtId="0" fontId="15" fillId="4" borderId="4" xfId="3" applyFont="1" applyFill="1" applyBorder="1" applyAlignment="1" applyProtection="1">
      <alignment horizontal="left"/>
      <protection locked="0"/>
    </xf>
    <xf numFmtId="164" fontId="16" fillId="0" borderId="5" xfId="3" applyNumberFormat="1" applyFont="1" applyBorder="1" applyAlignment="1" applyProtection="1">
      <alignment horizontal="center"/>
      <protection locked="0"/>
    </xf>
    <xf numFmtId="0" fontId="15" fillId="5" borderId="6" xfId="3" applyFont="1" applyFill="1" applyBorder="1" applyAlignment="1" applyProtection="1">
      <alignment horizontal="left"/>
      <protection locked="0"/>
    </xf>
    <xf numFmtId="3" fontId="15" fillId="6" borderId="0" xfId="3" applyNumberFormat="1" applyFont="1" applyFill="1" applyAlignment="1" applyProtection="1">
      <alignment horizontal="center" vertical="center"/>
      <protection locked="0"/>
    </xf>
    <xf numFmtId="0" fontId="15" fillId="4" borderId="6" xfId="3" applyFont="1" applyFill="1" applyBorder="1" applyAlignment="1" applyProtection="1">
      <alignment horizontal="left"/>
      <protection locked="0"/>
    </xf>
    <xf numFmtId="0" fontId="13" fillId="2" borderId="1" xfId="3" applyFont="1" applyFill="1" applyBorder="1" applyAlignment="1" applyProtection="1">
      <alignment horizontal="center" vertical="top" wrapText="1"/>
      <protection locked="0"/>
    </xf>
    <xf numFmtId="0" fontId="13" fillId="2" borderId="2" xfId="3" applyFont="1" applyFill="1" applyBorder="1" applyAlignment="1" applyProtection="1">
      <alignment horizontal="center" vertical="top" wrapText="1"/>
      <protection locked="0"/>
    </xf>
    <xf numFmtId="0" fontId="13" fillId="2" borderId="3" xfId="3" applyFont="1" applyFill="1" applyBorder="1" applyAlignment="1" applyProtection="1">
      <alignment horizontal="left" vertical="top" wrapText="1"/>
      <protection locked="0"/>
    </xf>
    <xf numFmtId="0" fontId="13" fillId="2" borderId="3" xfId="3" applyFont="1" applyFill="1" applyBorder="1" applyAlignment="1" applyProtection="1">
      <alignment horizontal="center" vertical="top" wrapText="1"/>
      <protection locked="0"/>
    </xf>
    <xf numFmtId="0" fontId="14" fillId="4" borderId="4" xfId="3" applyFont="1" applyFill="1" applyBorder="1" applyAlignment="1" applyProtection="1">
      <alignment horizontal="left"/>
      <protection locked="0"/>
    </xf>
    <xf numFmtId="0" fontId="14" fillId="4" borderId="6" xfId="3" applyFont="1" applyFill="1" applyBorder="1" applyAlignment="1" applyProtection="1">
      <alignment horizontal="left"/>
      <protection locked="0"/>
    </xf>
    <xf numFmtId="164" fontId="16" fillId="0" borderId="0" xfId="3" applyNumberFormat="1" applyFont="1" applyAlignment="1" applyProtection="1">
      <alignment horizontal="center"/>
      <protection locked="0"/>
    </xf>
    <xf numFmtId="9" fontId="16" fillId="0" borderId="0" xfId="3" applyNumberFormat="1" applyFont="1" applyAlignment="1" applyProtection="1">
      <alignment horizontal="center"/>
      <protection locked="0"/>
    </xf>
    <xf numFmtId="3" fontId="16" fillId="5" borderId="0" xfId="3" applyNumberFormat="1" applyFont="1" applyFill="1" applyAlignment="1" applyProtection="1">
      <alignment horizontal="center"/>
      <protection locked="0"/>
    </xf>
    <xf numFmtId="0" fontId="20" fillId="3" borderId="0" xfId="0" applyFont="1" applyFill="1" applyAlignment="1">
      <alignment horizontal="center"/>
    </xf>
    <xf numFmtId="0" fontId="9" fillId="0" borderId="0" xfId="0" applyFont="1" applyProtection="1">
      <protection locked="0"/>
    </xf>
    <xf numFmtId="10" fontId="1" fillId="7" borderId="11" xfId="0" applyNumberFormat="1" applyFont="1" applyFill="1" applyBorder="1" applyAlignment="1">
      <alignment horizontal="center"/>
    </xf>
    <xf numFmtId="0" fontId="24" fillId="0" borderId="0" xfId="0" applyFont="1" applyProtection="1">
      <protection locked="0"/>
    </xf>
    <xf numFmtId="0" fontId="25" fillId="0" borderId="0" xfId="0" applyFont="1" applyProtection="1">
      <protection locked="0"/>
    </xf>
    <xf numFmtId="0" fontId="26" fillId="0" borderId="0" xfId="0" applyFont="1" applyProtection="1">
      <protection locked="0"/>
    </xf>
    <xf numFmtId="0" fontId="2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9" fillId="0" borderId="0" xfId="0" applyFont="1" applyProtection="1">
      <protection locked="0"/>
    </xf>
    <xf numFmtId="0" fontId="30" fillId="0" borderId="0" xfId="0" applyFont="1" applyProtection="1">
      <protection locked="0"/>
    </xf>
    <xf numFmtId="0" fontId="32" fillId="4" borderId="0" xfId="3" applyFont="1" applyFill="1" applyAlignment="1" applyProtection="1">
      <alignment horizontal="center"/>
      <protection locked="0"/>
    </xf>
    <xf numFmtId="0" fontId="32" fillId="4" borderId="7" xfId="3" applyFont="1" applyFill="1" applyBorder="1" applyAlignment="1" applyProtection="1">
      <alignment horizontal="center"/>
      <protection locked="0"/>
    </xf>
    <xf numFmtId="0" fontId="17" fillId="4" borderId="0" xfId="3" applyFont="1" applyFill="1" applyAlignment="1" applyProtection="1">
      <alignment horizontal="center"/>
      <protection locked="0"/>
    </xf>
    <xf numFmtId="4" fontId="16" fillId="0" borderId="0" xfId="3" applyNumberFormat="1" applyFont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34" fillId="0" borderId="18" xfId="0" applyFont="1" applyBorder="1" applyAlignment="1">
      <alignment horizontal="center" vertical="top"/>
    </xf>
    <xf numFmtId="167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169" fontId="0" fillId="0" borderId="0" xfId="0" applyNumberFormat="1"/>
    <xf numFmtId="14" fontId="0" fillId="0" borderId="0" xfId="0" applyNumberFormat="1" applyAlignment="1">
      <alignment horizontal="center"/>
    </xf>
    <xf numFmtId="0" fontId="33" fillId="8" borderId="17" xfId="13" applyAlignment="1">
      <alignment horizontal="center" vertical="top"/>
    </xf>
    <xf numFmtId="0" fontId="0" fillId="0" borderId="0" xfId="0" applyAlignment="1">
      <alignment horizontal="center" wrapText="1"/>
    </xf>
    <xf numFmtId="0" fontId="17" fillId="0" borderId="19" xfId="3" applyFont="1" applyBorder="1" applyAlignment="1" applyProtection="1">
      <alignment horizontal="center" vertical="top" wrapText="1"/>
      <protection locked="0"/>
    </xf>
    <xf numFmtId="0" fontId="6" fillId="4" borderId="0" xfId="0" applyFont="1" applyFill="1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14" xfId="0" applyBorder="1"/>
    <xf numFmtId="0" fontId="0" fillId="0" borderId="22" xfId="0" applyBorder="1"/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8" fontId="0" fillId="0" borderId="14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15" xfId="0" applyBorder="1"/>
    <xf numFmtId="0" fontId="0" fillId="0" borderId="16" xfId="0" applyBorder="1"/>
    <xf numFmtId="167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/>
    </xf>
    <xf numFmtId="0" fontId="35" fillId="0" borderId="15" xfId="0" applyFont="1" applyBorder="1" applyAlignment="1">
      <alignment horizontal="center"/>
    </xf>
    <xf numFmtId="0" fontId="35" fillId="0" borderId="16" xfId="0" applyFont="1" applyBorder="1" applyAlignment="1">
      <alignment horizontal="center"/>
    </xf>
    <xf numFmtId="44" fontId="36" fillId="9" borderId="0" xfId="15" applyFont="1" applyFill="1" applyAlignment="1">
      <alignment vertical="center"/>
    </xf>
    <xf numFmtId="170" fontId="36" fillId="9" borderId="0" xfId="14" applyNumberFormat="1" applyFont="1" applyFill="1" applyAlignment="1">
      <alignment vertical="center"/>
    </xf>
    <xf numFmtId="10" fontId="36" fillId="9" borderId="0" xfId="0" applyNumberFormat="1" applyFont="1" applyFill="1" applyAlignment="1">
      <alignment vertical="center"/>
    </xf>
    <xf numFmtId="10" fontId="37" fillId="9" borderId="0" xfId="0" applyNumberFormat="1" applyFont="1" applyFill="1" applyAlignment="1">
      <alignment vertical="center"/>
    </xf>
    <xf numFmtId="9" fontId="36" fillId="2" borderId="0" xfId="1" applyFont="1" applyFill="1" applyAlignment="1">
      <alignment horizontal="center"/>
    </xf>
    <xf numFmtId="3" fontId="36" fillId="2" borderId="0" xfId="0" applyNumberFormat="1" applyFont="1" applyFill="1" applyAlignment="1">
      <alignment horizontal="center"/>
    </xf>
    <xf numFmtId="44" fontId="36" fillId="2" borderId="0" xfId="15" applyFont="1" applyFill="1" applyAlignment="1">
      <alignment horizontal="center"/>
    </xf>
    <xf numFmtId="9" fontId="36" fillId="2" borderId="0" xfId="0" applyNumberFormat="1" applyFont="1" applyFill="1" applyAlignment="1">
      <alignment horizontal="center"/>
    </xf>
    <xf numFmtId="10" fontId="36" fillId="2" borderId="0" xfId="0" applyNumberFormat="1" applyFont="1" applyFill="1" applyAlignment="1">
      <alignment horizontal="center"/>
    </xf>
    <xf numFmtId="37" fontId="36" fillId="2" borderId="0" xfId="15" applyNumberFormat="1" applyFont="1" applyFill="1" applyAlignment="1">
      <alignment horizontal="center"/>
    </xf>
    <xf numFmtId="9" fontId="36" fillId="0" borderId="0" xfId="1" applyFont="1" applyFill="1" applyAlignment="1">
      <alignment horizontal="center"/>
    </xf>
    <xf numFmtId="44" fontId="36" fillId="0" borderId="0" xfId="15" applyFont="1" applyFill="1" applyAlignment="1">
      <alignment horizontal="center"/>
    </xf>
    <xf numFmtId="37" fontId="36" fillId="0" borderId="0" xfId="15" applyNumberFormat="1" applyFont="1" applyFill="1" applyAlignment="1">
      <alignment horizontal="center"/>
    </xf>
    <xf numFmtId="9" fontId="36" fillId="2" borderId="0" xfId="14" applyNumberFormat="1" applyFont="1" applyFill="1" applyAlignment="1">
      <alignment horizontal="center"/>
    </xf>
    <xf numFmtId="165" fontId="36" fillId="2" borderId="0" xfId="1" applyNumberFormat="1" applyFont="1" applyFill="1" applyAlignment="1">
      <alignment horizontal="center"/>
    </xf>
    <xf numFmtId="171" fontId="36" fillId="2" borderId="0" xfId="15" applyNumberFormat="1" applyFont="1" applyFill="1" applyAlignment="1">
      <alignment horizontal="center"/>
    </xf>
    <xf numFmtId="10" fontId="38" fillId="2" borderId="0" xfId="1" applyNumberFormat="1" applyFont="1" applyFill="1" applyAlignment="1">
      <alignment horizontal="center"/>
    </xf>
    <xf numFmtId="164" fontId="36" fillId="2" borderId="0" xfId="1" applyNumberFormat="1" applyFont="1" applyFill="1" applyAlignment="1">
      <alignment horizontal="center"/>
    </xf>
    <xf numFmtId="10" fontId="38" fillId="0" borderId="0" xfId="1" applyNumberFormat="1" applyFont="1" applyFill="1" applyAlignment="1">
      <alignment horizontal="center"/>
    </xf>
    <xf numFmtId="164" fontId="38" fillId="0" borderId="0" xfId="0" applyNumberFormat="1" applyFont="1" applyAlignment="1">
      <alignment horizontal="center"/>
    </xf>
    <xf numFmtId="164" fontId="36" fillId="0" borderId="0" xfId="1" applyNumberFormat="1" applyFont="1" applyFill="1" applyAlignment="1">
      <alignment horizontal="center"/>
    </xf>
    <xf numFmtId="3" fontId="36" fillId="0" borderId="0" xfId="0" applyNumberFormat="1" applyFont="1" applyAlignment="1">
      <alignment horizontal="center"/>
    </xf>
    <xf numFmtId="9" fontId="36" fillId="0" borderId="0" xfId="14" applyNumberFormat="1" applyFont="1" applyFill="1" applyAlignment="1">
      <alignment horizontal="center"/>
    </xf>
    <xf numFmtId="165" fontId="36" fillId="0" borderId="0" xfId="1" applyNumberFormat="1" applyFont="1" applyFill="1" applyAlignment="1">
      <alignment horizontal="center"/>
    </xf>
    <xf numFmtId="9" fontId="36" fillId="0" borderId="0" xfId="0" applyNumberFormat="1" applyFont="1" applyAlignment="1">
      <alignment horizontal="center"/>
    </xf>
    <xf numFmtId="10" fontId="36" fillId="0" borderId="0" xfId="0" applyNumberFormat="1" applyFont="1" applyAlignment="1">
      <alignment horizontal="center"/>
    </xf>
    <xf numFmtId="171" fontId="36" fillId="0" borderId="0" xfId="15" applyNumberFormat="1" applyFont="1" applyFill="1" applyAlignment="1">
      <alignment horizontal="center"/>
    </xf>
    <xf numFmtId="2" fontId="38" fillId="2" borderId="0" xfId="1" applyNumberFormat="1" applyFont="1" applyFill="1" applyAlignment="1">
      <alignment horizontal="center"/>
    </xf>
    <xf numFmtId="2" fontId="38" fillId="0" borderId="0" xfId="1" applyNumberFormat="1" applyFont="1" applyFill="1" applyAlignment="1">
      <alignment horizontal="center"/>
    </xf>
    <xf numFmtId="4" fontId="38" fillId="0" borderId="0" xfId="0" applyNumberFormat="1" applyFont="1" applyAlignment="1">
      <alignment horizontal="center"/>
    </xf>
    <xf numFmtId="9" fontId="38" fillId="2" borderId="0" xfId="1" applyFont="1" applyFill="1" applyAlignment="1">
      <alignment horizontal="center"/>
    </xf>
    <xf numFmtId="1" fontId="36" fillId="2" borderId="0" xfId="1" applyNumberFormat="1" applyFont="1" applyFill="1" applyAlignment="1">
      <alignment horizontal="center"/>
    </xf>
    <xf numFmtId="0" fontId="39" fillId="10" borderId="0" xfId="0" applyFont="1" applyFill="1"/>
    <xf numFmtId="0" fontId="40" fillId="10" borderId="31" xfId="0" applyFont="1" applyFill="1" applyBorder="1" applyAlignment="1">
      <alignment horizontal="left" vertical="center" wrapText="1" readingOrder="1"/>
    </xf>
    <xf numFmtId="0" fontId="41" fillId="11" borderId="30" xfId="0" applyFont="1" applyFill="1" applyBorder="1" applyAlignment="1">
      <alignment horizontal="center" vertical="center" wrapText="1" readingOrder="1"/>
    </xf>
    <xf numFmtId="0" fontId="41" fillId="11" borderId="26" xfId="0" applyFont="1" applyFill="1" applyBorder="1" applyAlignment="1">
      <alignment horizontal="center" vertical="center" wrapText="1" readingOrder="1"/>
    </xf>
    <xf numFmtId="0" fontId="41" fillId="12" borderId="30" xfId="0" applyFont="1" applyFill="1" applyBorder="1" applyAlignment="1">
      <alignment horizontal="center" vertical="center" wrapText="1" readingOrder="1"/>
    </xf>
    <xf numFmtId="0" fontId="41" fillId="12" borderId="26" xfId="0" applyFont="1" applyFill="1" applyBorder="1" applyAlignment="1">
      <alignment horizontal="center" vertical="center" wrapText="1" readingOrder="1"/>
    </xf>
    <xf numFmtId="0" fontId="41" fillId="13" borderId="30" xfId="0" applyFont="1" applyFill="1" applyBorder="1" applyAlignment="1">
      <alignment horizontal="center" vertical="center" wrapText="1" readingOrder="1"/>
    </xf>
    <xf numFmtId="0" fontId="41" fillId="14" borderId="31" xfId="0" applyFont="1" applyFill="1" applyBorder="1" applyAlignment="1">
      <alignment horizontal="left" vertical="center" wrapText="1" readingOrder="1"/>
    </xf>
    <xf numFmtId="8" fontId="40" fillId="10" borderId="30" xfId="0" applyNumberFormat="1" applyFont="1" applyFill="1" applyBorder="1" applyAlignment="1">
      <alignment horizontal="center" vertical="center" wrapText="1" readingOrder="1"/>
    </xf>
    <xf numFmtId="9" fontId="40" fillId="10" borderId="30" xfId="0" applyNumberFormat="1" applyFont="1" applyFill="1" applyBorder="1" applyAlignment="1">
      <alignment horizontal="center" vertical="center" wrapText="1" readingOrder="1"/>
    </xf>
    <xf numFmtId="0" fontId="40" fillId="10" borderId="30" xfId="0" applyFont="1" applyFill="1" applyBorder="1" applyAlignment="1">
      <alignment horizontal="center" vertical="center" wrapText="1" readingOrder="1"/>
    </xf>
    <xf numFmtId="3" fontId="40" fillId="10" borderId="30" xfId="0" applyNumberFormat="1" applyFont="1" applyFill="1" applyBorder="1" applyAlignment="1">
      <alignment horizontal="center" vertical="center" wrapText="1" readingOrder="1"/>
    </xf>
    <xf numFmtId="164" fontId="38" fillId="2" borderId="0" xfId="1" applyNumberFormat="1" applyFont="1" applyFill="1" applyAlignment="1">
      <alignment horizontal="center"/>
    </xf>
    <xf numFmtId="9" fontId="40" fillId="10" borderId="30" xfId="1" applyFont="1" applyFill="1" applyBorder="1" applyAlignment="1">
      <alignment horizontal="center" vertical="center" wrapText="1" readingOrder="1"/>
    </xf>
    <xf numFmtId="164" fontId="40" fillId="10" borderId="30" xfId="15" applyNumberFormat="1" applyFont="1" applyFill="1" applyBorder="1" applyAlignment="1">
      <alignment horizontal="center" vertical="center" wrapText="1" readingOrder="1"/>
    </xf>
    <xf numFmtId="0" fontId="43" fillId="0" borderId="21" xfId="0" applyFont="1" applyBorder="1" applyAlignment="1">
      <alignment horizontal="center"/>
    </xf>
    <xf numFmtId="10" fontId="44" fillId="9" borderId="0" xfId="0" applyNumberFormat="1" applyFont="1" applyFill="1" applyAlignment="1">
      <alignment vertical="center"/>
    </xf>
    <xf numFmtId="10" fontId="45" fillId="9" borderId="0" xfId="0" applyNumberFormat="1" applyFont="1" applyFill="1" applyAlignment="1">
      <alignment vertical="center"/>
    </xf>
    <xf numFmtId="0" fontId="35" fillId="0" borderId="12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35" fillId="0" borderId="0" xfId="0" applyFont="1" applyAlignment="1">
      <alignment horizontal="center"/>
    </xf>
    <xf numFmtId="0" fontId="0" fillId="0" borderId="0" xfId="0"/>
    <xf numFmtId="0" fontId="0" fillId="0" borderId="14" xfId="0" applyBorder="1"/>
    <xf numFmtId="0" fontId="42" fillId="11" borderId="23" xfId="0" applyFont="1" applyFill="1" applyBorder="1" applyAlignment="1">
      <alignment horizontal="center" vertical="center" wrapText="1" readingOrder="1"/>
    </xf>
    <xf numFmtId="0" fontId="42" fillId="11" borderId="24" xfId="0" applyFont="1" applyFill="1" applyBorder="1" applyAlignment="1">
      <alignment horizontal="center" vertical="center" wrapText="1" readingOrder="1"/>
    </xf>
    <xf numFmtId="0" fontId="42" fillId="11" borderId="25" xfId="0" applyFont="1" applyFill="1" applyBorder="1" applyAlignment="1">
      <alignment horizontal="center" vertical="center" wrapText="1" readingOrder="1"/>
    </xf>
    <xf numFmtId="0" fontId="42" fillId="11" borderId="26" xfId="0" applyFont="1" applyFill="1" applyBorder="1" applyAlignment="1">
      <alignment horizontal="center" vertical="center" wrapText="1" readingOrder="1"/>
    </xf>
    <xf numFmtId="0" fontId="42" fillId="12" borderId="27" xfId="0" applyFont="1" applyFill="1" applyBorder="1" applyAlignment="1">
      <alignment horizontal="center" vertical="center" wrapText="1" readingOrder="1"/>
    </xf>
    <xf numFmtId="0" fontId="42" fillId="12" borderId="23" xfId="0" applyFont="1" applyFill="1" applyBorder="1" applyAlignment="1">
      <alignment horizontal="center" vertical="center" wrapText="1" readingOrder="1"/>
    </xf>
    <xf numFmtId="0" fontId="42" fillId="12" borderId="24" xfId="0" applyFont="1" applyFill="1" applyBorder="1" applyAlignment="1">
      <alignment horizontal="center" vertical="center" wrapText="1" readingOrder="1"/>
    </xf>
    <xf numFmtId="0" fontId="42" fillId="12" borderId="28" xfId="0" applyFont="1" applyFill="1" applyBorder="1" applyAlignment="1">
      <alignment horizontal="center" vertical="center" wrapText="1" readingOrder="1"/>
    </xf>
    <xf numFmtId="0" fontId="42" fillId="12" borderId="25" xfId="0" applyFont="1" applyFill="1" applyBorder="1" applyAlignment="1">
      <alignment horizontal="center" vertical="center" wrapText="1" readingOrder="1"/>
    </xf>
    <xf numFmtId="0" fontId="42" fillId="12" borderId="26" xfId="0" applyFont="1" applyFill="1" applyBorder="1" applyAlignment="1">
      <alignment horizontal="center" vertical="center" wrapText="1" readingOrder="1"/>
    </xf>
    <xf numFmtId="0" fontId="42" fillId="13" borderId="27" xfId="0" applyFont="1" applyFill="1" applyBorder="1" applyAlignment="1">
      <alignment horizontal="center" vertical="center" wrapText="1" readingOrder="1"/>
    </xf>
    <xf numFmtId="0" fontId="42" fillId="13" borderId="23" xfId="0" applyFont="1" applyFill="1" applyBorder="1" applyAlignment="1">
      <alignment horizontal="center" vertical="center" wrapText="1" readingOrder="1"/>
    </xf>
    <xf numFmtId="0" fontId="42" fillId="13" borderId="29" xfId="0" applyFont="1" applyFill="1" applyBorder="1" applyAlignment="1">
      <alignment horizontal="center" vertical="center" wrapText="1" readingOrder="1"/>
    </xf>
    <xf numFmtId="0" fontId="42" fillId="13" borderId="28" xfId="0" applyFont="1" applyFill="1" applyBorder="1" applyAlignment="1">
      <alignment horizontal="center" vertical="center" wrapText="1" readingOrder="1"/>
    </xf>
    <xf numFmtId="0" fontId="42" fillId="13" borderId="25" xfId="0" applyFont="1" applyFill="1" applyBorder="1" applyAlignment="1">
      <alignment horizontal="center" vertical="center" wrapText="1" readingOrder="1"/>
    </xf>
    <xf numFmtId="0" fontId="42" fillId="13" borderId="30" xfId="0" applyFont="1" applyFill="1" applyBorder="1" applyAlignment="1">
      <alignment horizontal="center" vertical="center" wrapText="1" readingOrder="1"/>
    </xf>
  </cellXfs>
  <cellStyles count="16">
    <cellStyle name="Calculation" xfId="13" builtinId="22"/>
    <cellStyle name="Comma" xfId="14" builtinId="3"/>
    <cellStyle name="Currency" xfId="15" builtinId="4"/>
    <cellStyle name="Normal" xfId="0" builtinId="0"/>
    <cellStyle name="Normal 2" xfId="2" xr:uid="{74D47AC1-435B-194C-BEFA-BA9323D5D3E7}"/>
    <cellStyle name="Normal 2 2" xfId="3" xr:uid="{B3835F61-6203-9944-831B-24D645A5235D}"/>
    <cellStyle name="Normal 2 3" xfId="7" xr:uid="{76D87903-5D0E-4E7B-8599-5A5ECC407250}"/>
    <cellStyle name="Normal 3" xfId="5" xr:uid="{BDF58893-F489-40E5-B29E-50C7B3B471B2}"/>
    <cellStyle name="Normal 3 2" xfId="9" xr:uid="{9ACAA7C7-FDB1-4084-83EE-C22606A5117C}"/>
    <cellStyle name="Normal 4" xfId="6" xr:uid="{056D4FF5-E35E-4AD2-92DA-7E19FED8F9D0}"/>
    <cellStyle name="Normal 5" xfId="10" xr:uid="{D453C93F-4F4F-414F-B613-2844B43C86A1}"/>
    <cellStyle name="Normal 6" xfId="11" xr:uid="{CEECA3FF-5769-4C70-8DC5-CC7767ADE995}"/>
    <cellStyle name="Normal 7" xfId="12" xr:uid="{B12B2E21-508D-448C-A3C3-4393F33575B7}"/>
    <cellStyle name="Percent" xfId="1" builtinId="5"/>
    <cellStyle name="Percent 2" xfId="4" xr:uid="{56214664-A3DC-0C40-AA4B-CF26CC1C13EE}"/>
    <cellStyle name="Percent 2 2" xfId="8" xr:uid="{14C8D776-FCD2-4142-A320-8CA27DEB09E3}"/>
  </cellStyles>
  <dxfs count="59">
    <dxf>
      <numFmt numFmtId="164" formatCode="&quot;$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" formatCode="#,##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6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6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6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&quot;$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212A40"/>
        </patternFill>
      </fill>
    </dxf>
    <dxf>
      <border>
        <vertical style="thin">
          <color theme="0" tint="-0.34998626667073579"/>
        </vertical>
        <horizontal/>
      </border>
    </dxf>
  </dxfs>
  <tableStyles count="1" defaultTableStyle="TableStyleMedium2" defaultPivotStyle="PivotStyleLight16">
    <tableStyle name="ScoreCard" pivot="0" count="4" xr9:uid="{00000000-0011-0000-FFFF-FFFF03000000}">
      <tableStyleElement type="wholeTable" dxfId="58"/>
      <tableStyleElement type="headerRow" dxfId="57"/>
      <tableStyleElement type="firstColumn" dxfId="56"/>
      <tableStyleElement type="firstRowStripe" dxfId="55"/>
    </tableStyle>
  </tableStyles>
  <colors>
    <mruColors>
      <color rgb="FF00FF00"/>
      <color rgb="FFD9D9D9"/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257175</xdr:colOff>
      <xdr:row>0</xdr:row>
      <xdr:rowOff>95250</xdr:rowOff>
    </xdr:from>
    <xdr:to>
      <xdr:col>26</xdr:col>
      <xdr:colOff>3124600</xdr:colOff>
      <xdr:row>28</xdr:row>
      <xdr:rowOff>19821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291DF5-344B-E311-3FC3-350E69348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40625" y="95250"/>
          <a:ext cx="2867425" cy="5525271"/>
        </a:xfrm>
        <a:prstGeom prst="rect">
          <a:avLst/>
        </a:prstGeom>
      </xdr:spPr>
    </xdr:pic>
    <xdr:clientData/>
  </xdr:twoCellAnchor>
  <xdr:twoCellAnchor editAs="oneCell">
    <xdr:from>
      <xdr:col>0</xdr:col>
      <xdr:colOff>401955</xdr:colOff>
      <xdr:row>0</xdr:row>
      <xdr:rowOff>156210</xdr:rowOff>
    </xdr:from>
    <xdr:to>
      <xdr:col>2</xdr:col>
      <xdr:colOff>232804</xdr:colOff>
      <xdr:row>28</xdr:row>
      <xdr:rowOff>136034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D8AE21-EA99-FD15-0359-7AFD1C548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955" y="156210"/>
          <a:ext cx="2833129" cy="55271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47625</xdr:rowOff>
    </xdr:from>
    <xdr:to>
      <xdr:col>2</xdr:col>
      <xdr:colOff>1029083</xdr:colOff>
      <xdr:row>17</xdr:row>
      <xdr:rowOff>152861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BEA2BC-A6CE-3E61-ECDF-33E942D43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247650"/>
          <a:ext cx="2743583" cy="33056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1</xdr:row>
      <xdr:rowOff>38100</xdr:rowOff>
    </xdr:from>
    <xdr:to>
      <xdr:col>2</xdr:col>
      <xdr:colOff>1171949</xdr:colOff>
      <xdr:row>16</xdr:row>
      <xdr:rowOff>28992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EC5800-6003-D3E4-2B11-85D15CB41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238125"/>
          <a:ext cx="2676899" cy="29912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1572028</xdr:colOff>
      <xdr:row>34</xdr:row>
      <xdr:rowOff>181922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EBE6B0-9979-9EF5-7BF7-7D23E130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025"/>
          <a:ext cx="2886478" cy="67827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180975</xdr:rowOff>
    </xdr:from>
    <xdr:to>
      <xdr:col>2</xdr:col>
      <xdr:colOff>514746</xdr:colOff>
      <xdr:row>14</xdr:row>
      <xdr:rowOff>133734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99D56A-990F-6EEA-6EA1-DB64A0D29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80975"/>
          <a:ext cx="2838846" cy="275310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den D. Helms" refreshedDate="45918.446171180556" createdVersion="8" refreshedVersion="8" minRefreshableVersion="3" recordCount="9798" xr:uid="{140B2021-E348-4093-99DE-07F711CE84B1}">
  <cacheSource type="worksheet">
    <worksheetSource ref="A19:E1048576" sheet="Luminate Forecast"/>
  </cacheSource>
  <cacheFields count="5">
    <cacheField name="vendor_stock_id" numFmtId="0">
      <sharedItems containsBlank="1" count="30">
        <s v="AS-PREC-FLOS-BK"/>
        <s v="AS-PREC-TB-BK"/>
        <m/>
        <s v="7595006" u="1"/>
        <s v="BH1202508913009" u="1"/>
        <s v="7597028" u="1"/>
        <s v="BHS1654171406" u="1"/>
        <s v="7594006" u="1"/>
        <s v="BH1202508914035" u="1"/>
        <s v="08788010" u="1"/>
        <s v="MSS1-080-200-03" u="1"/>
        <s v="BH19-052-099-40" u="1"/>
        <s v="MSS206541717075" u="1"/>
        <s v="BHF231654171401" u="1"/>
        <s v="BH1202508915009" u="1"/>
        <s v="BH19-052-099-38" u="1"/>
        <s v="7596058" u="1"/>
        <s v="08787058" u="1"/>
        <s v="7595002" u="1"/>
        <s v="BH18-053-599-03" u="1"/>
        <s v="7594002" u="1"/>
        <s v="BHF230654171701" u="1"/>
        <s v="BHS1654171407" u="1"/>
        <s v="BH1202508915028" u="1"/>
        <s v="BHF230654171702" u="1"/>
        <s v="BH1202508910002" u="1"/>
        <s v="197DXHAMA001A" u="1"/>
        <s v="197DXMARG001A" u="1"/>
        <s v="197DXMEAT001A" u="1"/>
        <s v="197DXMUSH001A" u="1"/>
      </sharedItems>
    </cacheField>
    <cacheField name="prime_item_number" numFmtId="0">
      <sharedItems containsString="0" containsBlank="1" containsNumber="1" containsInteger="1" minValue="565876599" maxValue="677536463" count="30">
        <n v="677410826"/>
        <n v="677536463"/>
        <m/>
        <n v="671608914" u="1"/>
        <n v="671504938" u="1"/>
        <n v="671608919" u="1"/>
        <n v="592898853" u="1"/>
        <n v="671608912" u="1"/>
        <n v="671504937" u="1"/>
        <n v="666271554" u="1"/>
        <n v="586108779" u="1"/>
        <n v="572535495" u="1"/>
        <n v="597308561" u="1"/>
        <n v="662092308" u="1"/>
        <n v="671504936" u="1"/>
        <n v="572535496" u="1"/>
        <n v="671608961" u="1"/>
        <n v="666271524" u="1"/>
        <n v="671608907" u="1"/>
        <n v="565876599" u="1"/>
        <n v="671608964" u="1"/>
        <n v="664058884" u="1"/>
        <n v="592898871" u="1"/>
        <n v="671504939" u="1"/>
        <n v="664055851" u="1"/>
        <n v="671504945" u="1"/>
        <n v="669142610" u="1"/>
        <n v="669142609" u="1"/>
        <n v="669142608" u="1"/>
        <n v="669142607" u="1"/>
      </sharedItems>
    </cacheField>
    <cacheField name="all_links_item_desc_1" numFmtId="0">
      <sharedItems containsBlank="1" count="30">
        <s v="AQUASONIC WFLS PREC"/>
        <s v="AS TOOTHBRUSH"/>
        <m/>
        <s v="WHITE PILLOW W RED" u="1"/>
        <s v="BHG BLK/WH STRP PLW" u="1"/>
        <s v="COLORBLOCK PILLOW" u="1"/>
        <s v="BH MEM FOAM CP BROWN" u="1"/>
        <s v="RED WHIPSTITCH PILOW" u="1"/>
        <s v="BHG SUNFLOWER PLW" u="1"/>
        <s v="MS BIRD PILLOW" u="1"/>
        <s v="MS SNOW LEOPARD" u="1"/>
        <s v="BHG PREM MEM CP BLUE" u="1"/>
        <s v="MS GEO FACE 18&quot; PLW" u="1"/>
        <s v="BH MEM FOAM CP CREAM" u="1"/>
        <s v="BHG BLACK OBLONG PLW" u="1"/>
        <s v="BHG PREM MEM CP TAN" u="1"/>
        <s v="HONEYCOMB PILO BEIGE" u="1"/>
        <s v="MS OPP WH FUR PILLOW" u="1"/>
        <s v="WHITE PILLOW W BLUE" u="1"/>
        <s v="BHG PREM MEM CP GRAY" u="1"/>
        <s v="BLUE WHIPSTITCH PILO" u="1"/>
        <s v="BHG20X20 NUBBY DOTS" u="1"/>
        <s v="BH MEM FOAM CP GRAY" u="1"/>
        <s v="BHG BEIGE OBLONG PLW" u="1"/>
        <s v="BHG14X24 PATCHWORK" u="1"/>
        <s v="BLUE KNIT GRID PILOW" u="1"/>
        <s v="BGPROSCIUTTO PIZZA" u="1"/>
        <s v="BGMARGHERITA PIZZA" u="1"/>
        <s v="BGIT CARNE PIZZA" u="1"/>
        <s v="BGMUSH&amp;TRUFFLE PIZZA" u="1"/>
      </sharedItems>
    </cacheField>
    <cacheField name="walmart_calendar_week" numFmtId="0">
      <sharedItems containsString="0" containsBlank="1" containsNumber="1" containsInteger="1" minValue="202533" maxValue="202732"/>
    </cacheField>
    <cacheField name="final_fcst_each_qty" numFmtId="0">
      <sharedItems containsString="0" containsBlank="1" containsNumber="1" minValue="520.91" maxValue="1268.89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den D. Helms" refreshedDate="45918.44617210648" createdVersion="8" refreshedVersion="8" minRefreshableVersion="3" recordCount="9798" xr:uid="{3A281F3B-BF7E-4709-8513-5E0E13BF4243}">
  <cacheSource type="worksheet">
    <worksheetSource ref="A19:F1048576" sheet="Luminate Forecast"/>
  </cacheSource>
  <cacheFields count="6">
    <cacheField name="vendor_stock_id" numFmtId="0">
      <sharedItems containsBlank="1"/>
    </cacheField>
    <cacheField name="prime_item_number" numFmtId="0">
      <sharedItems containsString="0" containsBlank="1" containsNumber="1" containsInteger="1" minValue="565876599" maxValue="677536463" count="30">
        <n v="677410826"/>
        <n v="677536463"/>
        <m/>
        <n v="671608914" u="1"/>
        <n v="671504938" u="1"/>
        <n v="671608919" u="1"/>
        <n v="592898853" u="1"/>
        <n v="671608912" u="1"/>
        <n v="671504937" u="1"/>
        <n v="666271554" u="1"/>
        <n v="586108779" u="1"/>
        <n v="572535495" u="1"/>
        <n v="597308561" u="1"/>
        <n v="662092308" u="1"/>
        <n v="671504936" u="1"/>
        <n v="572535496" u="1"/>
        <n v="671608961" u="1"/>
        <n v="666271524" u="1"/>
        <n v="671608907" u="1"/>
        <n v="565876599" u="1"/>
        <n v="671608964" u="1"/>
        <n v="664058884" u="1"/>
        <n v="592898871" u="1"/>
        <n v="671504939" u="1"/>
        <n v="664055851" u="1"/>
        <n v="671504945" u="1"/>
        <n v="669142610" u="1"/>
        <n v="669142609" u="1"/>
        <n v="669142608" u="1"/>
        <n v="669142607" u="1"/>
      </sharedItems>
    </cacheField>
    <cacheField name="all_links_item_desc_1" numFmtId="0">
      <sharedItems containsBlank="1"/>
    </cacheField>
    <cacheField name="walmart_calendar_week" numFmtId="0">
      <sharedItems containsString="0" containsBlank="1" containsNumber="1" containsInteger="1" minValue="202533" maxValue="202732"/>
    </cacheField>
    <cacheField name="final_fcst_each_qty" numFmtId="0">
      <sharedItems containsString="0" containsBlank="1" containsNumber="1" minValue="520.91" maxValue="1268.8900000000001"/>
    </cacheField>
    <cacheField name="Frcst Wk" numFmtId="0">
      <sharedItems containsBlank="1" count="55">
        <s v="29"/>
        <s v="17"/>
        <s v="22"/>
        <s v="39"/>
        <s v="04"/>
        <s v="02"/>
        <s v="48"/>
        <s v="33"/>
        <s v="25"/>
        <s v="03"/>
        <s v="52"/>
        <s v="26"/>
        <s v="01"/>
        <s v="11"/>
        <s v="36"/>
        <s v="45"/>
        <s v="47"/>
        <s v="37"/>
        <s v="42"/>
        <s v="20"/>
        <s v="18"/>
        <s v="50"/>
        <s v="38"/>
        <s v="40"/>
        <s v="05"/>
        <s v="08"/>
        <s v="43"/>
        <s v="32"/>
        <s v="09"/>
        <s v="13"/>
        <s v="15"/>
        <s v="19"/>
        <s v="49"/>
        <s v="21"/>
        <s v="35"/>
        <s v="16"/>
        <s v="14"/>
        <s v="44"/>
        <s v="30"/>
        <s v="51"/>
        <s v="24"/>
        <s v="41"/>
        <s v="12"/>
        <s v="34"/>
        <s v="27"/>
        <s v="06"/>
        <s v="07"/>
        <s v="46"/>
        <s v="10"/>
        <s v="31"/>
        <s v="28"/>
        <s v="23"/>
        <s v=""/>
        <m/>
        <s v="53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8">
  <r>
    <x v="0"/>
    <x v="0"/>
    <x v="0"/>
    <n v="202629"/>
    <n v="678.77"/>
  </r>
  <r>
    <x v="0"/>
    <x v="0"/>
    <x v="0"/>
    <n v="202617"/>
    <n v="620.19000000000005"/>
  </r>
  <r>
    <x v="0"/>
    <x v="0"/>
    <x v="0"/>
    <n v="202722"/>
    <n v="651.82000000000005"/>
  </r>
  <r>
    <x v="0"/>
    <x v="0"/>
    <x v="0"/>
    <n v="202539"/>
    <n v="737"/>
  </r>
  <r>
    <x v="0"/>
    <x v="0"/>
    <x v="0"/>
    <n v="202704"/>
    <n v="914.67"/>
  </r>
  <r>
    <x v="0"/>
    <x v="0"/>
    <x v="0"/>
    <n v="202702"/>
    <n v="666.85"/>
  </r>
  <r>
    <x v="0"/>
    <x v="0"/>
    <x v="0"/>
    <n v="202548"/>
    <n v="766.33"/>
  </r>
  <r>
    <x v="0"/>
    <x v="0"/>
    <x v="0"/>
    <n v="202533"/>
    <n v="740.07"/>
  </r>
  <r>
    <x v="0"/>
    <x v="0"/>
    <x v="0"/>
    <n v="202625"/>
    <n v="648.6"/>
  </r>
  <r>
    <x v="0"/>
    <x v="0"/>
    <x v="0"/>
    <n v="202703"/>
    <n v="801.92"/>
  </r>
  <r>
    <x v="0"/>
    <x v="0"/>
    <x v="0"/>
    <n v="202552"/>
    <n v="588.29999999999995"/>
  </r>
  <r>
    <x v="0"/>
    <x v="0"/>
    <x v="0"/>
    <n v="202726"/>
    <n v="668.51"/>
  </r>
  <r>
    <x v="0"/>
    <x v="0"/>
    <x v="0"/>
    <n v="202601"/>
    <n v="580.77"/>
  </r>
  <r>
    <x v="0"/>
    <x v="0"/>
    <x v="0"/>
    <n v="202711"/>
    <n v="730.64"/>
  </r>
  <r>
    <x v="0"/>
    <x v="0"/>
    <x v="0"/>
    <n v="202622"/>
    <n v="652.28"/>
  </r>
  <r>
    <x v="0"/>
    <x v="0"/>
    <x v="0"/>
    <n v="202636"/>
    <n v="693.34"/>
  </r>
  <r>
    <x v="0"/>
    <x v="0"/>
    <x v="0"/>
    <n v="202645"/>
    <n v="849.93"/>
  </r>
  <r>
    <x v="0"/>
    <x v="0"/>
    <x v="0"/>
    <n v="202717"/>
    <n v="619.92999999999995"/>
  </r>
  <r>
    <x v="0"/>
    <x v="0"/>
    <x v="0"/>
    <n v="202647"/>
    <n v="1100.58"/>
  </r>
  <r>
    <x v="0"/>
    <x v="0"/>
    <x v="0"/>
    <n v="202637"/>
    <n v="711.09"/>
  </r>
  <r>
    <x v="0"/>
    <x v="0"/>
    <x v="0"/>
    <n v="202642"/>
    <n v="703.73"/>
  </r>
  <r>
    <x v="0"/>
    <x v="0"/>
    <x v="0"/>
    <n v="202720"/>
    <n v="678.96"/>
  </r>
  <r>
    <x v="0"/>
    <x v="0"/>
    <x v="0"/>
    <n v="202602"/>
    <n v="664.42"/>
  </r>
  <r>
    <x v="0"/>
    <x v="0"/>
    <x v="0"/>
    <n v="202618"/>
    <n v="669.63"/>
  </r>
  <r>
    <x v="0"/>
    <x v="0"/>
    <x v="0"/>
    <n v="202650"/>
    <n v="642.79999999999995"/>
  </r>
  <r>
    <x v="0"/>
    <x v="0"/>
    <x v="0"/>
    <n v="202538"/>
    <n v="717.61"/>
  </r>
  <r>
    <x v="0"/>
    <x v="0"/>
    <x v="0"/>
    <n v="202640"/>
    <n v="748.8"/>
  </r>
  <r>
    <x v="0"/>
    <x v="0"/>
    <x v="0"/>
    <n v="202705"/>
    <n v="915.95"/>
  </r>
  <r>
    <x v="0"/>
    <x v="0"/>
    <x v="0"/>
    <n v="202708"/>
    <n v="789.49"/>
  </r>
  <r>
    <x v="0"/>
    <x v="0"/>
    <x v="0"/>
    <n v="202543"/>
    <n v="622.02"/>
  </r>
  <r>
    <x v="0"/>
    <x v="0"/>
    <x v="0"/>
    <n v="202632"/>
    <n v="618.35"/>
  </r>
  <r>
    <x v="0"/>
    <x v="0"/>
    <x v="0"/>
    <n v="202709"/>
    <n v="781.63"/>
  </r>
  <r>
    <x v="0"/>
    <x v="0"/>
    <x v="0"/>
    <n v="202713"/>
    <n v="705.95"/>
  </r>
  <r>
    <x v="0"/>
    <x v="0"/>
    <x v="0"/>
    <n v="202643"/>
    <n v="621.51"/>
  </r>
  <r>
    <x v="0"/>
    <x v="0"/>
    <x v="0"/>
    <n v="202715"/>
    <n v="642.96"/>
  </r>
  <r>
    <x v="0"/>
    <x v="0"/>
    <x v="0"/>
    <n v="202719"/>
    <n v="652.86"/>
  </r>
  <r>
    <x v="0"/>
    <x v="0"/>
    <x v="0"/>
    <n v="202649"/>
    <n v="724.61"/>
  </r>
  <r>
    <x v="0"/>
    <x v="0"/>
    <x v="0"/>
    <n v="202537"/>
    <n v="712.69"/>
  </r>
  <r>
    <x v="0"/>
    <x v="0"/>
    <x v="0"/>
    <n v="202549"/>
    <n v="726.04"/>
  </r>
  <r>
    <x v="0"/>
    <x v="0"/>
    <x v="0"/>
    <n v="202701"/>
    <n v="579.61"/>
  </r>
  <r>
    <x v="0"/>
    <x v="0"/>
    <x v="0"/>
    <n v="202547"/>
    <n v="1102.58"/>
  </r>
  <r>
    <x v="0"/>
    <x v="0"/>
    <x v="0"/>
    <n v="202604"/>
    <n v="913.55"/>
  </r>
  <r>
    <x v="0"/>
    <x v="0"/>
    <x v="0"/>
    <n v="202721"/>
    <n v="678.96"/>
  </r>
  <r>
    <x v="0"/>
    <x v="0"/>
    <x v="0"/>
    <n v="202535"/>
    <n v="769.15"/>
  </r>
  <r>
    <x v="0"/>
    <x v="0"/>
    <x v="0"/>
    <n v="202616"/>
    <n v="639.05999999999995"/>
  </r>
  <r>
    <x v="0"/>
    <x v="0"/>
    <x v="0"/>
    <n v="202716"/>
    <n v="638.59"/>
  </r>
  <r>
    <x v="0"/>
    <x v="0"/>
    <x v="0"/>
    <n v="202608"/>
    <n v="789.6"/>
  </r>
  <r>
    <x v="0"/>
    <x v="0"/>
    <x v="0"/>
    <n v="202614"/>
    <n v="657.35"/>
  </r>
  <r>
    <x v="0"/>
    <x v="0"/>
    <x v="0"/>
    <n v="202644"/>
    <n v="771.92"/>
  </r>
  <r>
    <x v="0"/>
    <x v="0"/>
    <x v="0"/>
    <n v="202718"/>
    <n v="669.25"/>
  </r>
  <r>
    <x v="0"/>
    <x v="0"/>
    <x v="0"/>
    <n v="202630"/>
    <n v="678.77"/>
  </r>
  <r>
    <x v="0"/>
    <x v="0"/>
    <x v="0"/>
    <n v="202648"/>
    <n v="765.2"/>
  </r>
  <r>
    <x v="0"/>
    <x v="0"/>
    <x v="0"/>
    <n v="202626"/>
    <n v="669.01"/>
  </r>
  <r>
    <x v="0"/>
    <x v="0"/>
    <x v="0"/>
    <n v="202651"/>
    <n v="520.91"/>
  </r>
  <r>
    <x v="0"/>
    <x v="0"/>
    <x v="0"/>
    <n v="202613"/>
    <n v="705.2"/>
  </r>
  <r>
    <x v="0"/>
    <x v="0"/>
    <x v="0"/>
    <n v="202611"/>
    <n v="729.54"/>
  </r>
  <r>
    <x v="0"/>
    <x v="0"/>
    <x v="0"/>
    <n v="202624"/>
    <n v="650.44000000000005"/>
  </r>
  <r>
    <x v="0"/>
    <x v="0"/>
    <x v="0"/>
    <n v="202714"/>
    <n v="657.03"/>
  </r>
  <r>
    <x v="0"/>
    <x v="0"/>
    <x v="0"/>
    <n v="202641"/>
    <n v="752.08"/>
  </r>
  <r>
    <x v="0"/>
    <x v="0"/>
    <x v="0"/>
    <n v="202732"/>
    <n v="730.19"/>
  </r>
  <r>
    <x v="0"/>
    <x v="0"/>
    <x v="0"/>
    <n v="202550"/>
    <n v="644.67999999999995"/>
  </r>
  <r>
    <x v="0"/>
    <x v="0"/>
    <x v="0"/>
    <n v="202712"/>
    <n v="685.96"/>
  </r>
  <r>
    <x v="0"/>
    <x v="0"/>
    <x v="0"/>
    <n v="202638"/>
    <n v="716.31"/>
  </r>
  <r>
    <x v="0"/>
    <x v="0"/>
    <x v="0"/>
    <n v="202634"/>
    <n v="695.51"/>
  </r>
  <r>
    <x v="0"/>
    <x v="0"/>
    <x v="0"/>
    <n v="202541"/>
    <n v="752.76"/>
  </r>
  <r>
    <x v="0"/>
    <x v="0"/>
    <x v="0"/>
    <n v="202534"/>
    <n v="700.31"/>
  </r>
  <r>
    <x v="0"/>
    <x v="0"/>
    <x v="0"/>
    <n v="202627"/>
    <n v="665.29"/>
  </r>
  <r>
    <x v="0"/>
    <x v="0"/>
    <x v="0"/>
    <n v="202606"/>
    <n v="812.76"/>
  </r>
  <r>
    <x v="0"/>
    <x v="0"/>
    <x v="0"/>
    <n v="202542"/>
    <n v="704.49"/>
  </r>
  <r>
    <x v="0"/>
    <x v="0"/>
    <x v="0"/>
    <n v="202725"/>
    <n v="648.08000000000004"/>
  </r>
  <r>
    <x v="0"/>
    <x v="0"/>
    <x v="0"/>
    <n v="202536"/>
    <n v="697.01"/>
  </r>
  <r>
    <x v="0"/>
    <x v="0"/>
    <x v="0"/>
    <n v="202544"/>
    <n v="771.94"/>
  </r>
  <r>
    <x v="0"/>
    <x v="0"/>
    <x v="0"/>
    <n v="202607"/>
    <n v="802.9"/>
  </r>
  <r>
    <x v="0"/>
    <x v="0"/>
    <x v="0"/>
    <n v="202727"/>
    <n v="665.12"/>
  </r>
  <r>
    <x v="0"/>
    <x v="0"/>
    <x v="0"/>
    <n v="202546"/>
    <n v="1107.21"/>
  </r>
  <r>
    <x v="0"/>
    <x v="0"/>
    <x v="0"/>
    <n v="202610"/>
    <n v="746.44"/>
  </r>
  <r>
    <x v="0"/>
    <x v="0"/>
    <x v="0"/>
    <n v="202652"/>
    <n v="587.42999999999995"/>
  </r>
  <r>
    <x v="0"/>
    <x v="0"/>
    <x v="0"/>
    <n v="202631"/>
    <n v="641.64"/>
  </r>
  <r>
    <x v="0"/>
    <x v="0"/>
    <x v="0"/>
    <n v="202621"/>
    <n v="679.65"/>
  </r>
  <r>
    <x v="0"/>
    <x v="0"/>
    <x v="0"/>
    <n v="202619"/>
    <n v="653.4"/>
  </r>
  <r>
    <x v="0"/>
    <x v="0"/>
    <x v="0"/>
    <n v="202612"/>
    <n v="685.46"/>
  </r>
  <r>
    <x v="0"/>
    <x v="0"/>
    <x v="0"/>
    <n v="202724"/>
    <n v="650.17999999999995"/>
  </r>
  <r>
    <x v="0"/>
    <x v="0"/>
    <x v="0"/>
    <n v="202639"/>
    <n v="736.25"/>
  </r>
  <r>
    <x v="0"/>
    <x v="0"/>
    <x v="0"/>
    <n v="202728"/>
    <n v="687.31"/>
  </r>
  <r>
    <x v="0"/>
    <x v="0"/>
    <x v="0"/>
    <n v="202551"/>
    <n v="522.61"/>
  </r>
  <r>
    <x v="0"/>
    <x v="0"/>
    <x v="0"/>
    <n v="202540"/>
    <n v="749.44"/>
  </r>
  <r>
    <x v="0"/>
    <x v="0"/>
    <x v="0"/>
    <n v="202635"/>
    <n v="764.4"/>
  </r>
  <r>
    <x v="0"/>
    <x v="0"/>
    <x v="0"/>
    <n v="202706"/>
    <n v="813.15"/>
  </r>
  <r>
    <x v="0"/>
    <x v="0"/>
    <x v="0"/>
    <n v="202615"/>
    <n v="643.26"/>
  </r>
  <r>
    <x v="0"/>
    <x v="0"/>
    <x v="0"/>
    <n v="202623"/>
    <n v="650.07000000000005"/>
  </r>
  <r>
    <x v="0"/>
    <x v="0"/>
    <x v="0"/>
    <n v="202609"/>
    <n v="781.29"/>
  </r>
  <r>
    <x v="0"/>
    <x v="0"/>
    <x v="0"/>
    <n v="202710"/>
    <n v="746.41"/>
  </r>
  <r>
    <x v="0"/>
    <x v="0"/>
    <x v="0"/>
    <n v="202707"/>
    <n v="802.75"/>
  </r>
  <r>
    <x v="0"/>
    <x v="0"/>
    <x v="0"/>
    <n v="202633"/>
    <n v="732.65"/>
  </r>
  <r>
    <x v="0"/>
    <x v="0"/>
    <x v="0"/>
    <n v="202628"/>
    <n v="687.55"/>
  </r>
  <r>
    <x v="0"/>
    <x v="0"/>
    <x v="0"/>
    <n v="202545"/>
    <n v="850.21"/>
  </r>
  <r>
    <x v="0"/>
    <x v="0"/>
    <x v="0"/>
    <n v="202605"/>
    <n v="914.4"/>
  </r>
  <r>
    <x v="0"/>
    <x v="0"/>
    <x v="0"/>
    <n v="202723"/>
    <n v="649.82000000000005"/>
  </r>
  <r>
    <x v="0"/>
    <x v="0"/>
    <x v="0"/>
    <n v="202730"/>
    <n v="641.21"/>
  </r>
  <r>
    <x v="0"/>
    <x v="0"/>
    <x v="0"/>
    <n v="202603"/>
    <n v="801.73"/>
  </r>
  <r>
    <x v="0"/>
    <x v="0"/>
    <x v="0"/>
    <n v="202620"/>
    <n v="679.65"/>
  </r>
  <r>
    <x v="0"/>
    <x v="0"/>
    <x v="0"/>
    <n v="202731"/>
    <n v="603.47"/>
  </r>
  <r>
    <x v="0"/>
    <x v="0"/>
    <x v="0"/>
    <n v="202729"/>
    <n v="678.07"/>
  </r>
  <r>
    <x v="0"/>
    <x v="0"/>
    <x v="0"/>
    <n v="202646"/>
    <n v="1107.3499999999999"/>
  </r>
  <r>
    <x v="1"/>
    <x v="1"/>
    <x v="1"/>
    <n v="202622"/>
    <n v="606.66999999999996"/>
  </r>
  <r>
    <x v="1"/>
    <x v="1"/>
    <x v="1"/>
    <n v="202719"/>
    <n v="602.64"/>
  </r>
  <r>
    <x v="1"/>
    <x v="1"/>
    <x v="1"/>
    <n v="202627"/>
    <n v="676.03"/>
  </r>
  <r>
    <x v="1"/>
    <x v="1"/>
    <x v="1"/>
    <n v="202608"/>
    <n v="822.5"/>
  </r>
  <r>
    <x v="1"/>
    <x v="1"/>
    <x v="1"/>
    <n v="202647"/>
    <n v="1265.56"/>
  </r>
  <r>
    <x v="1"/>
    <x v="1"/>
    <x v="1"/>
    <n v="202616"/>
    <n v="583.6"/>
  </r>
  <r>
    <x v="1"/>
    <x v="1"/>
    <x v="1"/>
    <n v="202614"/>
    <n v="634.13"/>
  </r>
  <r>
    <x v="1"/>
    <x v="1"/>
    <x v="1"/>
    <n v="202623"/>
    <n v="607.27"/>
  </r>
  <r>
    <x v="1"/>
    <x v="1"/>
    <x v="1"/>
    <n v="202728"/>
    <n v="740.61"/>
  </r>
  <r>
    <x v="1"/>
    <x v="1"/>
    <x v="1"/>
    <n v="202546"/>
    <n v="1231.73"/>
  </r>
  <r>
    <x v="1"/>
    <x v="1"/>
    <x v="1"/>
    <n v="202714"/>
    <n v="633.63"/>
  </r>
  <r>
    <x v="1"/>
    <x v="1"/>
    <x v="1"/>
    <n v="202703"/>
    <n v="730.93"/>
  </r>
  <r>
    <x v="1"/>
    <x v="1"/>
    <x v="1"/>
    <n v="202705"/>
    <n v="876.48"/>
  </r>
  <r>
    <x v="1"/>
    <x v="1"/>
    <x v="1"/>
    <n v="202618"/>
    <n v="589.4"/>
  </r>
  <r>
    <x v="1"/>
    <x v="1"/>
    <x v="1"/>
    <n v="202649"/>
    <n v="686.02"/>
  </r>
  <r>
    <x v="1"/>
    <x v="1"/>
    <x v="1"/>
    <n v="202620"/>
    <n v="624.25"/>
  </r>
  <r>
    <x v="1"/>
    <x v="1"/>
    <x v="1"/>
    <n v="202539"/>
    <n v="787.75"/>
  </r>
  <r>
    <x v="1"/>
    <x v="1"/>
    <x v="1"/>
    <n v="202642"/>
    <n v="728.72"/>
  </r>
  <r>
    <x v="1"/>
    <x v="1"/>
    <x v="1"/>
    <n v="202721"/>
    <n v="623.54"/>
  </r>
  <r>
    <x v="1"/>
    <x v="1"/>
    <x v="1"/>
    <n v="202610"/>
    <n v="754.93"/>
  </r>
  <r>
    <x v="1"/>
    <x v="1"/>
    <x v="1"/>
    <n v="202638"/>
    <n v="727.94"/>
  </r>
  <r>
    <x v="1"/>
    <x v="1"/>
    <x v="1"/>
    <n v="202706"/>
    <n v="812.8"/>
  </r>
  <r>
    <x v="1"/>
    <x v="1"/>
    <x v="1"/>
    <n v="202542"/>
    <n v="730.58"/>
  </r>
  <r>
    <x v="1"/>
    <x v="1"/>
    <x v="1"/>
    <n v="202607"/>
    <n v="818.06"/>
  </r>
  <r>
    <x v="1"/>
    <x v="1"/>
    <x v="1"/>
    <n v="202634"/>
    <n v="768.85"/>
  </r>
  <r>
    <x v="1"/>
    <x v="1"/>
    <x v="1"/>
    <n v="202552"/>
    <n v="557.29"/>
  </r>
  <r>
    <x v="1"/>
    <x v="1"/>
    <x v="1"/>
    <n v="202612"/>
    <n v="699.55"/>
  </r>
  <r>
    <x v="1"/>
    <x v="1"/>
    <x v="1"/>
    <n v="202651"/>
    <n v="530.53"/>
  </r>
  <r>
    <x v="1"/>
    <x v="1"/>
    <x v="1"/>
    <n v="202604"/>
    <n v="932.18"/>
  </r>
  <r>
    <x v="1"/>
    <x v="1"/>
    <x v="1"/>
    <n v="202717"/>
    <n v="541.99"/>
  </r>
  <r>
    <x v="1"/>
    <x v="1"/>
    <x v="1"/>
    <n v="202543"/>
    <n v="630.79999999999995"/>
  </r>
  <r>
    <x v="1"/>
    <x v="1"/>
    <x v="1"/>
    <n v="202535"/>
    <n v="841.22"/>
  </r>
  <r>
    <x v="1"/>
    <x v="1"/>
    <x v="1"/>
    <n v="202637"/>
    <n v="745.65"/>
  </r>
  <r>
    <x v="1"/>
    <x v="1"/>
    <x v="1"/>
    <n v="202732"/>
    <n v="740.43"/>
  </r>
  <r>
    <x v="1"/>
    <x v="1"/>
    <x v="1"/>
    <n v="202547"/>
    <n v="1268.8900000000001"/>
  </r>
  <r>
    <x v="1"/>
    <x v="1"/>
    <x v="1"/>
    <n v="202533"/>
    <n v="730.97"/>
  </r>
  <r>
    <x v="1"/>
    <x v="1"/>
    <x v="1"/>
    <n v="202731"/>
    <n v="579.53"/>
  </r>
  <r>
    <x v="1"/>
    <x v="1"/>
    <x v="1"/>
    <n v="202643"/>
    <n v="629.09"/>
  </r>
  <r>
    <x v="1"/>
    <x v="1"/>
    <x v="1"/>
    <n v="202603"/>
    <n v="731.65"/>
  </r>
  <r>
    <x v="1"/>
    <x v="1"/>
    <x v="1"/>
    <n v="202621"/>
    <n v="624.25"/>
  </r>
  <r>
    <x v="1"/>
    <x v="1"/>
    <x v="1"/>
    <n v="202641"/>
    <n v="757.1"/>
  </r>
  <r>
    <x v="1"/>
    <x v="1"/>
    <x v="1"/>
    <n v="202702"/>
    <n v="578.75"/>
  </r>
  <r>
    <x v="1"/>
    <x v="1"/>
    <x v="1"/>
    <n v="202708"/>
    <n v="822.19"/>
  </r>
  <r>
    <x v="1"/>
    <x v="1"/>
    <x v="1"/>
    <n v="202716"/>
    <n v="582.91"/>
  </r>
  <r>
    <x v="1"/>
    <x v="1"/>
    <x v="1"/>
    <n v="202545"/>
    <n v="931.42"/>
  </r>
  <r>
    <x v="1"/>
    <x v="1"/>
    <x v="1"/>
    <n v="202650"/>
    <n v="636.25"/>
  </r>
  <r>
    <x v="1"/>
    <x v="1"/>
    <x v="1"/>
    <n v="202720"/>
    <n v="623.54"/>
  </r>
  <r>
    <x v="1"/>
    <x v="1"/>
    <x v="1"/>
    <n v="202632"/>
    <n v="584.80999999999995"/>
  </r>
  <r>
    <x v="1"/>
    <x v="1"/>
    <x v="1"/>
    <n v="202704"/>
    <n v="931.67"/>
  </r>
  <r>
    <x v="1"/>
    <x v="1"/>
    <x v="1"/>
    <n v="202626"/>
    <n v="669.88"/>
  </r>
  <r>
    <x v="1"/>
    <x v="1"/>
    <x v="1"/>
    <n v="202629"/>
    <n v="669.34"/>
  </r>
  <r>
    <x v="1"/>
    <x v="1"/>
    <x v="1"/>
    <n v="202710"/>
    <n v="754.61"/>
  </r>
  <r>
    <x v="1"/>
    <x v="1"/>
    <x v="1"/>
    <n v="202536"/>
    <n v="759.64"/>
  </r>
  <r>
    <x v="1"/>
    <x v="1"/>
    <x v="1"/>
    <n v="202711"/>
    <n v="749.35"/>
  </r>
  <r>
    <x v="1"/>
    <x v="1"/>
    <x v="1"/>
    <n v="202709"/>
    <n v="792.69"/>
  </r>
  <r>
    <x v="1"/>
    <x v="1"/>
    <x v="1"/>
    <n v="202724"/>
    <n v="600.65"/>
  </r>
  <r>
    <x v="1"/>
    <x v="1"/>
    <x v="1"/>
    <n v="202538"/>
    <n v="729.84"/>
  </r>
  <r>
    <x v="1"/>
    <x v="1"/>
    <x v="1"/>
    <n v="202631"/>
    <n v="635.64"/>
  </r>
  <r>
    <x v="1"/>
    <x v="1"/>
    <x v="1"/>
    <n v="202615"/>
    <n v="617.39"/>
  </r>
  <r>
    <x v="1"/>
    <x v="1"/>
    <x v="1"/>
    <n v="202718"/>
    <n v="588.73"/>
  </r>
  <r>
    <x v="1"/>
    <x v="1"/>
    <x v="1"/>
    <n v="202611"/>
    <n v="750"/>
  </r>
  <r>
    <x v="1"/>
    <x v="1"/>
    <x v="1"/>
    <n v="202729"/>
    <n v="668.72"/>
  </r>
  <r>
    <x v="1"/>
    <x v="1"/>
    <x v="1"/>
    <n v="202645"/>
    <n v="928.77"/>
  </r>
  <r>
    <x v="1"/>
    <x v="1"/>
    <x v="1"/>
    <n v="202712"/>
    <n v="698.86"/>
  </r>
  <r>
    <x v="1"/>
    <x v="1"/>
    <x v="1"/>
    <n v="202648"/>
    <n v="772.17"/>
  </r>
  <r>
    <x v="1"/>
    <x v="1"/>
    <x v="1"/>
    <n v="202630"/>
    <n v="669.34"/>
  </r>
  <r>
    <x v="1"/>
    <x v="1"/>
    <x v="1"/>
    <n v="202537"/>
    <n v="748.35"/>
  </r>
  <r>
    <x v="1"/>
    <x v="1"/>
    <x v="1"/>
    <n v="202730"/>
    <n v="634.70000000000005"/>
  </r>
  <r>
    <x v="1"/>
    <x v="1"/>
    <x v="1"/>
    <n v="202725"/>
    <n v="617.75"/>
  </r>
  <r>
    <x v="1"/>
    <x v="1"/>
    <x v="1"/>
    <n v="202624"/>
    <n v="601.32000000000005"/>
  </r>
  <r>
    <x v="1"/>
    <x v="1"/>
    <x v="1"/>
    <n v="202713"/>
    <n v="705.26"/>
  </r>
  <r>
    <x v="1"/>
    <x v="1"/>
    <x v="1"/>
    <n v="202635"/>
    <n v="837.92"/>
  </r>
  <r>
    <x v="1"/>
    <x v="1"/>
    <x v="1"/>
    <n v="202722"/>
    <n v="606.07000000000005"/>
  </r>
  <r>
    <x v="1"/>
    <x v="1"/>
    <x v="1"/>
    <n v="202541"/>
    <n v="759"/>
  </r>
  <r>
    <x v="1"/>
    <x v="1"/>
    <x v="1"/>
    <n v="202605"/>
    <n v="877.31"/>
  </r>
  <r>
    <x v="1"/>
    <x v="1"/>
    <x v="1"/>
    <n v="202715"/>
    <n v="616.88"/>
  </r>
  <r>
    <x v="1"/>
    <x v="1"/>
    <x v="1"/>
    <n v="202726"/>
    <n v="668.63"/>
  </r>
  <r>
    <x v="1"/>
    <x v="1"/>
    <x v="1"/>
    <n v="202551"/>
    <n v="531.53"/>
  </r>
  <r>
    <x v="1"/>
    <x v="1"/>
    <x v="1"/>
    <n v="202640"/>
    <n v="772.03"/>
  </r>
  <r>
    <x v="1"/>
    <x v="1"/>
    <x v="1"/>
    <n v="202646"/>
    <n v="1228.5999999999999"/>
  </r>
  <r>
    <x v="1"/>
    <x v="1"/>
    <x v="1"/>
    <n v="202652"/>
    <n v="556.51"/>
  </r>
  <r>
    <x v="1"/>
    <x v="1"/>
    <x v="1"/>
    <n v="202602"/>
    <n v="579.46"/>
  </r>
  <r>
    <x v="1"/>
    <x v="1"/>
    <x v="1"/>
    <n v="202633"/>
    <n v="728.12"/>
  </r>
  <r>
    <x v="1"/>
    <x v="1"/>
    <x v="1"/>
    <n v="202619"/>
    <n v="603.23"/>
  </r>
  <r>
    <x v="1"/>
    <x v="1"/>
    <x v="1"/>
    <n v="202639"/>
    <n v="785.44"/>
  </r>
  <r>
    <x v="1"/>
    <x v="1"/>
    <x v="1"/>
    <n v="202540"/>
    <n v="774.03"/>
  </r>
  <r>
    <x v="1"/>
    <x v="1"/>
    <x v="1"/>
    <n v="202613"/>
    <n v="705.81"/>
  </r>
  <r>
    <x v="1"/>
    <x v="1"/>
    <x v="1"/>
    <n v="202549"/>
    <n v="687.7"/>
  </r>
  <r>
    <x v="1"/>
    <x v="1"/>
    <x v="1"/>
    <n v="202707"/>
    <n v="817.39"/>
  </r>
  <r>
    <x v="1"/>
    <x v="1"/>
    <x v="1"/>
    <n v="202617"/>
    <n v="542.75"/>
  </r>
  <r>
    <x v="1"/>
    <x v="1"/>
    <x v="1"/>
    <n v="202636"/>
    <n v="757.3"/>
  </r>
  <r>
    <x v="1"/>
    <x v="1"/>
    <x v="1"/>
    <n v="202625"/>
    <n v="618.89"/>
  </r>
  <r>
    <x v="1"/>
    <x v="1"/>
    <x v="1"/>
    <n v="202550"/>
    <n v="638.08000000000004"/>
  </r>
  <r>
    <x v="1"/>
    <x v="1"/>
    <x v="1"/>
    <n v="202701"/>
    <n v="535.42999999999995"/>
  </r>
  <r>
    <x v="1"/>
    <x v="1"/>
    <x v="1"/>
    <n v="202727"/>
    <n v="675.2"/>
  </r>
  <r>
    <x v="1"/>
    <x v="1"/>
    <x v="1"/>
    <n v="202644"/>
    <n v="819.01"/>
  </r>
  <r>
    <x v="1"/>
    <x v="1"/>
    <x v="1"/>
    <n v="202534"/>
    <n v="772.18"/>
  </r>
  <r>
    <x v="1"/>
    <x v="1"/>
    <x v="1"/>
    <n v="202606"/>
    <n v="813.02"/>
  </r>
  <r>
    <x v="1"/>
    <x v="1"/>
    <x v="1"/>
    <n v="202609"/>
    <n v="793.07"/>
  </r>
  <r>
    <x v="1"/>
    <x v="1"/>
    <x v="1"/>
    <n v="202628"/>
    <n v="741.08"/>
  </r>
  <r>
    <x v="1"/>
    <x v="1"/>
    <x v="1"/>
    <n v="202544"/>
    <n v="821.41"/>
  </r>
  <r>
    <x v="1"/>
    <x v="1"/>
    <x v="1"/>
    <n v="202601"/>
    <n v="536.41"/>
  </r>
  <r>
    <x v="1"/>
    <x v="1"/>
    <x v="1"/>
    <n v="202548"/>
    <n v="774.2"/>
  </r>
  <r>
    <x v="1"/>
    <x v="1"/>
    <x v="1"/>
    <n v="202723"/>
    <n v="606.63"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8">
  <r>
    <s v="AS-PREC-FLOS-BK"/>
    <x v="0"/>
    <s v="AQUASONIC WFLS PREC"/>
    <n v="202629"/>
    <n v="678.77"/>
    <x v="0"/>
  </r>
  <r>
    <s v="AS-PREC-FLOS-BK"/>
    <x v="0"/>
    <s v="AQUASONIC WFLS PREC"/>
    <n v="202617"/>
    <n v="620.19000000000005"/>
    <x v="1"/>
  </r>
  <r>
    <s v="AS-PREC-FLOS-BK"/>
    <x v="0"/>
    <s v="AQUASONIC WFLS PREC"/>
    <n v="202722"/>
    <n v="651.82000000000005"/>
    <x v="2"/>
  </r>
  <r>
    <s v="AS-PREC-FLOS-BK"/>
    <x v="0"/>
    <s v="AQUASONIC WFLS PREC"/>
    <n v="202539"/>
    <n v="737"/>
    <x v="3"/>
  </r>
  <r>
    <s v="AS-PREC-FLOS-BK"/>
    <x v="0"/>
    <s v="AQUASONIC WFLS PREC"/>
    <n v="202704"/>
    <n v="914.67"/>
    <x v="4"/>
  </r>
  <r>
    <s v="AS-PREC-FLOS-BK"/>
    <x v="0"/>
    <s v="AQUASONIC WFLS PREC"/>
    <n v="202702"/>
    <n v="666.85"/>
    <x v="5"/>
  </r>
  <r>
    <s v="AS-PREC-FLOS-BK"/>
    <x v="0"/>
    <s v="AQUASONIC WFLS PREC"/>
    <n v="202548"/>
    <n v="766.33"/>
    <x v="6"/>
  </r>
  <r>
    <s v="AS-PREC-FLOS-BK"/>
    <x v="0"/>
    <s v="AQUASONIC WFLS PREC"/>
    <n v="202533"/>
    <n v="740.07"/>
    <x v="7"/>
  </r>
  <r>
    <s v="AS-PREC-FLOS-BK"/>
    <x v="0"/>
    <s v="AQUASONIC WFLS PREC"/>
    <n v="202625"/>
    <n v="648.6"/>
    <x v="8"/>
  </r>
  <r>
    <s v="AS-PREC-FLOS-BK"/>
    <x v="0"/>
    <s v="AQUASONIC WFLS PREC"/>
    <n v="202703"/>
    <n v="801.92"/>
    <x v="9"/>
  </r>
  <r>
    <s v="AS-PREC-FLOS-BK"/>
    <x v="0"/>
    <s v="AQUASONIC WFLS PREC"/>
    <n v="202552"/>
    <n v="588.29999999999995"/>
    <x v="10"/>
  </r>
  <r>
    <s v="AS-PREC-FLOS-BK"/>
    <x v="0"/>
    <s v="AQUASONIC WFLS PREC"/>
    <n v="202726"/>
    <n v="668.51"/>
    <x v="11"/>
  </r>
  <r>
    <s v="AS-PREC-FLOS-BK"/>
    <x v="0"/>
    <s v="AQUASONIC WFLS PREC"/>
    <n v="202601"/>
    <n v="580.77"/>
    <x v="12"/>
  </r>
  <r>
    <s v="AS-PREC-FLOS-BK"/>
    <x v="0"/>
    <s v="AQUASONIC WFLS PREC"/>
    <n v="202711"/>
    <n v="730.64"/>
    <x v="13"/>
  </r>
  <r>
    <s v="AS-PREC-FLOS-BK"/>
    <x v="0"/>
    <s v="AQUASONIC WFLS PREC"/>
    <n v="202622"/>
    <n v="652.28"/>
    <x v="2"/>
  </r>
  <r>
    <s v="AS-PREC-FLOS-BK"/>
    <x v="0"/>
    <s v="AQUASONIC WFLS PREC"/>
    <n v="202636"/>
    <n v="693.34"/>
    <x v="14"/>
  </r>
  <r>
    <s v="AS-PREC-FLOS-BK"/>
    <x v="0"/>
    <s v="AQUASONIC WFLS PREC"/>
    <n v="202645"/>
    <n v="849.93"/>
    <x v="15"/>
  </r>
  <r>
    <s v="AS-PREC-FLOS-BK"/>
    <x v="0"/>
    <s v="AQUASONIC WFLS PREC"/>
    <n v="202717"/>
    <n v="619.92999999999995"/>
    <x v="1"/>
  </r>
  <r>
    <s v="AS-PREC-FLOS-BK"/>
    <x v="0"/>
    <s v="AQUASONIC WFLS PREC"/>
    <n v="202647"/>
    <n v="1100.58"/>
    <x v="16"/>
  </r>
  <r>
    <s v="AS-PREC-FLOS-BK"/>
    <x v="0"/>
    <s v="AQUASONIC WFLS PREC"/>
    <n v="202637"/>
    <n v="711.09"/>
    <x v="17"/>
  </r>
  <r>
    <s v="AS-PREC-FLOS-BK"/>
    <x v="0"/>
    <s v="AQUASONIC WFLS PREC"/>
    <n v="202642"/>
    <n v="703.73"/>
    <x v="18"/>
  </r>
  <r>
    <s v="AS-PREC-FLOS-BK"/>
    <x v="0"/>
    <s v="AQUASONIC WFLS PREC"/>
    <n v="202720"/>
    <n v="678.96"/>
    <x v="19"/>
  </r>
  <r>
    <s v="AS-PREC-FLOS-BK"/>
    <x v="0"/>
    <s v="AQUASONIC WFLS PREC"/>
    <n v="202602"/>
    <n v="664.42"/>
    <x v="5"/>
  </r>
  <r>
    <s v="AS-PREC-FLOS-BK"/>
    <x v="0"/>
    <s v="AQUASONIC WFLS PREC"/>
    <n v="202618"/>
    <n v="669.63"/>
    <x v="20"/>
  </r>
  <r>
    <s v="AS-PREC-FLOS-BK"/>
    <x v="0"/>
    <s v="AQUASONIC WFLS PREC"/>
    <n v="202650"/>
    <n v="642.79999999999995"/>
    <x v="21"/>
  </r>
  <r>
    <s v="AS-PREC-FLOS-BK"/>
    <x v="0"/>
    <s v="AQUASONIC WFLS PREC"/>
    <n v="202538"/>
    <n v="717.61"/>
    <x v="22"/>
  </r>
  <r>
    <s v="AS-PREC-FLOS-BK"/>
    <x v="0"/>
    <s v="AQUASONIC WFLS PREC"/>
    <n v="202640"/>
    <n v="748.8"/>
    <x v="23"/>
  </r>
  <r>
    <s v="AS-PREC-FLOS-BK"/>
    <x v="0"/>
    <s v="AQUASONIC WFLS PREC"/>
    <n v="202705"/>
    <n v="915.95"/>
    <x v="24"/>
  </r>
  <r>
    <s v="AS-PREC-FLOS-BK"/>
    <x v="0"/>
    <s v="AQUASONIC WFLS PREC"/>
    <n v="202708"/>
    <n v="789.49"/>
    <x v="25"/>
  </r>
  <r>
    <s v="AS-PREC-FLOS-BK"/>
    <x v="0"/>
    <s v="AQUASONIC WFLS PREC"/>
    <n v="202543"/>
    <n v="622.02"/>
    <x v="26"/>
  </r>
  <r>
    <s v="AS-PREC-FLOS-BK"/>
    <x v="0"/>
    <s v="AQUASONIC WFLS PREC"/>
    <n v="202632"/>
    <n v="618.35"/>
    <x v="27"/>
  </r>
  <r>
    <s v="AS-PREC-FLOS-BK"/>
    <x v="0"/>
    <s v="AQUASONIC WFLS PREC"/>
    <n v="202709"/>
    <n v="781.63"/>
    <x v="28"/>
  </r>
  <r>
    <s v="AS-PREC-FLOS-BK"/>
    <x v="0"/>
    <s v="AQUASONIC WFLS PREC"/>
    <n v="202713"/>
    <n v="705.95"/>
    <x v="29"/>
  </r>
  <r>
    <s v="AS-PREC-FLOS-BK"/>
    <x v="0"/>
    <s v="AQUASONIC WFLS PREC"/>
    <n v="202643"/>
    <n v="621.51"/>
    <x v="26"/>
  </r>
  <r>
    <s v="AS-PREC-FLOS-BK"/>
    <x v="0"/>
    <s v="AQUASONIC WFLS PREC"/>
    <n v="202715"/>
    <n v="642.96"/>
    <x v="30"/>
  </r>
  <r>
    <s v="AS-PREC-FLOS-BK"/>
    <x v="0"/>
    <s v="AQUASONIC WFLS PREC"/>
    <n v="202719"/>
    <n v="652.86"/>
    <x v="31"/>
  </r>
  <r>
    <s v="AS-PREC-FLOS-BK"/>
    <x v="0"/>
    <s v="AQUASONIC WFLS PREC"/>
    <n v="202649"/>
    <n v="724.61"/>
    <x v="32"/>
  </r>
  <r>
    <s v="AS-PREC-FLOS-BK"/>
    <x v="0"/>
    <s v="AQUASONIC WFLS PREC"/>
    <n v="202537"/>
    <n v="712.69"/>
    <x v="17"/>
  </r>
  <r>
    <s v="AS-PREC-FLOS-BK"/>
    <x v="0"/>
    <s v="AQUASONIC WFLS PREC"/>
    <n v="202549"/>
    <n v="726.04"/>
    <x v="32"/>
  </r>
  <r>
    <s v="AS-PREC-FLOS-BK"/>
    <x v="0"/>
    <s v="AQUASONIC WFLS PREC"/>
    <n v="202701"/>
    <n v="579.61"/>
    <x v="12"/>
  </r>
  <r>
    <s v="AS-PREC-FLOS-BK"/>
    <x v="0"/>
    <s v="AQUASONIC WFLS PREC"/>
    <n v="202547"/>
    <n v="1102.58"/>
    <x v="16"/>
  </r>
  <r>
    <s v="AS-PREC-FLOS-BK"/>
    <x v="0"/>
    <s v="AQUASONIC WFLS PREC"/>
    <n v="202604"/>
    <n v="913.55"/>
    <x v="4"/>
  </r>
  <r>
    <s v="AS-PREC-FLOS-BK"/>
    <x v="0"/>
    <s v="AQUASONIC WFLS PREC"/>
    <n v="202721"/>
    <n v="678.96"/>
    <x v="33"/>
  </r>
  <r>
    <s v="AS-PREC-FLOS-BK"/>
    <x v="0"/>
    <s v="AQUASONIC WFLS PREC"/>
    <n v="202535"/>
    <n v="769.15"/>
    <x v="34"/>
  </r>
  <r>
    <s v="AS-PREC-FLOS-BK"/>
    <x v="0"/>
    <s v="AQUASONIC WFLS PREC"/>
    <n v="202616"/>
    <n v="639.05999999999995"/>
    <x v="35"/>
  </r>
  <r>
    <s v="AS-PREC-FLOS-BK"/>
    <x v="0"/>
    <s v="AQUASONIC WFLS PREC"/>
    <n v="202716"/>
    <n v="638.59"/>
    <x v="35"/>
  </r>
  <r>
    <s v="AS-PREC-FLOS-BK"/>
    <x v="0"/>
    <s v="AQUASONIC WFLS PREC"/>
    <n v="202608"/>
    <n v="789.6"/>
    <x v="25"/>
  </r>
  <r>
    <s v="AS-PREC-FLOS-BK"/>
    <x v="0"/>
    <s v="AQUASONIC WFLS PREC"/>
    <n v="202614"/>
    <n v="657.35"/>
    <x v="36"/>
  </r>
  <r>
    <s v="AS-PREC-FLOS-BK"/>
    <x v="0"/>
    <s v="AQUASONIC WFLS PREC"/>
    <n v="202644"/>
    <n v="771.92"/>
    <x v="37"/>
  </r>
  <r>
    <s v="AS-PREC-FLOS-BK"/>
    <x v="0"/>
    <s v="AQUASONIC WFLS PREC"/>
    <n v="202718"/>
    <n v="669.25"/>
    <x v="20"/>
  </r>
  <r>
    <s v="AS-PREC-FLOS-BK"/>
    <x v="0"/>
    <s v="AQUASONIC WFLS PREC"/>
    <n v="202630"/>
    <n v="678.77"/>
    <x v="38"/>
  </r>
  <r>
    <s v="AS-PREC-FLOS-BK"/>
    <x v="0"/>
    <s v="AQUASONIC WFLS PREC"/>
    <n v="202648"/>
    <n v="765.2"/>
    <x v="6"/>
  </r>
  <r>
    <s v="AS-PREC-FLOS-BK"/>
    <x v="0"/>
    <s v="AQUASONIC WFLS PREC"/>
    <n v="202626"/>
    <n v="669.01"/>
    <x v="11"/>
  </r>
  <r>
    <s v="AS-PREC-FLOS-BK"/>
    <x v="0"/>
    <s v="AQUASONIC WFLS PREC"/>
    <n v="202651"/>
    <n v="520.91"/>
    <x v="39"/>
  </r>
  <r>
    <s v="AS-PREC-FLOS-BK"/>
    <x v="0"/>
    <s v="AQUASONIC WFLS PREC"/>
    <n v="202613"/>
    <n v="705.2"/>
    <x v="29"/>
  </r>
  <r>
    <s v="AS-PREC-FLOS-BK"/>
    <x v="0"/>
    <s v="AQUASONIC WFLS PREC"/>
    <n v="202611"/>
    <n v="729.54"/>
    <x v="13"/>
  </r>
  <r>
    <s v="AS-PREC-FLOS-BK"/>
    <x v="0"/>
    <s v="AQUASONIC WFLS PREC"/>
    <n v="202624"/>
    <n v="650.44000000000005"/>
    <x v="40"/>
  </r>
  <r>
    <s v="AS-PREC-FLOS-BK"/>
    <x v="0"/>
    <s v="AQUASONIC WFLS PREC"/>
    <n v="202714"/>
    <n v="657.03"/>
    <x v="36"/>
  </r>
  <r>
    <s v="AS-PREC-FLOS-BK"/>
    <x v="0"/>
    <s v="AQUASONIC WFLS PREC"/>
    <n v="202641"/>
    <n v="752.08"/>
    <x v="41"/>
  </r>
  <r>
    <s v="AS-PREC-FLOS-BK"/>
    <x v="0"/>
    <s v="AQUASONIC WFLS PREC"/>
    <n v="202732"/>
    <n v="730.19"/>
    <x v="27"/>
  </r>
  <r>
    <s v="AS-PREC-FLOS-BK"/>
    <x v="0"/>
    <s v="AQUASONIC WFLS PREC"/>
    <n v="202550"/>
    <n v="644.67999999999995"/>
    <x v="21"/>
  </r>
  <r>
    <s v="AS-PREC-FLOS-BK"/>
    <x v="0"/>
    <s v="AQUASONIC WFLS PREC"/>
    <n v="202712"/>
    <n v="685.96"/>
    <x v="42"/>
  </r>
  <r>
    <s v="AS-PREC-FLOS-BK"/>
    <x v="0"/>
    <s v="AQUASONIC WFLS PREC"/>
    <n v="202638"/>
    <n v="716.31"/>
    <x v="22"/>
  </r>
  <r>
    <s v="AS-PREC-FLOS-BK"/>
    <x v="0"/>
    <s v="AQUASONIC WFLS PREC"/>
    <n v="202634"/>
    <n v="695.51"/>
    <x v="43"/>
  </r>
  <r>
    <s v="AS-PREC-FLOS-BK"/>
    <x v="0"/>
    <s v="AQUASONIC WFLS PREC"/>
    <n v="202541"/>
    <n v="752.76"/>
    <x v="41"/>
  </r>
  <r>
    <s v="AS-PREC-FLOS-BK"/>
    <x v="0"/>
    <s v="AQUASONIC WFLS PREC"/>
    <n v="202534"/>
    <n v="700.31"/>
    <x v="43"/>
  </r>
  <r>
    <s v="AS-PREC-FLOS-BK"/>
    <x v="0"/>
    <s v="AQUASONIC WFLS PREC"/>
    <n v="202627"/>
    <n v="665.29"/>
    <x v="44"/>
  </r>
  <r>
    <s v="AS-PREC-FLOS-BK"/>
    <x v="0"/>
    <s v="AQUASONIC WFLS PREC"/>
    <n v="202606"/>
    <n v="812.76"/>
    <x v="45"/>
  </r>
  <r>
    <s v="AS-PREC-FLOS-BK"/>
    <x v="0"/>
    <s v="AQUASONIC WFLS PREC"/>
    <n v="202542"/>
    <n v="704.49"/>
    <x v="18"/>
  </r>
  <r>
    <s v="AS-PREC-FLOS-BK"/>
    <x v="0"/>
    <s v="AQUASONIC WFLS PREC"/>
    <n v="202725"/>
    <n v="648.08000000000004"/>
    <x v="8"/>
  </r>
  <r>
    <s v="AS-PREC-FLOS-BK"/>
    <x v="0"/>
    <s v="AQUASONIC WFLS PREC"/>
    <n v="202536"/>
    <n v="697.01"/>
    <x v="14"/>
  </r>
  <r>
    <s v="AS-PREC-FLOS-BK"/>
    <x v="0"/>
    <s v="AQUASONIC WFLS PREC"/>
    <n v="202544"/>
    <n v="771.94"/>
    <x v="37"/>
  </r>
  <r>
    <s v="AS-PREC-FLOS-BK"/>
    <x v="0"/>
    <s v="AQUASONIC WFLS PREC"/>
    <n v="202607"/>
    <n v="802.9"/>
    <x v="46"/>
  </r>
  <r>
    <s v="AS-PREC-FLOS-BK"/>
    <x v="0"/>
    <s v="AQUASONIC WFLS PREC"/>
    <n v="202727"/>
    <n v="665.12"/>
    <x v="44"/>
  </r>
  <r>
    <s v="AS-PREC-FLOS-BK"/>
    <x v="0"/>
    <s v="AQUASONIC WFLS PREC"/>
    <n v="202546"/>
    <n v="1107.21"/>
    <x v="47"/>
  </r>
  <r>
    <s v="AS-PREC-FLOS-BK"/>
    <x v="0"/>
    <s v="AQUASONIC WFLS PREC"/>
    <n v="202610"/>
    <n v="746.44"/>
    <x v="48"/>
  </r>
  <r>
    <s v="AS-PREC-FLOS-BK"/>
    <x v="0"/>
    <s v="AQUASONIC WFLS PREC"/>
    <n v="202652"/>
    <n v="587.42999999999995"/>
    <x v="10"/>
  </r>
  <r>
    <s v="AS-PREC-FLOS-BK"/>
    <x v="0"/>
    <s v="AQUASONIC WFLS PREC"/>
    <n v="202631"/>
    <n v="641.64"/>
    <x v="49"/>
  </r>
  <r>
    <s v="AS-PREC-FLOS-BK"/>
    <x v="0"/>
    <s v="AQUASONIC WFLS PREC"/>
    <n v="202621"/>
    <n v="679.65"/>
    <x v="33"/>
  </r>
  <r>
    <s v="AS-PREC-FLOS-BK"/>
    <x v="0"/>
    <s v="AQUASONIC WFLS PREC"/>
    <n v="202619"/>
    <n v="653.4"/>
    <x v="31"/>
  </r>
  <r>
    <s v="AS-PREC-FLOS-BK"/>
    <x v="0"/>
    <s v="AQUASONIC WFLS PREC"/>
    <n v="202612"/>
    <n v="685.46"/>
    <x v="42"/>
  </r>
  <r>
    <s v="AS-PREC-FLOS-BK"/>
    <x v="0"/>
    <s v="AQUASONIC WFLS PREC"/>
    <n v="202724"/>
    <n v="650.17999999999995"/>
    <x v="40"/>
  </r>
  <r>
    <s v="AS-PREC-FLOS-BK"/>
    <x v="0"/>
    <s v="AQUASONIC WFLS PREC"/>
    <n v="202639"/>
    <n v="736.25"/>
    <x v="3"/>
  </r>
  <r>
    <s v="AS-PREC-FLOS-BK"/>
    <x v="0"/>
    <s v="AQUASONIC WFLS PREC"/>
    <n v="202728"/>
    <n v="687.31"/>
    <x v="50"/>
  </r>
  <r>
    <s v="AS-PREC-FLOS-BK"/>
    <x v="0"/>
    <s v="AQUASONIC WFLS PREC"/>
    <n v="202551"/>
    <n v="522.61"/>
    <x v="39"/>
  </r>
  <r>
    <s v="AS-PREC-FLOS-BK"/>
    <x v="0"/>
    <s v="AQUASONIC WFLS PREC"/>
    <n v="202540"/>
    <n v="749.44"/>
    <x v="23"/>
  </r>
  <r>
    <s v="AS-PREC-FLOS-BK"/>
    <x v="0"/>
    <s v="AQUASONIC WFLS PREC"/>
    <n v="202635"/>
    <n v="764.4"/>
    <x v="34"/>
  </r>
  <r>
    <s v="AS-PREC-FLOS-BK"/>
    <x v="0"/>
    <s v="AQUASONIC WFLS PREC"/>
    <n v="202706"/>
    <n v="813.15"/>
    <x v="45"/>
  </r>
  <r>
    <s v="AS-PREC-FLOS-BK"/>
    <x v="0"/>
    <s v="AQUASONIC WFLS PREC"/>
    <n v="202615"/>
    <n v="643.26"/>
    <x v="30"/>
  </r>
  <r>
    <s v="AS-PREC-FLOS-BK"/>
    <x v="0"/>
    <s v="AQUASONIC WFLS PREC"/>
    <n v="202623"/>
    <n v="650.07000000000005"/>
    <x v="51"/>
  </r>
  <r>
    <s v="AS-PREC-FLOS-BK"/>
    <x v="0"/>
    <s v="AQUASONIC WFLS PREC"/>
    <n v="202609"/>
    <n v="781.29"/>
    <x v="28"/>
  </r>
  <r>
    <s v="AS-PREC-FLOS-BK"/>
    <x v="0"/>
    <s v="AQUASONIC WFLS PREC"/>
    <n v="202710"/>
    <n v="746.41"/>
    <x v="48"/>
  </r>
  <r>
    <s v="AS-PREC-FLOS-BK"/>
    <x v="0"/>
    <s v="AQUASONIC WFLS PREC"/>
    <n v="202707"/>
    <n v="802.75"/>
    <x v="46"/>
  </r>
  <r>
    <s v="AS-PREC-FLOS-BK"/>
    <x v="0"/>
    <s v="AQUASONIC WFLS PREC"/>
    <n v="202633"/>
    <n v="732.65"/>
    <x v="7"/>
  </r>
  <r>
    <s v="AS-PREC-FLOS-BK"/>
    <x v="0"/>
    <s v="AQUASONIC WFLS PREC"/>
    <n v="202628"/>
    <n v="687.55"/>
    <x v="50"/>
  </r>
  <r>
    <s v="AS-PREC-FLOS-BK"/>
    <x v="0"/>
    <s v="AQUASONIC WFLS PREC"/>
    <n v="202545"/>
    <n v="850.21"/>
    <x v="15"/>
  </r>
  <r>
    <s v="AS-PREC-FLOS-BK"/>
    <x v="0"/>
    <s v="AQUASONIC WFLS PREC"/>
    <n v="202605"/>
    <n v="914.4"/>
    <x v="24"/>
  </r>
  <r>
    <s v="AS-PREC-FLOS-BK"/>
    <x v="0"/>
    <s v="AQUASONIC WFLS PREC"/>
    <n v="202723"/>
    <n v="649.82000000000005"/>
    <x v="51"/>
  </r>
  <r>
    <s v="AS-PREC-FLOS-BK"/>
    <x v="0"/>
    <s v="AQUASONIC WFLS PREC"/>
    <n v="202730"/>
    <n v="641.21"/>
    <x v="38"/>
  </r>
  <r>
    <s v="AS-PREC-FLOS-BK"/>
    <x v="0"/>
    <s v="AQUASONIC WFLS PREC"/>
    <n v="202603"/>
    <n v="801.73"/>
    <x v="9"/>
  </r>
  <r>
    <s v="AS-PREC-FLOS-BK"/>
    <x v="0"/>
    <s v="AQUASONIC WFLS PREC"/>
    <n v="202620"/>
    <n v="679.65"/>
    <x v="19"/>
  </r>
  <r>
    <s v="AS-PREC-FLOS-BK"/>
    <x v="0"/>
    <s v="AQUASONIC WFLS PREC"/>
    <n v="202731"/>
    <n v="603.47"/>
    <x v="49"/>
  </r>
  <r>
    <s v="AS-PREC-FLOS-BK"/>
    <x v="0"/>
    <s v="AQUASONIC WFLS PREC"/>
    <n v="202729"/>
    <n v="678.07"/>
    <x v="0"/>
  </r>
  <r>
    <s v="AS-PREC-FLOS-BK"/>
    <x v="0"/>
    <s v="AQUASONIC WFLS PREC"/>
    <n v="202646"/>
    <n v="1107.3499999999999"/>
    <x v="47"/>
  </r>
  <r>
    <s v="AS-PREC-TB-BK"/>
    <x v="1"/>
    <s v="AS TOOTHBRUSH"/>
    <n v="202622"/>
    <n v="606.66999999999996"/>
    <x v="2"/>
  </r>
  <r>
    <s v="AS-PREC-TB-BK"/>
    <x v="1"/>
    <s v="AS TOOTHBRUSH"/>
    <n v="202719"/>
    <n v="602.64"/>
    <x v="31"/>
  </r>
  <r>
    <s v="AS-PREC-TB-BK"/>
    <x v="1"/>
    <s v="AS TOOTHBRUSH"/>
    <n v="202627"/>
    <n v="676.03"/>
    <x v="44"/>
  </r>
  <r>
    <s v="AS-PREC-TB-BK"/>
    <x v="1"/>
    <s v="AS TOOTHBRUSH"/>
    <n v="202608"/>
    <n v="822.5"/>
    <x v="25"/>
  </r>
  <r>
    <s v="AS-PREC-TB-BK"/>
    <x v="1"/>
    <s v="AS TOOTHBRUSH"/>
    <n v="202647"/>
    <n v="1265.56"/>
    <x v="16"/>
  </r>
  <r>
    <s v="AS-PREC-TB-BK"/>
    <x v="1"/>
    <s v="AS TOOTHBRUSH"/>
    <n v="202616"/>
    <n v="583.6"/>
    <x v="35"/>
  </r>
  <r>
    <s v="AS-PREC-TB-BK"/>
    <x v="1"/>
    <s v="AS TOOTHBRUSH"/>
    <n v="202614"/>
    <n v="634.13"/>
    <x v="36"/>
  </r>
  <r>
    <s v="AS-PREC-TB-BK"/>
    <x v="1"/>
    <s v="AS TOOTHBRUSH"/>
    <n v="202623"/>
    <n v="607.27"/>
    <x v="51"/>
  </r>
  <r>
    <s v="AS-PREC-TB-BK"/>
    <x v="1"/>
    <s v="AS TOOTHBRUSH"/>
    <n v="202728"/>
    <n v="740.61"/>
    <x v="50"/>
  </r>
  <r>
    <s v="AS-PREC-TB-BK"/>
    <x v="1"/>
    <s v="AS TOOTHBRUSH"/>
    <n v="202546"/>
    <n v="1231.73"/>
    <x v="47"/>
  </r>
  <r>
    <s v="AS-PREC-TB-BK"/>
    <x v="1"/>
    <s v="AS TOOTHBRUSH"/>
    <n v="202714"/>
    <n v="633.63"/>
    <x v="36"/>
  </r>
  <r>
    <s v="AS-PREC-TB-BK"/>
    <x v="1"/>
    <s v="AS TOOTHBRUSH"/>
    <n v="202703"/>
    <n v="730.93"/>
    <x v="9"/>
  </r>
  <r>
    <s v="AS-PREC-TB-BK"/>
    <x v="1"/>
    <s v="AS TOOTHBRUSH"/>
    <n v="202705"/>
    <n v="876.48"/>
    <x v="24"/>
  </r>
  <r>
    <s v="AS-PREC-TB-BK"/>
    <x v="1"/>
    <s v="AS TOOTHBRUSH"/>
    <n v="202618"/>
    <n v="589.4"/>
    <x v="20"/>
  </r>
  <r>
    <s v="AS-PREC-TB-BK"/>
    <x v="1"/>
    <s v="AS TOOTHBRUSH"/>
    <n v="202649"/>
    <n v="686.02"/>
    <x v="32"/>
  </r>
  <r>
    <s v="AS-PREC-TB-BK"/>
    <x v="1"/>
    <s v="AS TOOTHBRUSH"/>
    <n v="202620"/>
    <n v="624.25"/>
    <x v="19"/>
  </r>
  <r>
    <s v="AS-PREC-TB-BK"/>
    <x v="1"/>
    <s v="AS TOOTHBRUSH"/>
    <n v="202539"/>
    <n v="787.75"/>
    <x v="3"/>
  </r>
  <r>
    <s v="AS-PREC-TB-BK"/>
    <x v="1"/>
    <s v="AS TOOTHBRUSH"/>
    <n v="202642"/>
    <n v="728.72"/>
    <x v="18"/>
  </r>
  <r>
    <s v="AS-PREC-TB-BK"/>
    <x v="1"/>
    <s v="AS TOOTHBRUSH"/>
    <n v="202721"/>
    <n v="623.54"/>
    <x v="33"/>
  </r>
  <r>
    <s v="AS-PREC-TB-BK"/>
    <x v="1"/>
    <s v="AS TOOTHBRUSH"/>
    <n v="202610"/>
    <n v="754.93"/>
    <x v="48"/>
  </r>
  <r>
    <s v="AS-PREC-TB-BK"/>
    <x v="1"/>
    <s v="AS TOOTHBRUSH"/>
    <n v="202638"/>
    <n v="727.94"/>
    <x v="22"/>
  </r>
  <r>
    <s v="AS-PREC-TB-BK"/>
    <x v="1"/>
    <s v="AS TOOTHBRUSH"/>
    <n v="202706"/>
    <n v="812.8"/>
    <x v="45"/>
  </r>
  <r>
    <s v="AS-PREC-TB-BK"/>
    <x v="1"/>
    <s v="AS TOOTHBRUSH"/>
    <n v="202542"/>
    <n v="730.58"/>
    <x v="18"/>
  </r>
  <r>
    <s v="AS-PREC-TB-BK"/>
    <x v="1"/>
    <s v="AS TOOTHBRUSH"/>
    <n v="202607"/>
    <n v="818.06"/>
    <x v="46"/>
  </r>
  <r>
    <s v="AS-PREC-TB-BK"/>
    <x v="1"/>
    <s v="AS TOOTHBRUSH"/>
    <n v="202634"/>
    <n v="768.85"/>
    <x v="43"/>
  </r>
  <r>
    <s v="AS-PREC-TB-BK"/>
    <x v="1"/>
    <s v="AS TOOTHBRUSH"/>
    <n v="202552"/>
    <n v="557.29"/>
    <x v="10"/>
  </r>
  <r>
    <s v="AS-PREC-TB-BK"/>
    <x v="1"/>
    <s v="AS TOOTHBRUSH"/>
    <n v="202612"/>
    <n v="699.55"/>
    <x v="42"/>
  </r>
  <r>
    <s v="AS-PREC-TB-BK"/>
    <x v="1"/>
    <s v="AS TOOTHBRUSH"/>
    <n v="202651"/>
    <n v="530.53"/>
    <x v="39"/>
  </r>
  <r>
    <s v="AS-PREC-TB-BK"/>
    <x v="1"/>
    <s v="AS TOOTHBRUSH"/>
    <n v="202604"/>
    <n v="932.18"/>
    <x v="4"/>
  </r>
  <r>
    <s v="AS-PREC-TB-BK"/>
    <x v="1"/>
    <s v="AS TOOTHBRUSH"/>
    <n v="202717"/>
    <n v="541.99"/>
    <x v="1"/>
  </r>
  <r>
    <s v="AS-PREC-TB-BK"/>
    <x v="1"/>
    <s v="AS TOOTHBRUSH"/>
    <n v="202543"/>
    <n v="630.79999999999995"/>
    <x v="26"/>
  </r>
  <r>
    <s v="AS-PREC-TB-BK"/>
    <x v="1"/>
    <s v="AS TOOTHBRUSH"/>
    <n v="202535"/>
    <n v="841.22"/>
    <x v="34"/>
  </r>
  <r>
    <s v="AS-PREC-TB-BK"/>
    <x v="1"/>
    <s v="AS TOOTHBRUSH"/>
    <n v="202637"/>
    <n v="745.65"/>
    <x v="17"/>
  </r>
  <r>
    <s v="AS-PREC-TB-BK"/>
    <x v="1"/>
    <s v="AS TOOTHBRUSH"/>
    <n v="202732"/>
    <n v="740.43"/>
    <x v="27"/>
  </r>
  <r>
    <s v="AS-PREC-TB-BK"/>
    <x v="1"/>
    <s v="AS TOOTHBRUSH"/>
    <n v="202547"/>
    <n v="1268.8900000000001"/>
    <x v="16"/>
  </r>
  <r>
    <s v="AS-PREC-TB-BK"/>
    <x v="1"/>
    <s v="AS TOOTHBRUSH"/>
    <n v="202533"/>
    <n v="730.97"/>
    <x v="7"/>
  </r>
  <r>
    <s v="AS-PREC-TB-BK"/>
    <x v="1"/>
    <s v="AS TOOTHBRUSH"/>
    <n v="202731"/>
    <n v="579.53"/>
    <x v="49"/>
  </r>
  <r>
    <s v="AS-PREC-TB-BK"/>
    <x v="1"/>
    <s v="AS TOOTHBRUSH"/>
    <n v="202643"/>
    <n v="629.09"/>
    <x v="26"/>
  </r>
  <r>
    <s v="AS-PREC-TB-BK"/>
    <x v="1"/>
    <s v="AS TOOTHBRUSH"/>
    <n v="202603"/>
    <n v="731.65"/>
    <x v="9"/>
  </r>
  <r>
    <s v="AS-PREC-TB-BK"/>
    <x v="1"/>
    <s v="AS TOOTHBRUSH"/>
    <n v="202621"/>
    <n v="624.25"/>
    <x v="33"/>
  </r>
  <r>
    <s v="AS-PREC-TB-BK"/>
    <x v="1"/>
    <s v="AS TOOTHBRUSH"/>
    <n v="202641"/>
    <n v="757.1"/>
    <x v="41"/>
  </r>
  <r>
    <s v="AS-PREC-TB-BK"/>
    <x v="1"/>
    <s v="AS TOOTHBRUSH"/>
    <n v="202702"/>
    <n v="578.75"/>
    <x v="5"/>
  </r>
  <r>
    <s v="AS-PREC-TB-BK"/>
    <x v="1"/>
    <s v="AS TOOTHBRUSH"/>
    <n v="202708"/>
    <n v="822.19"/>
    <x v="25"/>
  </r>
  <r>
    <s v="AS-PREC-TB-BK"/>
    <x v="1"/>
    <s v="AS TOOTHBRUSH"/>
    <n v="202716"/>
    <n v="582.91"/>
    <x v="35"/>
  </r>
  <r>
    <s v="AS-PREC-TB-BK"/>
    <x v="1"/>
    <s v="AS TOOTHBRUSH"/>
    <n v="202545"/>
    <n v="931.42"/>
    <x v="15"/>
  </r>
  <r>
    <s v="AS-PREC-TB-BK"/>
    <x v="1"/>
    <s v="AS TOOTHBRUSH"/>
    <n v="202650"/>
    <n v="636.25"/>
    <x v="21"/>
  </r>
  <r>
    <s v="AS-PREC-TB-BK"/>
    <x v="1"/>
    <s v="AS TOOTHBRUSH"/>
    <n v="202720"/>
    <n v="623.54"/>
    <x v="19"/>
  </r>
  <r>
    <s v="AS-PREC-TB-BK"/>
    <x v="1"/>
    <s v="AS TOOTHBRUSH"/>
    <n v="202632"/>
    <n v="584.80999999999995"/>
    <x v="27"/>
  </r>
  <r>
    <s v="AS-PREC-TB-BK"/>
    <x v="1"/>
    <s v="AS TOOTHBRUSH"/>
    <n v="202704"/>
    <n v="931.67"/>
    <x v="4"/>
  </r>
  <r>
    <s v="AS-PREC-TB-BK"/>
    <x v="1"/>
    <s v="AS TOOTHBRUSH"/>
    <n v="202626"/>
    <n v="669.88"/>
    <x v="11"/>
  </r>
  <r>
    <s v="AS-PREC-TB-BK"/>
    <x v="1"/>
    <s v="AS TOOTHBRUSH"/>
    <n v="202629"/>
    <n v="669.34"/>
    <x v="0"/>
  </r>
  <r>
    <s v="AS-PREC-TB-BK"/>
    <x v="1"/>
    <s v="AS TOOTHBRUSH"/>
    <n v="202710"/>
    <n v="754.61"/>
    <x v="48"/>
  </r>
  <r>
    <s v="AS-PREC-TB-BK"/>
    <x v="1"/>
    <s v="AS TOOTHBRUSH"/>
    <n v="202536"/>
    <n v="759.64"/>
    <x v="14"/>
  </r>
  <r>
    <s v="AS-PREC-TB-BK"/>
    <x v="1"/>
    <s v="AS TOOTHBRUSH"/>
    <n v="202711"/>
    <n v="749.35"/>
    <x v="13"/>
  </r>
  <r>
    <s v="AS-PREC-TB-BK"/>
    <x v="1"/>
    <s v="AS TOOTHBRUSH"/>
    <n v="202709"/>
    <n v="792.69"/>
    <x v="28"/>
  </r>
  <r>
    <s v="AS-PREC-TB-BK"/>
    <x v="1"/>
    <s v="AS TOOTHBRUSH"/>
    <n v="202724"/>
    <n v="600.65"/>
    <x v="40"/>
  </r>
  <r>
    <s v="AS-PREC-TB-BK"/>
    <x v="1"/>
    <s v="AS TOOTHBRUSH"/>
    <n v="202538"/>
    <n v="729.84"/>
    <x v="22"/>
  </r>
  <r>
    <s v="AS-PREC-TB-BK"/>
    <x v="1"/>
    <s v="AS TOOTHBRUSH"/>
    <n v="202631"/>
    <n v="635.64"/>
    <x v="49"/>
  </r>
  <r>
    <s v="AS-PREC-TB-BK"/>
    <x v="1"/>
    <s v="AS TOOTHBRUSH"/>
    <n v="202615"/>
    <n v="617.39"/>
    <x v="30"/>
  </r>
  <r>
    <s v="AS-PREC-TB-BK"/>
    <x v="1"/>
    <s v="AS TOOTHBRUSH"/>
    <n v="202718"/>
    <n v="588.73"/>
    <x v="20"/>
  </r>
  <r>
    <s v="AS-PREC-TB-BK"/>
    <x v="1"/>
    <s v="AS TOOTHBRUSH"/>
    <n v="202611"/>
    <n v="750"/>
    <x v="13"/>
  </r>
  <r>
    <s v="AS-PREC-TB-BK"/>
    <x v="1"/>
    <s v="AS TOOTHBRUSH"/>
    <n v="202729"/>
    <n v="668.72"/>
    <x v="0"/>
  </r>
  <r>
    <s v="AS-PREC-TB-BK"/>
    <x v="1"/>
    <s v="AS TOOTHBRUSH"/>
    <n v="202645"/>
    <n v="928.77"/>
    <x v="15"/>
  </r>
  <r>
    <s v="AS-PREC-TB-BK"/>
    <x v="1"/>
    <s v="AS TOOTHBRUSH"/>
    <n v="202712"/>
    <n v="698.86"/>
    <x v="42"/>
  </r>
  <r>
    <s v="AS-PREC-TB-BK"/>
    <x v="1"/>
    <s v="AS TOOTHBRUSH"/>
    <n v="202648"/>
    <n v="772.17"/>
    <x v="6"/>
  </r>
  <r>
    <s v="AS-PREC-TB-BK"/>
    <x v="1"/>
    <s v="AS TOOTHBRUSH"/>
    <n v="202630"/>
    <n v="669.34"/>
    <x v="38"/>
  </r>
  <r>
    <s v="AS-PREC-TB-BK"/>
    <x v="1"/>
    <s v="AS TOOTHBRUSH"/>
    <n v="202537"/>
    <n v="748.35"/>
    <x v="17"/>
  </r>
  <r>
    <s v="AS-PREC-TB-BK"/>
    <x v="1"/>
    <s v="AS TOOTHBRUSH"/>
    <n v="202730"/>
    <n v="634.70000000000005"/>
    <x v="38"/>
  </r>
  <r>
    <s v="AS-PREC-TB-BK"/>
    <x v="1"/>
    <s v="AS TOOTHBRUSH"/>
    <n v="202725"/>
    <n v="617.75"/>
    <x v="8"/>
  </r>
  <r>
    <s v="AS-PREC-TB-BK"/>
    <x v="1"/>
    <s v="AS TOOTHBRUSH"/>
    <n v="202624"/>
    <n v="601.32000000000005"/>
    <x v="40"/>
  </r>
  <r>
    <s v="AS-PREC-TB-BK"/>
    <x v="1"/>
    <s v="AS TOOTHBRUSH"/>
    <n v="202713"/>
    <n v="705.26"/>
    <x v="29"/>
  </r>
  <r>
    <s v="AS-PREC-TB-BK"/>
    <x v="1"/>
    <s v="AS TOOTHBRUSH"/>
    <n v="202635"/>
    <n v="837.92"/>
    <x v="34"/>
  </r>
  <r>
    <s v="AS-PREC-TB-BK"/>
    <x v="1"/>
    <s v="AS TOOTHBRUSH"/>
    <n v="202722"/>
    <n v="606.07000000000005"/>
    <x v="2"/>
  </r>
  <r>
    <s v="AS-PREC-TB-BK"/>
    <x v="1"/>
    <s v="AS TOOTHBRUSH"/>
    <n v="202541"/>
    <n v="759"/>
    <x v="41"/>
  </r>
  <r>
    <s v="AS-PREC-TB-BK"/>
    <x v="1"/>
    <s v="AS TOOTHBRUSH"/>
    <n v="202605"/>
    <n v="877.31"/>
    <x v="24"/>
  </r>
  <r>
    <s v="AS-PREC-TB-BK"/>
    <x v="1"/>
    <s v="AS TOOTHBRUSH"/>
    <n v="202715"/>
    <n v="616.88"/>
    <x v="30"/>
  </r>
  <r>
    <s v="AS-PREC-TB-BK"/>
    <x v="1"/>
    <s v="AS TOOTHBRUSH"/>
    <n v="202726"/>
    <n v="668.63"/>
    <x v="11"/>
  </r>
  <r>
    <s v="AS-PREC-TB-BK"/>
    <x v="1"/>
    <s v="AS TOOTHBRUSH"/>
    <n v="202551"/>
    <n v="531.53"/>
    <x v="39"/>
  </r>
  <r>
    <s v="AS-PREC-TB-BK"/>
    <x v="1"/>
    <s v="AS TOOTHBRUSH"/>
    <n v="202640"/>
    <n v="772.03"/>
    <x v="23"/>
  </r>
  <r>
    <s v="AS-PREC-TB-BK"/>
    <x v="1"/>
    <s v="AS TOOTHBRUSH"/>
    <n v="202646"/>
    <n v="1228.5999999999999"/>
    <x v="47"/>
  </r>
  <r>
    <s v="AS-PREC-TB-BK"/>
    <x v="1"/>
    <s v="AS TOOTHBRUSH"/>
    <n v="202652"/>
    <n v="556.51"/>
    <x v="10"/>
  </r>
  <r>
    <s v="AS-PREC-TB-BK"/>
    <x v="1"/>
    <s v="AS TOOTHBRUSH"/>
    <n v="202602"/>
    <n v="579.46"/>
    <x v="5"/>
  </r>
  <r>
    <s v="AS-PREC-TB-BK"/>
    <x v="1"/>
    <s v="AS TOOTHBRUSH"/>
    <n v="202633"/>
    <n v="728.12"/>
    <x v="7"/>
  </r>
  <r>
    <s v="AS-PREC-TB-BK"/>
    <x v="1"/>
    <s v="AS TOOTHBRUSH"/>
    <n v="202619"/>
    <n v="603.23"/>
    <x v="31"/>
  </r>
  <r>
    <s v="AS-PREC-TB-BK"/>
    <x v="1"/>
    <s v="AS TOOTHBRUSH"/>
    <n v="202639"/>
    <n v="785.44"/>
    <x v="3"/>
  </r>
  <r>
    <s v="AS-PREC-TB-BK"/>
    <x v="1"/>
    <s v="AS TOOTHBRUSH"/>
    <n v="202540"/>
    <n v="774.03"/>
    <x v="23"/>
  </r>
  <r>
    <s v="AS-PREC-TB-BK"/>
    <x v="1"/>
    <s v="AS TOOTHBRUSH"/>
    <n v="202613"/>
    <n v="705.81"/>
    <x v="29"/>
  </r>
  <r>
    <s v="AS-PREC-TB-BK"/>
    <x v="1"/>
    <s v="AS TOOTHBRUSH"/>
    <n v="202549"/>
    <n v="687.7"/>
    <x v="32"/>
  </r>
  <r>
    <s v="AS-PREC-TB-BK"/>
    <x v="1"/>
    <s v="AS TOOTHBRUSH"/>
    <n v="202707"/>
    <n v="817.39"/>
    <x v="46"/>
  </r>
  <r>
    <s v="AS-PREC-TB-BK"/>
    <x v="1"/>
    <s v="AS TOOTHBRUSH"/>
    <n v="202617"/>
    <n v="542.75"/>
    <x v="1"/>
  </r>
  <r>
    <s v="AS-PREC-TB-BK"/>
    <x v="1"/>
    <s v="AS TOOTHBRUSH"/>
    <n v="202636"/>
    <n v="757.3"/>
    <x v="14"/>
  </r>
  <r>
    <s v="AS-PREC-TB-BK"/>
    <x v="1"/>
    <s v="AS TOOTHBRUSH"/>
    <n v="202625"/>
    <n v="618.89"/>
    <x v="8"/>
  </r>
  <r>
    <s v="AS-PREC-TB-BK"/>
    <x v="1"/>
    <s v="AS TOOTHBRUSH"/>
    <n v="202550"/>
    <n v="638.08000000000004"/>
    <x v="21"/>
  </r>
  <r>
    <s v="AS-PREC-TB-BK"/>
    <x v="1"/>
    <s v="AS TOOTHBRUSH"/>
    <n v="202701"/>
    <n v="535.42999999999995"/>
    <x v="12"/>
  </r>
  <r>
    <s v="AS-PREC-TB-BK"/>
    <x v="1"/>
    <s v="AS TOOTHBRUSH"/>
    <n v="202727"/>
    <n v="675.2"/>
    <x v="44"/>
  </r>
  <r>
    <s v="AS-PREC-TB-BK"/>
    <x v="1"/>
    <s v="AS TOOTHBRUSH"/>
    <n v="202644"/>
    <n v="819.01"/>
    <x v="37"/>
  </r>
  <r>
    <s v="AS-PREC-TB-BK"/>
    <x v="1"/>
    <s v="AS TOOTHBRUSH"/>
    <n v="202534"/>
    <n v="772.18"/>
    <x v="43"/>
  </r>
  <r>
    <s v="AS-PREC-TB-BK"/>
    <x v="1"/>
    <s v="AS TOOTHBRUSH"/>
    <n v="202606"/>
    <n v="813.02"/>
    <x v="45"/>
  </r>
  <r>
    <s v="AS-PREC-TB-BK"/>
    <x v="1"/>
    <s v="AS TOOTHBRUSH"/>
    <n v="202609"/>
    <n v="793.07"/>
    <x v="28"/>
  </r>
  <r>
    <s v="AS-PREC-TB-BK"/>
    <x v="1"/>
    <s v="AS TOOTHBRUSH"/>
    <n v="202628"/>
    <n v="741.08"/>
    <x v="50"/>
  </r>
  <r>
    <s v="AS-PREC-TB-BK"/>
    <x v="1"/>
    <s v="AS TOOTHBRUSH"/>
    <n v="202544"/>
    <n v="821.41"/>
    <x v="37"/>
  </r>
  <r>
    <s v="AS-PREC-TB-BK"/>
    <x v="1"/>
    <s v="AS TOOTHBRUSH"/>
    <n v="202601"/>
    <n v="536.41"/>
    <x v="12"/>
  </r>
  <r>
    <s v="AS-PREC-TB-BK"/>
    <x v="1"/>
    <s v="AS TOOTHBRUSH"/>
    <n v="202548"/>
    <n v="774.2"/>
    <x v="6"/>
  </r>
  <r>
    <s v="AS-PREC-TB-BK"/>
    <x v="1"/>
    <s v="AS TOOTHBRUSH"/>
    <n v="202723"/>
    <n v="606.63"/>
    <x v="51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6F9DE-F510-44EF-9A12-447C7BCC8EF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M19:P24" firstHeaderRow="2" firstDataRow="2" firstDataCol="3"/>
  <pivotFields count="5">
    <pivotField axis="axisRow" compact="0" outline="0" showAll="0" defaultSubtotal="0">
      <items count="30">
        <item m="1" x="26"/>
        <item m="1" x="27"/>
        <item m="1" x="28"/>
        <item m="1" x="29"/>
        <item x="2"/>
        <item m="1" x="11"/>
        <item m="1" x="6"/>
        <item m="1" x="13"/>
        <item m="1" x="22"/>
        <item m="1" x="19"/>
        <item m="1" x="15"/>
        <item m="1" x="9"/>
        <item m="1" x="21"/>
        <item m="1" x="10"/>
        <item m="1" x="16"/>
        <item m="1" x="24"/>
        <item m="1" x="17"/>
        <item m="1" x="18"/>
        <item m="1" x="7"/>
        <item m="1" x="20"/>
        <item m="1" x="3"/>
        <item m="1" x="12"/>
        <item m="1" x="5"/>
        <item m="1" x="4"/>
        <item m="1" x="23"/>
        <item m="1" x="14"/>
        <item m="1" x="25"/>
        <item m="1" x="8"/>
        <item x="0"/>
        <item x="1"/>
      </items>
    </pivotField>
    <pivotField axis="axisRow" compact="0" outline="0" showAll="0" defaultSubtotal="0">
      <items count="30">
        <item m="1" x="29"/>
        <item m="1" x="28"/>
        <item m="1" x="27"/>
        <item m="1" x="26"/>
        <item x="2"/>
        <item m="1" x="11"/>
        <item m="1" x="6"/>
        <item m="1" x="13"/>
        <item m="1" x="22"/>
        <item m="1" x="19"/>
        <item m="1" x="15"/>
        <item m="1" x="9"/>
        <item m="1" x="21"/>
        <item m="1" x="10"/>
        <item m="1" x="16"/>
        <item m="1" x="24"/>
        <item m="1" x="17"/>
        <item m="1" x="18"/>
        <item m="1" x="7"/>
        <item m="1" x="20"/>
        <item m="1" x="3"/>
        <item m="1" x="12"/>
        <item m="1" x="5"/>
        <item m="1" x="4"/>
        <item m="1" x="23"/>
        <item m="1" x="14"/>
        <item m="1" x="25"/>
        <item m="1" x="8"/>
        <item x="0"/>
        <item x="1"/>
      </items>
    </pivotField>
    <pivotField axis="axisRow" compact="0" outline="0" showAll="0">
      <items count="31">
        <item m="1" x="28"/>
        <item m="1" x="27"/>
        <item m="1" x="29"/>
        <item m="1" x="26"/>
        <item x="2"/>
        <item m="1" x="11"/>
        <item m="1" x="6"/>
        <item m="1" x="13"/>
        <item m="1" x="22"/>
        <item m="1" x="19"/>
        <item m="1" x="15"/>
        <item m="1" x="9"/>
        <item m="1" x="21"/>
        <item m="1" x="10"/>
        <item m="1" x="16"/>
        <item m="1" x="24"/>
        <item m="1" x="17"/>
        <item m="1" x="18"/>
        <item m="1" x="7"/>
        <item m="1" x="20"/>
        <item m="1" x="3"/>
        <item m="1" x="12"/>
        <item m="1" x="5"/>
        <item m="1" x="4"/>
        <item m="1" x="23"/>
        <item m="1" x="14"/>
        <item m="1" x="25"/>
        <item m="1" x="8"/>
        <item x="0"/>
        <item x="1"/>
        <item t="default"/>
      </items>
    </pivotField>
    <pivotField compact="0" outline="0" showAll="0"/>
    <pivotField dataField="1" compact="0" outline="0" showAll="0"/>
  </pivotFields>
  <rowFields count="3">
    <field x="0"/>
    <field x="1"/>
    <field x="2"/>
  </rowFields>
  <rowItems count="4">
    <i>
      <x v="4"/>
      <x v="4"/>
      <x v="4"/>
    </i>
    <i>
      <x v="28"/>
      <x v="28"/>
      <x v="28"/>
    </i>
    <i>
      <x v="29"/>
      <x v="29"/>
      <x v="29"/>
    </i>
    <i t="grand">
      <x/>
    </i>
  </rowItems>
  <colItems count="1">
    <i/>
  </colItems>
  <dataFields count="1">
    <dataField name="Sum of final_fcst_each_qty" fld="4" baseField="0" baseItem="0" numFmtId="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165F4-B1FD-41DC-90C9-D96B2BE1DD46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0:BX25" firstHeaderRow="1" firstDataRow="2" firstDataCol="1"/>
  <pivotFields count="6">
    <pivotField showAll="0"/>
    <pivotField axis="axisRow" showAll="0">
      <items count="31">
        <item m="1" x="29"/>
        <item m="1" x="28"/>
        <item m="1" x="27"/>
        <item m="1" x="26"/>
        <item x="2"/>
        <item m="1" x="11"/>
        <item m="1" x="6"/>
        <item m="1" x="13"/>
        <item m="1" x="22"/>
        <item m="1" x="19"/>
        <item m="1" x="15"/>
        <item m="1" x="9"/>
        <item m="1" x="21"/>
        <item m="1" x="10"/>
        <item m="1" x="16"/>
        <item m="1" x="24"/>
        <item m="1" x="17"/>
        <item m="1" x="18"/>
        <item m="1" x="7"/>
        <item m="1" x="20"/>
        <item m="1" x="3"/>
        <item m="1" x="12"/>
        <item m="1" x="5"/>
        <item m="1" x="4"/>
        <item m="1" x="23"/>
        <item m="1" x="14"/>
        <item m="1" x="25"/>
        <item m="1" x="8"/>
        <item x="0"/>
        <item x="1"/>
        <item t="default"/>
      </items>
    </pivotField>
    <pivotField showAll="0"/>
    <pivotField showAll="0"/>
    <pivotField dataField="1" showAll="0"/>
    <pivotField axis="axisCol" showAll="0">
      <items count="56">
        <item x="12"/>
        <item x="5"/>
        <item x="9"/>
        <item x="4"/>
        <item x="24"/>
        <item x="45"/>
        <item x="46"/>
        <item x="25"/>
        <item x="28"/>
        <item x="48"/>
        <item x="13"/>
        <item x="42"/>
        <item x="29"/>
        <item x="36"/>
        <item x="30"/>
        <item x="35"/>
        <item x="1"/>
        <item x="20"/>
        <item x="31"/>
        <item x="19"/>
        <item x="33"/>
        <item x="2"/>
        <item x="51"/>
        <item x="40"/>
        <item x="8"/>
        <item x="11"/>
        <item x="44"/>
        <item x="50"/>
        <item x="0"/>
        <item x="38"/>
        <item x="49"/>
        <item x="27"/>
        <item x="7"/>
        <item x="43"/>
        <item x="34"/>
        <item x="14"/>
        <item x="17"/>
        <item x="22"/>
        <item x="3"/>
        <item x="23"/>
        <item x="41"/>
        <item x="18"/>
        <item x="26"/>
        <item x="37"/>
        <item x="15"/>
        <item x="47"/>
        <item x="16"/>
        <item x="6"/>
        <item x="32"/>
        <item x="21"/>
        <item x="39"/>
        <item x="10"/>
        <item m="1" x="54"/>
        <item x="53"/>
        <item x="52"/>
        <item t="default"/>
      </items>
    </pivotField>
  </pivotFields>
  <rowFields count="1">
    <field x="1"/>
  </rowFields>
  <rowItems count="4">
    <i>
      <x v="4"/>
    </i>
    <i>
      <x v="28"/>
    </i>
    <i>
      <x v="29"/>
    </i>
    <i t="grand">
      <x/>
    </i>
  </rowItems>
  <colFields count="1">
    <field x="5"/>
  </colFields>
  <col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 t="grand">
      <x/>
    </i>
  </colItems>
  <dataFields count="1">
    <dataField name="Sum of final_fcst_each_qty" fld="4" baseField="0" baseItem="0" numFmtId="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9F41BE-6844-40CF-BC3F-A9740C0417FB}" name="Table4" displayName="Table4" ref="B2:AX4" totalsRowShown="0" headerRowDxfId="54" dataDxfId="53">
  <autoFilter ref="B2:AX4" xr:uid="{5A054EDA-15FB-467C-8C59-D51E37BBA470}"/>
  <sortState xmlns:xlrd2="http://schemas.microsoft.com/office/spreadsheetml/2017/richdata2" ref="B3:AX4">
    <sortCondition descending="1" ref="V2:V4"/>
  </sortState>
  <tableColumns count="49">
    <tableColumn id="1" xr3:uid="{252680E8-62DB-4959-B05C-3FC888309C57}" name="Prime Item Nbr" dataDxfId="52"/>
    <tableColumn id="2" xr3:uid="{CEA5FEAB-F13B-4938-88FF-D7547EBEFB52}" name="Prime Item Desc" dataDxfId="51"/>
    <tableColumn id="3" xr3:uid="{17B7B83B-D689-4019-8C6C-2ABBB940AECF}" name="Vendor Stk Nbr" dataDxfId="50">
      <calculatedColumnFormula>VLOOKUP($B3,'Luminate Item Data'!A:C,3,FALSE)</calculatedColumnFormula>
    </tableColumn>
    <tableColumn id="59" xr3:uid="{F9AB7E1E-4BA4-4A10-8C61-3093579C05E9}" name=" Curr Repl Instock %" dataDxfId="49">
      <calculatedColumnFormula>VLOOKUP($B3,'Luminate Item Data'!$A:$AS,45,FALSE)</calculatedColumnFormula>
    </tableColumn>
    <tableColumn id="58" xr3:uid="{E675EF06-0A15-4E5B-BFCE-07F606D668BB}" name=" LW U/S/W" dataDxfId="48">
      <calculatedColumnFormula>IFERROR(($R3/$O3),"-")</calculatedColumnFormula>
    </tableColumn>
    <tableColumn id="57" xr3:uid="{BBAB5BF9-6251-4088-9B07-E632240B64BE}" name=" LW $/S/W" dataDxfId="47">
      <calculatedColumnFormula>IFERROR(($V3/$O3),"-")</calculatedColumnFormula>
    </tableColumn>
    <tableColumn id="56" xr3:uid="{8AD98F29-D34E-4ACE-A536-AB742EF0D9D4}" name="YTD $/P/W" dataDxfId="0">
      <calculatedColumnFormula>IFERROR(($AB3/$O3)/42,"-")</calculatedColumnFormula>
    </tableColumn>
    <tableColumn id="29" xr3:uid="{22B4D87B-8B05-4528-9223-B8426D1D4D68}" name=" Wkly Sell Thru %" dataDxfId="46">
      <calculatedColumnFormula>IFERROR($R3/($AQ3+$R3),0)</calculatedColumnFormula>
    </tableColumn>
    <tableColumn id="6" xr3:uid="{6EB89763-1032-4FB9-BCF0-A9C9626AAF49}" name=" Unit Cost" dataDxfId="45">
      <calculatedColumnFormula>_xlfn.IFNA(VLOOKUP(B3,'Luminate Item Data'!A:G,7,0),0)</calculatedColumnFormula>
    </tableColumn>
    <tableColumn id="7" xr3:uid="{6F64B0EB-EE87-464C-82B8-3EF5E4940696}" name=" Unit Retail" dataDxfId="44">
      <calculatedColumnFormula>VLOOKUP($B3,'Luminate Item Data'!A:H,8,FALSE)</calculatedColumnFormula>
    </tableColumn>
    <tableColumn id="8" xr3:uid="{E4F97572-12D8-4938-B3F2-C3182B516144}" name=" Avg Retail" dataDxfId="43">
      <calculatedColumnFormula>IFERROR(Table4[[#This Row],[ LW POS Sales]]/Table4[[#This Row],[ LW POS Qty]],"-")</calculatedColumnFormula>
    </tableColumn>
    <tableColumn id="60" xr3:uid="{B6A6E226-AF8C-45D5-A084-EC4953F841FB}" name="YTD AUR" dataDxfId="42">
      <calculatedColumnFormula>IFERROR(Table4[[#This Row],[ YTD POS Sales]]/Table4[[#This Row],[ YTD POS Qty]],"0")</calculatedColumnFormula>
    </tableColumn>
    <tableColumn id="9" xr3:uid="{A47094D8-F727-4450-B454-C9F7A097160B}" name=" MU %" dataDxfId="41">
      <calculatedColumnFormula>(K3-J3)/K3</calculatedColumnFormula>
    </tableColumn>
    <tableColumn id="10" xr3:uid="{B675413D-A299-44CF-B342-7F782F450068}" name=" Curr Traited Store/Item Comb" dataDxfId="40">
      <calculatedColumnFormula>VLOOKUP($B3,'Luminate Item Data'!A:AR,44,FALSE)</calculatedColumnFormula>
    </tableColumn>
    <tableColumn id="48" xr3:uid="{1976A03C-957F-4BD0-BE28-0C197E8FC461}" name="Traited Store LY" dataDxfId="39">
      <calculatedColumnFormula>_xlfn.IFNA(VLOOKUP(Table4[[#This Row],[Prime Item Nbr]],'Luminate Item Data'!A:AX,50,0),0)</calculatedColumnFormula>
    </tableColumn>
    <tableColumn id="49" xr3:uid="{D8E17E75-3B7A-4166-B0ED-64B4B742E06A}" name="LW Store Count Chg %" dataDxfId="38">
      <calculatedColumnFormula>IFERROR((Table4[[#This Row],[ Curr Traited Store/Item Comb]]-Table4[[#This Row],[Traited Store LY]])/Table4[[#This Row],[Traited Store LY]],1)</calculatedColumnFormula>
    </tableColumn>
    <tableColumn id="12" xr3:uid="{EB32D5FD-039B-40F2-852F-B957F0B22D7D}" name=" LW POS Qty" dataDxfId="37">
      <calculatedColumnFormula>_xlfn.IFNA(VLOOKUP($B3,'Luminate Sales Data'!A:C,3,FALSE),0)</calculatedColumnFormula>
    </tableColumn>
    <tableColumn id="13" xr3:uid="{2962369B-66BD-465D-8D46-E2ECFFF1175C}" name=" LY LW POS Qty" dataDxfId="36">
      <calculatedColumnFormula>_xlfn.IFNA(VLOOKUP($B3,'Luminate Sales Data'!A:D,4,FALSE),0)</calculatedColumnFormula>
    </tableColumn>
    <tableColumn id="14" xr3:uid="{5155A922-80E8-4B03-8C39-8D9ADDA4C283}" name=" LW Sales Qty Chng" dataDxfId="35">
      <calculatedColumnFormula>IFERROR(($R3-$S3)/$S3,"-")</calculatedColumnFormula>
    </tableColumn>
    <tableColumn id="15" xr3:uid="{AEF2B68F-CB08-48F1-B39B-D191C9984FE4}" name="LW POS Cost" dataDxfId="34">
      <calculatedColumnFormula>$R3*$J3</calculatedColumnFormula>
    </tableColumn>
    <tableColumn id="16" xr3:uid="{7C9ADACA-8BFD-48CC-80BA-6E0578862A3D}" name=" LW POS Sales" dataDxfId="33">
      <calculatedColumnFormula>_xlfn.IFNA(VLOOKUP($B3,'Luminate Sales Data'!A:E,5,FALSE),0)</calculatedColumnFormula>
    </tableColumn>
    <tableColumn id="17" xr3:uid="{ACB4B825-870A-4E40-BF97-CE33BB6385E6}" name=" LY LW POS Sales" dataDxfId="32">
      <calculatedColumnFormula>_xlfn.IFNA(VLOOKUP($B3,'Luminate Sales Data'!A:F,6,FALSE),0)</calculatedColumnFormula>
    </tableColumn>
    <tableColumn id="18" xr3:uid="{49DBDD9E-858E-498C-97B1-B29E1B137753}" name=" LW Sales Chng" dataDxfId="31">
      <calculatedColumnFormula>IFERROR(($V3-$W3)/$W3,"-")</calculatedColumnFormula>
    </tableColumn>
    <tableColumn id="19" xr3:uid="{B13BCAE2-1F3F-4C9A-BCA8-F84C7A425CD5}" name=" YTD POS Qty" dataDxfId="30">
      <calculatedColumnFormula>_xlfn.IFNA(VLOOKUP($B3,'Luminate Sales Data'!A:U,21,FALSE),0)</calculatedColumnFormula>
    </tableColumn>
    <tableColumn id="20" xr3:uid="{848E9287-125F-461D-B897-D58687FD3213}" name=" LY YTD POS Qty" dataDxfId="29">
      <calculatedColumnFormula>_xlfn.IFNA(VLOOKUP($B3,'Luminate Sales Data'!A:V,22,FALSE),0)</calculatedColumnFormula>
    </tableColumn>
    <tableColumn id="21" xr3:uid="{F201F307-185B-41F0-B927-FF285689C82D}" name=" YTD Sales Qty Chng" dataDxfId="28">
      <calculatedColumnFormula>IFERROR(($Y3-$Z3)/$Z3,"-")</calculatedColumnFormula>
    </tableColumn>
    <tableColumn id="22" xr3:uid="{D925BEA8-E67C-4857-86F7-44BCC6F1FD28}" name=" YTD POS Sales" dataDxfId="27">
      <calculatedColumnFormula>_xlfn.IFNA(VLOOKUP($B3,'Luminate Sales Data'!A:W,23,FALSE),0)</calculatedColumnFormula>
    </tableColumn>
    <tableColumn id="23" xr3:uid="{A2626122-BFFE-4CC8-8B61-8987FAF1592B}" name=" LY YTD POS Sales" dataDxfId="26">
      <calculatedColumnFormula>_xlfn.IFNA(VLOOKUP($B3,'Luminate Sales Data'!A:X,24,FALSE),0)</calculatedColumnFormula>
    </tableColumn>
    <tableColumn id="24" xr3:uid="{E8F3D4E0-DC85-404C-98A0-E07166D27C7C}" name=" YTD Sales Chng" dataDxfId="25">
      <calculatedColumnFormula>IFERROR(($AB3-$AC3)/$AC3,"-")</calculatedColumnFormula>
    </tableColumn>
    <tableColumn id="26" xr3:uid="{A63638E5-236B-4527-80C9-569ECCD461B5}" name=" YTD Sell Thru %" dataDxfId="24">
      <calculatedColumnFormula>IFERROR($Y3/($Y3+$AQ3),0)</calculatedColumnFormula>
    </tableColumn>
    <tableColumn id="30" xr3:uid="{712DE05D-E7CD-40A6-BFF6-7ADD8D6631A1}" name=" LW Gross Ship Qty" dataDxfId="23">
      <calculatedColumnFormula>_xlfn.IFNA(VLOOKUP($B3,'Luminate Sales Data'!A:K,11,FALSE),0)</calculatedColumnFormula>
    </tableColumn>
    <tableColumn id="31" xr3:uid="{81F86A06-925D-4487-B518-C1225516D55F}" name=" YTD Gross Ship Qty" dataDxfId="22">
      <calculatedColumnFormula>_xlfn.IFNA(VLOOKUP($B3,'Luminate Sales Data'!A:AC,29,FALSE),0)</calculatedColumnFormula>
    </tableColumn>
    <tableColumn id="32" xr3:uid="{A09EFF59-6233-4442-95A8-AD31CA1ECB5D}" name=" LW Total Customer Item Return" dataDxfId="21">
      <calculatedColumnFormula>_xlfn.IFNA(VLOOKUP($B3,'Luminate Sales Data'!A:Q,17,FALSE),0)</calculatedColumnFormula>
    </tableColumn>
    <tableColumn id="33" xr3:uid="{6C913B7E-4863-497E-8AD6-A075A2DD2597}" name=" LW Total Return Rate" dataDxfId="20">
      <calculatedColumnFormula>IFERROR(($AH3/$R3),"-")</calculatedColumnFormula>
    </tableColumn>
    <tableColumn id="34" xr3:uid="{3D17DA37-C8AE-488A-983A-16DA6D9AD48E}" name=" YTD Def Rate (sales)" dataDxfId="19">
      <calculatedColumnFormula>IFERROR(VLOOKUP($B3,'Luminate Sales Data'!$A:$AG,31,0)/Table4[[#This Row],[ YTD POS Qty]],0)</calculatedColumnFormula>
    </tableColumn>
    <tableColumn id="36" xr3:uid="{DC0E18A9-4A8B-471C-ADFC-4733CAD2D6D7}" name=" YTD Total Customer Item Return" dataDxfId="18">
      <calculatedColumnFormula>_xlfn.IFNA(VLOOKUP($B3,'Luminate Sales Data'!A:AI,35,FALSE),0)</calculatedColumnFormula>
    </tableColumn>
    <tableColumn id="37" xr3:uid="{D3306030-128F-4EA4-949D-E201550BD3F8}" name=" YTD Total Return Rate" dataDxfId="17">
      <calculatedColumnFormula>IFERROR($AK3/$Y3,0)</calculatedColumnFormula>
    </tableColumn>
    <tableColumn id="38" xr3:uid="{5BD4CE5C-B87C-4783-8FF5-BD66706DD4EB}" name=" LW SI Total MUMD $" dataDxfId="16">
      <calculatedColumnFormula>_xlfn.IFNA(VLOOKUP($B3,'Luminate Markdown'!A:C,3,FALSE),0)</calculatedColumnFormula>
    </tableColumn>
    <tableColumn id="39" xr3:uid="{08BDC268-E90F-4A73-9A5C-96D0E310A67E}" name=" YTD SI Total MUMD $" dataDxfId="15">
      <calculatedColumnFormula>_xlfn.IFNA(VLOOKUP($B3,'Luminate Markdown'!A:E,5,FALSE),0)</calculatedColumnFormula>
    </tableColumn>
    <tableColumn id="40" xr3:uid="{C97B97D2-9E2A-4833-89BC-A96A51D6978B}" name=" 52/53 WK FC Units" dataDxfId="14">
      <calculatedColumnFormula>_xlfn.IFNA(VLOOKUP($B3,'Luminate Forecast'!N:P,3,FALSE),0)</calculatedColumnFormula>
    </tableColumn>
    <tableColumn id="41" xr3:uid="{27179886-BDC0-4199-A2E7-4E747768D86A}" name=" Frcst WOS" dataDxfId="13">
      <calculatedColumnFormula>IFERROR(($AQ3/$R3),"-")</calculatedColumnFormula>
    </tableColumn>
    <tableColumn id="42" xr3:uid="{44ADDCD1-F6C3-48E1-B474-24A7CA48A4B2}" name=" Curr Str On Hand Qty" dataDxfId="12">
      <calculatedColumnFormula>VLOOKUP($B3,'Luminate Item Data'!A:AT,46,FALSE)</calculatedColumnFormula>
    </tableColumn>
    <tableColumn id="43" xr3:uid="{BF42CFB7-C31E-4667-9A64-29ECE563CF34}" name=" Curr Str In Transit Qty" dataDxfId="11">
      <calculatedColumnFormula>VLOOKUP($B3,'Luminate Item Data'!A:AU,47,FALSE)</calculatedColumnFormula>
    </tableColumn>
    <tableColumn id="44" xr3:uid="{309BFBB5-7495-47E5-90DF-CA4ED4589B28}" name=" Curr Str In Whse Qty" dataDxfId="10">
      <calculatedColumnFormula>VLOOKUP($B3,'Luminate Item Data'!A:AV,48,FALSE)</calculatedColumnFormula>
    </tableColumn>
    <tableColumn id="45" xr3:uid="{BA7B4C1B-7EC8-47DB-8C13-85DC0E22C6D2}" name=" Curr Str On Order Qty" dataDxfId="9">
      <calculatedColumnFormula>VLOOKUP($B3,'Luminate Item Data'!A:AW,49,FALSE)</calculatedColumnFormula>
    </tableColumn>
    <tableColumn id="46" xr3:uid="{85867177-0A1A-43A8-86DE-E317C760D5CA}" name=" Curr Whse On Hand Qty" dataDxfId="8">
      <calculatedColumnFormula>IFERROR(VLOOKUP($B3,'Luminate Warehouse Inv'!B:E,4,FALSE),0)</calculatedColumnFormula>
    </tableColumn>
    <tableColumn id="47" xr3:uid="{9DB6BA00-FD11-4870-98B4-95C429B27904}" name=" Curr Whse SS Order Qty" dataDxfId="7">
      <calculatedColumnFormula>IFERROR(VLOOKUP($B3,'Luminate Warehouse Inv'!B:G,6,FALSE),0)</calculatedColumnFormula>
    </tableColumn>
    <tableColumn id="27" xr3:uid="{BF3D037D-E8C3-4FA3-AA09-D9F1346199AC}" name="UPC" dataDxfId="6">
      <calculatedColumnFormula>VLOOKUP($B3,'Luminate Item Data'!$A:$D,4,FALSE)</calculatedColumnFormula>
    </tableColumn>
    <tableColumn id="28" xr3:uid="{D5929162-77FC-466B-BDBC-82CD1125D49D}" name="Effective Date" dataDxfId="5">
      <calculatedColumnFormula>VLOOKUP($B3,'Luminate Item Data'!$A:$E,5,FALSE)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E6376D-FBD4-4CCB-85B9-0EFD0AD1460F}" name="Table1" displayName="Table1" ref="A1:D5" totalsRowShown="0">
  <autoFilter ref="A1:D5" xr:uid="{5DE6376D-FBD4-4CCB-85B9-0EFD0AD1460F}"/>
  <sortState xmlns:xlrd2="http://schemas.microsoft.com/office/spreadsheetml/2017/richdata2" ref="A2:D5">
    <sortCondition descending="1" ref="D1:D5"/>
  </sortState>
  <tableColumns count="4">
    <tableColumn id="1" xr3:uid="{1F4E95FB-6EA4-44C7-BAF8-9352C96E4AA1}" name="Prime Item Number"/>
    <tableColumn id="2" xr3:uid="{E74F12FE-A0F6-4338-8460-419FBD6862B8}" name="Item Desc" dataDxfId="4"/>
    <tableColumn id="3" xr3:uid="{34560037-1874-4B50-A958-8D083BEA5C98}" name="UPC"/>
    <tableColumn id="4" xr3:uid="{2E5D9C3B-0FC9-4327-9638-ED5307775D8C}" name="Content Score" dataDxfId="3" dataCellStyle="Perc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ACA4-2DF2-2948-B2F4-F8528BAD5CB9}">
  <sheetPr codeName="Sheet1"/>
  <dimension ref="A1:AY5"/>
  <sheetViews>
    <sheetView showGridLines="0" tabSelected="1" zoomScaleNormal="100" workbookViewId="0">
      <pane xSplit="3" topLeftCell="D1" activePane="topRight" state="frozen"/>
      <selection activeCell="D90" sqref="D90"/>
      <selection pane="topRight"/>
    </sheetView>
  </sheetViews>
  <sheetFormatPr defaultColWidth="8.69921875" defaultRowHeight="15.6"/>
  <cols>
    <col min="1" max="1" width="2.8984375" customWidth="1"/>
    <col min="2" max="2" width="15.69921875" customWidth="1"/>
    <col min="3" max="3" width="24.69921875" customWidth="1"/>
    <col min="4" max="4" width="15.5" customWidth="1"/>
    <col min="5" max="5" width="16.8984375" style="2" customWidth="1"/>
    <col min="6" max="6" width="12" style="2" customWidth="1"/>
    <col min="7" max="7" width="14.8984375" style="2" customWidth="1"/>
    <col min="8" max="8" width="14" style="9" customWidth="1"/>
    <col min="9" max="9" width="14.3984375" style="7" customWidth="1"/>
    <col min="10" max="10" width="11.5" style="7" customWidth="1"/>
    <col min="11" max="11" width="14.5" style="7" customWidth="1"/>
    <col min="12" max="12" width="16.19921875" style="14" customWidth="1"/>
    <col min="13" max="13" width="13.09765625" customWidth="1"/>
    <col min="14" max="14" width="15.3984375" customWidth="1"/>
    <col min="15" max="15" width="12.3984375" style="20" customWidth="1"/>
    <col min="16" max="16" width="11.09765625" style="20" customWidth="1"/>
    <col min="17" max="17" width="14.19921875" style="17" customWidth="1"/>
    <col min="18" max="18" width="15.69921875" customWidth="1"/>
    <col min="19" max="19" width="17.09765625" style="18" customWidth="1"/>
    <col min="20" max="20" width="16.19921875" style="21" customWidth="1"/>
    <col min="21" max="21" width="12.19921875" customWidth="1"/>
    <col min="22" max="22" width="13.69921875" bestFit="1" customWidth="1"/>
    <col min="23" max="23" width="14.8984375" bestFit="1" customWidth="1"/>
    <col min="24" max="24" width="18.5" customWidth="1"/>
    <col min="25" max="25" width="19.19921875" customWidth="1"/>
    <col min="26" max="26" width="29.59765625" customWidth="1"/>
    <col min="27" max="27" width="30.19921875" customWidth="1"/>
    <col min="28" max="28" width="21.69921875" customWidth="1"/>
    <col min="29" max="29" width="20.3984375" customWidth="1"/>
    <col min="30" max="30" width="21.09765625" customWidth="1"/>
    <col min="31" max="31" width="11.69921875" customWidth="1"/>
    <col min="32" max="32" width="21" customWidth="1"/>
    <col min="33" max="33" width="21.3984375" customWidth="1"/>
    <col min="34" max="34" width="20.19921875" customWidth="1"/>
    <col min="35" max="35" width="21.3984375" customWidth="1"/>
    <col min="36" max="36" width="23.3984375" customWidth="1"/>
    <col min="37" max="109" width="11.69921875" customWidth="1"/>
  </cols>
  <sheetData>
    <row r="1" spans="1:51" ht="42" customHeight="1">
      <c r="B1" s="4" t="s">
        <v>0</v>
      </c>
      <c r="E1" s="117">
        <v>0.98675000000000002</v>
      </c>
      <c r="F1" s="128">
        <v>0.23330847464506038</v>
      </c>
      <c r="G1" s="118">
        <v>9.0898468884670436</v>
      </c>
      <c r="H1" s="127">
        <v>2.3795300070655863</v>
      </c>
      <c r="I1" s="109">
        <v>4.2992657304029097E-2</v>
      </c>
      <c r="J1" s="119">
        <v>23.38</v>
      </c>
      <c r="K1" s="119">
        <v>38.96</v>
      </c>
      <c r="L1" s="119">
        <v>38.985362816139514</v>
      </c>
      <c r="M1" s="119">
        <v>38.750270858218784</v>
      </c>
      <c r="N1" s="119">
        <v>0.3998973305954826</v>
      </c>
      <c r="O1" s="120">
        <v>2945</v>
      </c>
      <c r="P1" s="120">
        <v>0</v>
      </c>
      <c r="Q1" s="109">
        <v>1</v>
      </c>
      <c r="R1" s="120">
        <v>687</v>
      </c>
      <c r="S1" s="120">
        <v>0</v>
      </c>
      <c r="T1" s="121" t="e">
        <v>#DIV/0!</v>
      </c>
      <c r="U1" s="122">
        <v>16062.059999999998</v>
      </c>
      <c r="V1" s="122">
        <v>26765.97</v>
      </c>
      <c r="W1" s="122">
        <v>0</v>
      </c>
      <c r="X1" s="109" t="e">
        <v>#DIV/0!</v>
      </c>
      <c r="Y1" s="120">
        <v>7594</v>
      </c>
      <c r="Z1" s="120">
        <v>0</v>
      </c>
      <c r="AA1" s="123" t="e">
        <v>#DIV/0!</v>
      </c>
      <c r="AB1" s="110">
        <v>294294.53000000003</v>
      </c>
      <c r="AC1" s="110">
        <v>0</v>
      </c>
      <c r="AD1" s="124" t="e">
        <v>#DIV/0!</v>
      </c>
      <c r="AE1" s="109">
        <v>0.32241686772094102</v>
      </c>
      <c r="AF1" s="120">
        <v>420</v>
      </c>
      <c r="AG1" s="120">
        <v>23289</v>
      </c>
      <c r="AH1" s="120">
        <v>-39</v>
      </c>
      <c r="AI1" s="109">
        <v>-6.1355791938316209E-2</v>
      </c>
      <c r="AJ1" s="109">
        <v>-0.72458238131389741</v>
      </c>
      <c r="AK1" s="120">
        <v>-269</v>
      </c>
      <c r="AL1" s="109">
        <v>-3.4161135362520266E-2</v>
      </c>
      <c r="AM1" s="125">
        <v>-634.91999999999996</v>
      </c>
      <c r="AN1" s="125">
        <v>7133.4400000000005</v>
      </c>
      <c r="AO1" s="120">
        <v>149627.77000000002</v>
      </c>
      <c r="AP1" s="111"/>
      <c r="AQ1" s="111">
        <v>15688</v>
      </c>
      <c r="AR1" s="111">
        <v>78</v>
      </c>
      <c r="AS1" s="111">
        <v>102</v>
      </c>
      <c r="AT1" s="111">
        <v>1201</v>
      </c>
      <c r="AU1" s="111">
        <v>40</v>
      </c>
      <c r="AV1" s="111">
        <v>1167</v>
      </c>
    </row>
    <row r="2" spans="1:51" s="6" customFormat="1" ht="46.8">
      <c r="B2" s="5" t="s">
        <v>1</v>
      </c>
      <c r="C2" s="5" t="s">
        <v>2</v>
      </c>
      <c r="D2" s="5" t="s">
        <v>3</v>
      </c>
      <c r="E2" s="15" t="s">
        <v>11</v>
      </c>
      <c r="F2" s="5" t="s">
        <v>26</v>
      </c>
      <c r="G2" s="5" t="s">
        <v>27</v>
      </c>
      <c r="H2" s="5" t="s">
        <v>282</v>
      </c>
      <c r="I2" s="5" t="s">
        <v>24</v>
      </c>
      <c r="J2" s="11" t="s">
        <v>6</v>
      </c>
      <c r="K2" s="11" t="s">
        <v>7</v>
      </c>
      <c r="L2" s="11" t="s">
        <v>8</v>
      </c>
      <c r="M2" s="11" t="s">
        <v>283</v>
      </c>
      <c r="N2" s="12" t="s">
        <v>9</v>
      </c>
      <c r="O2" s="13" t="s">
        <v>10</v>
      </c>
      <c r="P2" s="13" t="s">
        <v>272</v>
      </c>
      <c r="Q2" s="13" t="s">
        <v>273</v>
      </c>
      <c r="R2" s="5" t="s">
        <v>12</v>
      </c>
      <c r="S2" s="5" t="s">
        <v>13</v>
      </c>
      <c r="T2" s="19" t="s">
        <v>14</v>
      </c>
      <c r="U2" s="19" t="s">
        <v>65</v>
      </c>
      <c r="V2" s="16" t="s">
        <v>15</v>
      </c>
      <c r="W2" s="16" t="s">
        <v>16</v>
      </c>
      <c r="X2" s="5" t="s">
        <v>17</v>
      </c>
      <c r="Y2" s="5" t="s">
        <v>18</v>
      </c>
      <c r="Z2" s="5" t="s">
        <v>19</v>
      </c>
      <c r="AA2" s="5" t="s">
        <v>20</v>
      </c>
      <c r="AB2" s="16" t="s">
        <v>21</v>
      </c>
      <c r="AC2" s="5" t="s">
        <v>22</v>
      </c>
      <c r="AD2" s="5" t="s">
        <v>23</v>
      </c>
      <c r="AE2" s="22" t="s">
        <v>25</v>
      </c>
      <c r="AF2" s="5" t="s">
        <v>28</v>
      </c>
      <c r="AG2" s="5" t="s">
        <v>29</v>
      </c>
      <c r="AH2" s="5" t="s">
        <v>30</v>
      </c>
      <c r="AI2" s="5" t="s">
        <v>31</v>
      </c>
      <c r="AJ2" s="5" t="s">
        <v>32</v>
      </c>
      <c r="AK2" s="5" t="s">
        <v>33</v>
      </c>
      <c r="AL2" s="5" t="s">
        <v>34</v>
      </c>
      <c r="AM2" s="5" t="s">
        <v>35</v>
      </c>
      <c r="AN2" s="5" t="s">
        <v>36</v>
      </c>
      <c r="AO2" s="13" t="s">
        <v>37</v>
      </c>
      <c r="AP2" s="5" t="s">
        <v>38</v>
      </c>
      <c r="AQ2" s="5" t="s">
        <v>39</v>
      </c>
      <c r="AR2" s="5" t="s">
        <v>40</v>
      </c>
      <c r="AS2" s="5" t="s">
        <v>41</v>
      </c>
      <c r="AT2" s="5" t="s">
        <v>42</v>
      </c>
      <c r="AU2" s="5" t="s">
        <v>43</v>
      </c>
      <c r="AV2" s="5" t="s">
        <v>44</v>
      </c>
      <c r="AW2" s="5" t="s">
        <v>4</v>
      </c>
      <c r="AX2" s="5" t="s">
        <v>5</v>
      </c>
      <c r="AY2"/>
    </row>
    <row r="3" spans="1:51" s="3" customFormat="1" ht="17.7" customHeight="1">
      <c r="A3" s="64"/>
      <c r="B3" s="65">
        <v>677410826</v>
      </c>
      <c r="C3" s="65" t="s">
        <v>295</v>
      </c>
      <c r="D3" s="3" t="str">
        <f>VLOOKUP($B3,'Luminate Item Data'!A:C,3,FALSE)</f>
        <v>AS-PREC-FLOS-BK</v>
      </c>
      <c r="E3" s="67">
        <f>VLOOKUP($B3,'Luminate Item Data'!$A:$AS,45,FALSE)</f>
        <v>0.98839999999999995</v>
      </c>
      <c r="F3" s="70">
        <f>IFERROR(($R3/$O3),"-")</f>
        <v>0.32676630434782611</v>
      </c>
      <c r="G3" s="66">
        <f>IFERROR(($V3/$O3),"-")</f>
        <v>12.718933423913043</v>
      </c>
      <c r="H3" s="66">
        <f>IFERROR(($AB3/$O3)/42,"-")</f>
        <v>3.0827817675983433</v>
      </c>
      <c r="I3" s="67">
        <f>IFERROR($R3/($AQ3+$R3),0)</f>
        <v>6.212062508071807E-2</v>
      </c>
      <c r="J3" s="66">
        <f>_xlfn.IFNA(VLOOKUP(B3,'Luminate Item Data'!A:G,7,0),0)</f>
        <v>23.38</v>
      </c>
      <c r="K3" s="66">
        <f>VLOOKUP($B3,'Luminate Item Data'!A:H,8,FALSE)</f>
        <v>38.96</v>
      </c>
      <c r="L3" s="66">
        <f>IFERROR(Table4[[#This Row],[ LW POS Sales]]/Table4[[#This Row],[ LW POS Qty]],"-")</f>
        <v>38.923638253638252</v>
      </c>
      <c r="M3" s="66">
        <f>IFERROR(Table4[[#This Row],[ YTD POS Sales]]/Table4[[#This Row],[ YTD POS Qty]],"0")</f>
        <v>38.761419564775267</v>
      </c>
      <c r="N3" s="67">
        <f>(K3-J3)/K3</f>
        <v>0.3998973305954826</v>
      </c>
      <c r="O3" s="68">
        <f>VLOOKUP($B3,'Luminate Item Data'!A:AR,44,FALSE)</f>
        <v>1472</v>
      </c>
      <c r="P3" s="68">
        <f>_xlfn.IFNA(VLOOKUP(Table4[[#This Row],[Prime Item Nbr]],'Luminate Item Data'!A:AX,50,0),0)</f>
        <v>0</v>
      </c>
      <c r="Q3" s="20">
        <f>IFERROR((Table4[[#This Row],[ Curr Traited Store/Item Comb]]-Table4[[#This Row],[Traited Store LY]])/Table4[[#This Row],[Traited Store LY]],1)</f>
        <v>1</v>
      </c>
      <c r="R3" s="68">
        <f>_xlfn.IFNA(VLOOKUP($B3,'Luminate Sales Data'!A:C,3,FALSE),0)</f>
        <v>481</v>
      </c>
      <c r="S3" s="68">
        <f>_xlfn.IFNA(VLOOKUP($B3,'Luminate Sales Data'!A:D,4,FALSE),0)</f>
        <v>0</v>
      </c>
      <c r="T3" s="20" t="str">
        <f>IFERROR(($R3-$S3)/$S3,"-")</f>
        <v>-</v>
      </c>
      <c r="U3" s="17">
        <f>$R3*$J3</f>
        <v>11245.779999999999</v>
      </c>
      <c r="V3" s="17">
        <f>_xlfn.IFNA(VLOOKUP($B3,'Luminate Sales Data'!A:E,5,FALSE),0)</f>
        <v>18722.27</v>
      </c>
      <c r="W3" s="17">
        <f>_xlfn.IFNA(VLOOKUP($B3,'Luminate Sales Data'!A:F,6,FALSE),0)</f>
        <v>0</v>
      </c>
      <c r="X3" s="20" t="str">
        <f>IFERROR(($V3-$W3)/$W3,"-")</f>
        <v>-</v>
      </c>
      <c r="Y3" s="68">
        <f>_xlfn.IFNA(VLOOKUP($B3,'Luminate Sales Data'!A:U,21,FALSE),0)</f>
        <v>4917</v>
      </c>
      <c r="Z3" s="68">
        <f>_xlfn.IFNA(VLOOKUP($B3,'Luminate Sales Data'!A:V,22,FALSE),0)</f>
        <v>0</v>
      </c>
      <c r="AA3" s="20" t="str">
        <f>IFERROR(($Y3-$Z3)/$Z3,"-")</f>
        <v>-</v>
      </c>
      <c r="AB3" s="17">
        <f>_xlfn.IFNA(VLOOKUP($B3,'Luminate Sales Data'!A:W,23,FALSE),0)</f>
        <v>190589.9</v>
      </c>
      <c r="AC3" s="69">
        <f>_xlfn.IFNA(VLOOKUP($B3,'Luminate Sales Data'!A:X,24,FALSE),0)</f>
        <v>0</v>
      </c>
      <c r="AD3" s="20" t="str">
        <f>IFERROR(($AB3-$AC3)/$AC3,"-")</f>
        <v>-</v>
      </c>
      <c r="AE3" s="67">
        <f>IFERROR($Y3/($Y3+$AQ3),0)</f>
        <v>0.40372772805649065</v>
      </c>
      <c r="AF3" s="68">
        <f>_xlfn.IFNA(VLOOKUP($B3,'Luminate Sales Data'!A:K,11,FALSE),0)</f>
        <v>411</v>
      </c>
      <c r="AG3" s="68">
        <f>_xlfn.IFNA(VLOOKUP($B3,'Luminate Sales Data'!A:AC,29,FALSE),0)</f>
        <v>12342</v>
      </c>
      <c r="AH3" s="3">
        <f>_xlfn.IFNA(VLOOKUP($B3,'Luminate Sales Data'!A:Q,17,FALSE),0)</f>
        <v>-24</v>
      </c>
      <c r="AI3" s="71">
        <f>IFERROR(($AH3/$R3),"-")</f>
        <v>-4.9896049896049899E-2</v>
      </c>
      <c r="AJ3" s="71">
        <f>IFERROR(VLOOKUP($B3,'Luminate Sales Data'!$A:$AG,31,0)/Table4[[#This Row],[ YTD POS Qty]],0)</f>
        <v>-0.83791336180597931</v>
      </c>
      <c r="AK3" s="68">
        <f>_xlfn.IFNA(VLOOKUP($B3,'Luminate Sales Data'!A:AI,35,FALSE),0)</f>
        <v>-189</v>
      </c>
      <c r="AL3" s="71">
        <f>IFERROR($AK3/$Y3,0)</f>
        <v>-3.8438071995118978E-2</v>
      </c>
      <c r="AM3" s="69">
        <f>_xlfn.IFNA(VLOOKUP($B3,'Luminate Markdown'!A:C,3,FALSE),0)</f>
        <v>-177.84</v>
      </c>
      <c r="AN3" s="69">
        <f>_xlfn.IFNA(VLOOKUP($B3,'Luminate Markdown'!A:E,5,FALSE),0)</f>
        <v>5195.1000000000004</v>
      </c>
      <c r="AO3" s="68">
        <f>_xlfn.IFNA(VLOOKUP($B3,'Luminate Forecast'!N:P,3,FALSE),0)</f>
        <v>74787.170000000027</v>
      </c>
      <c r="AP3" s="70">
        <f>IFERROR(($AQ3/$R3),"-")</f>
        <v>15.097713097713097</v>
      </c>
      <c r="AQ3" s="68">
        <f>VLOOKUP($B3,'Luminate Item Data'!A:AT,46,FALSE)</f>
        <v>7262</v>
      </c>
      <c r="AR3" s="68">
        <f>VLOOKUP($B3,'Luminate Item Data'!A:AU,47,FALSE)</f>
        <v>74</v>
      </c>
      <c r="AS3" s="68">
        <f>VLOOKUP($B3,'Luminate Item Data'!A:AV,48,FALSE)</f>
        <v>96</v>
      </c>
      <c r="AT3" s="68">
        <f>VLOOKUP($B3,'Luminate Item Data'!A:AW,49,FALSE)</f>
        <v>950</v>
      </c>
      <c r="AU3" s="68">
        <f>IFERROR(VLOOKUP($B3,'Luminate Warehouse Inv'!B:E,4,FALSE),0)</f>
        <v>40</v>
      </c>
      <c r="AV3" s="68">
        <f>IFERROR(VLOOKUP($B3,'Luminate Warehouse Inv'!B:G,6,FALSE),0)</f>
        <v>921</v>
      </c>
      <c r="AW3" s="3">
        <f>VLOOKUP($B3,'Luminate Item Data'!$A:$D,4,FALSE)</f>
        <v>85007565805</v>
      </c>
      <c r="AX3" s="79">
        <f>VLOOKUP($B3,'Luminate Item Data'!$A:$E,5,FALSE)</f>
        <v>45796</v>
      </c>
    </row>
    <row r="4" spans="1:51" s="3" customFormat="1" ht="17.7" customHeight="1">
      <c r="A4" s="64"/>
      <c r="B4" s="65">
        <v>677536463</v>
      </c>
      <c r="C4" s="65" t="s">
        <v>303</v>
      </c>
      <c r="D4" s="3" t="str">
        <f>VLOOKUP($B4,'Luminate Item Data'!A:C,3,FALSE)</f>
        <v>AS-PREC-TB-BK</v>
      </c>
      <c r="E4" s="67">
        <f>VLOOKUP($B4,'Luminate Item Data'!$A:$AS,45,FALSE)</f>
        <v>0.98509999999999998</v>
      </c>
      <c r="F4" s="70">
        <f>IFERROR(($R4/$O4),"-")</f>
        <v>0.13985064494229463</v>
      </c>
      <c r="G4" s="66">
        <f>IFERROR(($V4/$O4),"-")</f>
        <v>5.4607603530210458</v>
      </c>
      <c r="H4" s="66">
        <f>IFERROR(($AB4/$O4)/42,"-")</f>
        <v>1.676278246532829</v>
      </c>
      <c r="I4" s="67">
        <f>IFERROR($R4/($AQ4+$R4),0)</f>
        <v>2.3864689527340131E-2</v>
      </c>
      <c r="J4" s="66">
        <f>_xlfn.IFNA(VLOOKUP(B4,'Luminate Item Data'!A:G,7,0),0)</f>
        <v>23.38</v>
      </c>
      <c r="K4" s="66">
        <f>VLOOKUP($B4,'Luminate Item Data'!A:H,8,FALSE)</f>
        <v>38.96</v>
      </c>
      <c r="L4" s="66">
        <f>IFERROR(Table4[[#This Row],[ LW POS Sales]]/Table4[[#This Row],[ LW POS Qty]],"-")</f>
        <v>39.047087378640775</v>
      </c>
      <c r="M4" s="66">
        <f>IFERROR(Table4[[#This Row],[ YTD POS Sales]]/Table4[[#This Row],[ YTD POS Qty]],"0")</f>
        <v>38.739122151662308</v>
      </c>
      <c r="N4" s="67">
        <f>(K4-J4)/K4</f>
        <v>0.3998973305954826</v>
      </c>
      <c r="O4" s="68">
        <f>VLOOKUP($B4,'Luminate Item Data'!A:AR,44,FALSE)</f>
        <v>1473</v>
      </c>
      <c r="P4" s="68">
        <f>_xlfn.IFNA(VLOOKUP(Table4[[#This Row],[Prime Item Nbr]],'Luminate Item Data'!A:AX,50,0),0)</f>
        <v>0</v>
      </c>
      <c r="Q4" s="20">
        <f>IFERROR((Table4[[#This Row],[ Curr Traited Store/Item Comb]]-Table4[[#This Row],[Traited Store LY]])/Table4[[#This Row],[Traited Store LY]],1)</f>
        <v>1</v>
      </c>
      <c r="R4" s="68">
        <f>_xlfn.IFNA(VLOOKUP($B4,'Luminate Sales Data'!A:C,3,FALSE),0)</f>
        <v>206</v>
      </c>
      <c r="S4" s="68">
        <f>_xlfn.IFNA(VLOOKUP($B4,'Luminate Sales Data'!A:D,4,FALSE),0)</f>
        <v>0</v>
      </c>
      <c r="T4" s="20" t="str">
        <f>IFERROR(($R4-$S4)/$S4,"-")</f>
        <v>-</v>
      </c>
      <c r="U4" s="17">
        <f>$R4*$J4</f>
        <v>4816.28</v>
      </c>
      <c r="V4" s="17">
        <f>_xlfn.IFNA(VLOOKUP($B4,'Luminate Sales Data'!A:E,5,FALSE),0)</f>
        <v>8043.7</v>
      </c>
      <c r="W4" s="17">
        <f>_xlfn.IFNA(VLOOKUP($B4,'Luminate Sales Data'!A:F,6,FALSE),0)</f>
        <v>0</v>
      </c>
      <c r="X4" s="20" t="str">
        <f>IFERROR(($V4-$W4)/$W4,"-")</f>
        <v>-</v>
      </c>
      <c r="Y4" s="68">
        <f>_xlfn.IFNA(VLOOKUP($B4,'Luminate Sales Data'!A:U,21,FALSE),0)</f>
        <v>2677</v>
      </c>
      <c r="Z4" s="68">
        <f>_xlfn.IFNA(VLOOKUP($B4,'Luminate Sales Data'!A:V,22,FALSE),0)</f>
        <v>0</v>
      </c>
      <c r="AA4" s="20" t="str">
        <f>IFERROR(($Y4-$Z4)/$Z4,"-")</f>
        <v>-</v>
      </c>
      <c r="AB4" s="17">
        <f>_xlfn.IFNA(VLOOKUP($B4,'Luminate Sales Data'!A:W,23,FALSE),0)</f>
        <v>103704.63</v>
      </c>
      <c r="AC4" s="69">
        <f>_xlfn.IFNA(VLOOKUP($B4,'Luminate Sales Data'!A:X,24,FALSE),0)</f>
        <v>0</v>
      </c>
      <c r="AD4" s="20" t="str">
        <f>IFERROR(($AB4-$AC4)/$AC4,"-")</f>
        <v>-</v>
      </c>
      <c r="AE4" s="67">
        <f>IFERROR($Y4/($Y4+$AQ4),0)</f>
        <v>0.24110600738539134</v>
      </c>
      <c r="AF4" s="68">
        <f>_xlfn.IFNA(VLOOKUP($B4,'Luminate Sales Data'!A:K,11,FALSE),0)</f>
        <v>9</v>
      </c>
      <c r="AG4" s="68">
        <f>_xlfn.IFNA(VLOOKUP($B4,'Luminate Sales Data'!A:AC,29,FALSE),0)</f>
        <v>10947</v>
      </c>
      <c r="AH4" s="3">
        <f>_xlfn.IFNA(VLOOKUP($B4,'Luminate Sales Data'!A:Q,17,FALSE),0)</f>
        <v>-15</v>
      </c>
      <c r="AI4" s="71">
        <f>IFERROR(($AH4/$R4),"-")</f>
        <v>-7.281553398058252E-2</v>
      </c>
      <c r="AJ4" s="71">
        <f>IFERROR(VLOOKUP($B4,'Luminate Sales Data'!$A:$AG,31,0)/Table4[[#This Row],[ YTD POS Qty]],0)</f>
        <v>-0.61125140082181539</v>
      </c>
      <c r="AK4" s="68">
        <f>_xlfn.IFNA(VLOOKUP($B4,'Luminate Sales Data'!A:AI,35,FALSE),0)</f>
        <v>-80</v>
      </c>
      <c r="AL4" s="71">
        <f>IFERROR($AK4/$Y4,0)</f>
        <v>-2.9884198729921554E-2</v>
      </c>
      <c r="AM4" s="69">
        <f>_xlfn.IFNA(VLOOKUP($B4,'Luminate Markdown'!A:C,3,FALSE),0)</f>
        <v>-457.08</v>
      </c>
      <c r="AN4" s="69">
        <f>_xlfn.IFNA(VLOOKUP($B4,'Luminate Markdown'!A:E,5,FALSE),0)</f>
        <v>1938.34</v>
      </c>
      <c r="AO4" s="68">
        <f>_xlfn.IFNA(VLOOKUP($B4,'Luminate Forecast'!N:P,3,FALSE),0)</f>
        <v>74840.599999999977</v>
      </c>
      <c r="AP4" s="70">
        <f>IFERROR(($AQ4/$R4),"-")</f>
        <v>40.902912621359221</v>
      </c>
      <c r="AQ4" s="68">
        <f>VLOOKUP($B4,'Luminate Item Data'!A:AT,46,FALSE)</f>
        <v>8426</v>
      </c>
      <c r="AR4" s="68">
        <f>VLOOKUP($B4,'Luminate Item Data'!A:AU,47,FALSE)</f>
        <v>4</v>
      </c>
      <c r="AS4" s="68">
        <f>VLOOKUP($B4,'Luminate Item Data'!A:AV,48,FALSE)</f>
        <v>6</v>
      </c>
      <c r="AT4" s="68">
        <f>VLOOKUP($B4,'Luminate Item Data'!A:AW,49,FALSE)</f>
        <v>251</v>
      </c>
      <c r="AU4" s="68">
        <f>IFERROR(VLOOKUP($B4,'Luminate Warehouse Inv'!B:E,4,FALSE),0)</f>
        <v>0</v>
      </c>
      <c r="AV4" s="68">
        <f>IFERROR(VLOOKUP($B4,'Luminate Warehouse Inv'!B:G,6,FALSE),0)</f>
        <v>246</v>
      </c>
      <c r="AW4" s="3">
        <f>VLOOKUP($B4,'Luminate Item Data'!$A:$D,4,FALSE)</f>
        <v>85007565801</v>
      </c>
      <c r="AX4" s="79">
        <f>VLOOKUP($B4,'Luminate Item Data'!$A:$E,5,FALSE)</f>
        <v>45803</v>
      </c>
    </row>
    <row r="5" spans="1:51">
      <c r="B5" s="96" t="s">
        <v>64</v>
      </c>
      <c r="C5" s="96"/>
      <c r="D5" s="96"/>
      <c r="E5" s="115">
        <f>AVERAGE(E3:E4)</f>
        <v>0.98675000000000002</v>
      </c>
      <c r="F5" s="126">
        <f>AVERAGE(F3:F4)</f>
        <v>0.23330847464506038</v>
      </c>
      <c r="G5" s="143">
        <f>AVERAGE(G3:G4)</f>
        <v>9.0898468884670436</v>
      </c>
      <c r="H5" s="143">
        <f>AVERAGE(Table4[YTD $/P/W])</f>
        <v>2.3795300070655863</v>
      </c>
      <c r="I5" s="129">
        <f>AVERAGE(Table4[ Wkly Sell Thru %])</f>
        <v>4.2992657304029097E-2</v>
      </c>
      <c r="J5" s="116">
        <f>AVERAGE(Table4[[ Unit Cost]])</f>
        <v>23.38</v>
      </c>
      <c r="K5" s="116">
        <f>AVERAGE(Table4[[ Unit Retail]])</f>
        <v>38.96</v>
      </c>
      <c r="L5" s="116">
        <f>AVERAGE(Table4[[ Avg Retail]])</f>
        <v>38.985362816139514</v>
      </c>
      <c r="M5" s="116">
        <f>AVERAGE(Table4[YTD AUR])</f>
        <v>38.750270858218784</v>
      </c>
      <c r="N5" s="103">
        <f>AVERAGE(Table4[ MU %])</f>
        <v>0.3998973305954826</v>
      </c>
      <c r="O5" s="130">
        <f>SUBTOTAL(9,Table4 [ Curr Traited Store/Item Comb]  )</f>
        <v>2945</v>
      </c>
      <c r="P5" s="104">
        <f>SUM(Table4[Traited Store LY])</f>
        <v>0</v>
      </c>
      <c r="Q5" s="103">
        <f>SUBTOTAL(1,Table4[LW Store Count Chg %])</f>
        <v>1</v>
      </c>
      <c r="R5" s="104">
        <f>SUM(Table4[[ LW POS Qty]])</f>
        <v>687</v>
      </c>
      <c r="S5" s="104">
        <f>SUM(Table4[[ LY LW POS Qty]])</f>
        <v>0</v>
      </c>
      <c r="T5" s="112" t="e">
        <f>($R5-$S5)/$S5</f>
        <v>#DIV/0!</v>
      </c>
      <c r="U5" s="113">
        <f>SUM(Table4[LW POS Cost])</f>
        <v>16062.059999999998</v>
      </c>
      <c r="V5" s="113">
        <f>SUM(Table4[[ LW POS Sales]])</f>
        <v>26765.97</v>
      </c>
      <c r="W5" s="113">
        <f>SUM(Table4[[ LY LW POS Sales]])</f>
        <v>0</v>
      </c>
      <c r="X5" s="103" t="e">
        <f>($V5-$W5)/$W5</f>
        <v>#DIV/0!</v>
      </c>
      <c r="Y5" s="104">
        <f>SUM(Table4[[ YTD POS Qty]])</f>
        <v>7594</v>
      </c>
      <c r="Z5" s="104">
        <f>SUM(Table4[[ LY YTD POS Qty]])</f>
        <v>0</v>
      </c>
      <c r="AA5" s="106" t="e">
        <f>(Y5-Z5)/Z5</f>
        <v>#DIV/0!</v>
      </c>
      <c r="AB5" s="105">
        <f>SUM(Table4[[ YTD POS Sales]])</f>
        <v>294294.53000000003</v>
      </c>
      <c r="AC5" s="105">
        <f>SUM(Table4[[ LY YTD POS Sales]])</f>
        <v>0</v>
      </c>
      <c r="AD5" s="107" t="e">
        <f>(AB5-AC5)/AC5</f>
        <v>#DIV/0!</v>
      </c>
      <c r="AE5" s="103">
        <f>AVERAGE(Table4 [ YTD Sell Thru %]  )</f>
        <v>0.32241686772094102</v>
      </c>
      <c r="AF5" s="104">
        <f>SUM(Table4[[ LW Gross Ship Qty]])</f>
        <v>420</v>
      </c>
      <c r="AG5" s="104">
        <f>SUM(Table4[[ YTD Gross Ship Qty]])</f>
        <v>23289</v>
      </c>
      <c r="AH5" s="104">
        <f>SUM(Table4[[ LW Total Customer Item Return]])</f>
        <v>-39</v>
      </c>
      <c r="AI5" s="103">
        <f>AVERAGE(Table4[[ LW Total Return Rate]])</f>
        <v>-6.1355791938316209E-2</v>
      </c>
      <c r="AJ5" s="103">
        <f>AVERAGE(Table4[ YTD Def Rate (sales)])</f>
        <v>-0.72458238131389741</v>
      </c>
      <c r="AK5" s="104">
        <f>SUM(Table4[[ YTD Total Customer Item Return]])</f>
        <v>-269</v>
      </c>
      <c r="AL5" s="103">
        <f>AVERAGE(Table4[[ YTD Total Return Rate]])</f>
        <v>-3.4161135362520266E-2</v>
      </c>
      <c r="AM5" s="114">
        <f>SUM(Table4 [ LW SI Total MUMD $] )</f>
        <v>-634.91999999999996</v>
      </c>
      <c r="AN5" s="114">
        <f>SUM(Table4 [ YTD SI Total MUMD $] )</f>
        <v>7133.4400000000005</v>
      </c>
      <c r="AO5" s="114">
        <f>SUM(Table4 [ 52/53 WK FC Units] )</f>
        <v>149627.77000000002</v>
      </c>
      <c r="AP5" s="108"/>
      <c r="AQ5" s="108">
        <f>SUM(Table4[[ Curr Str On Hand Qty]])</f>
        <v>15688</v>
      </c>
      <c r="AR5" s="108">
        <f>SUM(Table4[[ Curr Str In Transit Qty]])</f>
        <v>78</v>
      </c>
      <c r="AS5" s="108">
        <f>SUM(Table4[[ Curr Str In Whse Qty]])</f>
        <v>102</v>
      </c>
      <c r="AT5" s="108">
        <f>SUM(Table4[[ Curr Str On Order Qty]])</f>
        <v>1201</v>
      </c>
      <c r="AU5" s="108">
        <f>SUM(Table4[[ Curr Whse On Hand Qty]])</f>
        <v>40</v>
      </c>
      <c r="AV5" s="108">
        <f>SUM(Table4[[ Curr Whse SS Order Qty]])</f>
        <v>1167</v>
      </c>
      <c r="AW5" s="108"/>
      <c r="AX5" s="108"/>
    </row>
  </sheetData>
  <sortState xmlns:xlrd2="http://schemas.microsoft.com/office/spreadsheetml/2017/richdata2" ref="B3:AV3">
    <sortCondition descending="1" ref="V3"/>
  </sortState>
  <phoneticPr fontId="23" type="noConversion"/>
  <pageMargins left="0.7" right="0.7" top="0.75" bottom="0.75" header="0.3" footer="0.3"/>
  <pageSetup orientation="portrait" horizontalDpi="4294967293" verticalDpi="4294967293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8C6FF8B8-B268-4339-8097-1567684699D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E3:E4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E915-780D-4680-9320-63FD83AD918A}">
  <dimension ref="A1:BH2593"/>
  <sheetViews>
    <sheetView showGridLines="0" topLeftCell="A2" zoomScale="86" zoomScaleNormal="80" workbookViewId="0">
      <pane xSplit="7" ySplit="5" topLeftCell="AU7" activePane="bottomRight" state="frozen"/>
      <selection activeCell="A2" sqref="A2"/>
      <selection pane="topRight" activeCell="H2" sqref="H2"/>
      <selection pane="bottomLeft" activeCell="A3" sqref="A3"/>
      <selection pane="bottomRight" activeCell="AW2" sqref="AW2"/>
    </sheetView>
  </sheetViews>
  <sheetFormatPr defaultColWidth="22.69921875" defaultRowHeight="15" customHeight="1" zeroHeight="1"/>
  <cols>
    <col min="1" max="1" width="13" style="8" customWidth="1"/>
    <col min="2" max="2" width="17.69921875" style="8" customWidth="1"/>
    <col min="3" max="4" width="17.19921875" style="8" customWidth="1"/>
    <col min="5" max="5" width="60.09765625" style="8" bestFit="1" customWidth="1"/>
    <col min="6" max="6" width="2.19921875" style="8" hidden="1" customWidth="1"/>
    <col min="7" max="30" width="22.69921875" style="8"/>
    <col min="31" max="31" width="12.796875" style="8" bestFit="1" customWidth="1"/>
    <col min="32" max="16384" width="22.69921875" style="8"/>
  </cols>
  <sheetData>
    <row r="1" spans="1:60" ht="70.95" hidden="1" customHeight="1">
      <c r="B1" s="1" t="s">
        <v>45</v>
      </c>
      <c r="H1" s="83">
        <v>3</v>
      </c>
      <c r="I1" s="83">
        <v>4</v>
      </c>
      <c r="J1" s="83">
        <v>5</v>
      </c>
      <c r="K1" s="83">
        <v>6</v>
      </c>
      <c r="L1" s="83">
        <v>7</v>
      </c>
      <c r="M1" s="83">
        <v>8</v>
      </c>
      <c r="N1" s="83">
        <v>9</v>
      </c>
      <c r="O1" s="83">
        <v>10</v>
      </c>
      <c r="P1" s="83">
        <v>11</v>
      </c>
      <c r="Q1" s="83">
        <v>12</v>
      </c>
      <c r="R1" s="83">
        <v>13</v>
      </c>
      <c r="S1" s="83">
        <v>14</v>
      </c>
      <c r="T1" s="83">
        <v>15</v>
      </c>
      <c r="U1" s="83">
        <v>16</v>
      </c>
      <c r="V1" s="83">
        <v>17</v>
      </c>
      <c r="W1" s="83">
        <v>18</v>
      </c>
      <c r="X1" s="83">
        <v>19</v>
      </c>
      <c r="Y1" s="83">
        <v>20</v>
      </c>
      <c r="Z1" s="83">
        <v>21</v>
      </c>
      <c r="AA1" s="83">
        <v>22</v>
      </c>
      <c r="AB1" s="83">
        <v>23</v>
      </c>
      <c r="AC1" s="83">
        <v>24</v>
      </c>
      <c r="AD1" s="83">
        <v>25</v>
      </c>
      <c r="AE1" s="83">
        <v>26</v>
      </c>
      <c r="AF1" s="83">
        <v>27</v>
      </c>
      <c r="AG1" s="83">
        <v>28</v>
      </c>
      <c r="AH1" s="83">
        <v>29</v>
      </c>
      <c r="AI1" s="83">
        <v>30</v>
      </c>
      <c r="AJ1" s="83">
        <v>31</v>
      </c>
      <c r="AK1" s="83">
        <v>32</v>
      </c>
      <c r="AL1" s="83">
        <v>33</v>
      </c>
      <c r="AM1" s="83">
        <v>34</v>
      </c>
      <c r="AN1" s="83">
        <v>35</v>
      </c>
      <c r="AO1" s="83">
        <v>36</v>
      </c>
      <c r="AP1" s="83">
        <v>37</v>
      </c>
      <c r="AQ1" s="83">
        <v>38</v>
      </c>
      <c r="AR1" s="83">
        <v>39</v>
      </c>
      <c r="AS1" s="83">
        <v>40</v>
      </c>
      <c r="AT1" s="83">
        <v>41</v>
      </c>
      <c r="AU1" s="83">
        <v>42</v>
      </c>
      <c r="AV1" s="83">
        <v>43</v>
      </c>
      <c r="AW1" s="83">
        <v>44</v>
      </c>
      <c r="AX1" s="83">
        <v>45</v>
      </c>
      <c r="AY1" s="83">
        <v>46</v>
      </c>
      <c r="AZ1" s="83">
        <v>47</v>
      </c>
      <c r="BA1" s="83">
        <v>48</v>
      </c>
      <c r="BB1" s="83">
        <v>49</v>
      </c>
      <c r="BC1" s="83">
        <v>50</v>
      </c>
      <c r="BD1" s="83">
        <v>51</v>
      </c>
      <c r="BE1" s="83">
        <v>52</v>
      </c>
      <c r="BF1" s="83">
        <v>53</v>
      </c>
      <c r="BG1" s="83">
        <v>54</v>
      </c>
    </row>
    <row r="2" spans="1:60" ht="45.6" customHeight="1">
      <c r="B2" s="1"/>
      <c r="G2" s="10" t="s">
        <v>278</v>
      </c>
      <c r="H2" s="101">
        <f>IFERROR((H4-G4)/G4,0)</f>
        <v>0</v>
      </c>
      <c r="I2" s="101">
        <f t="shared" ref="I2:AK2" si="0">IFERROR((I4-H4)/H4,0)</f>
        <v>0</v>
      </c>
      <c r="J2" s="101">
        <f t="shared" si="0"/>
        <v>0</v>
      </c>
      <c r="K2" s="101">
        <f t="shared" si="0"/>
        <v>0</v>
      </c>
      <c r="L2" s="101">
        <f t="shared" si="0"/>
        <v>0</v>
      </c>
      <c r="M2" s="101">
        <f t="shared" si="0"/>
        <v>0</v>
      </c>
      <c r="N2" s="101">
        <f t="shared" si="0"/>
        <v>0</v>
      </c>
      <c r="O2" s="101">
        <f t="shared" si="0"/>
        <v>0</v>
      </c>
      <c r="P2" s="101">
        <f t="shared" si="0"/>
        <v>0</v>
      </c>
      <c r="Q2" s="101">
        <f t="shared" si="0"/>
        <v>0</v>
      </c>
      <c r="R2" s="101">
        <f t="shared" si="0"/>
        <v>0</v>
      </c>
      <c r="S2" s="101">
        <f t="shared" si="0"/>
        <v>0</v>
      </c>
      <c r="T2" s="101">
        <f t="shared" si="0"/>
        <v>0</v>
      </c>
      <c r="U2" s="101">
        <f t="shared" si="0"/>
        <v>0</v>
      </c>
      <c r="V2" s="101">
        <f t="shared" si="0"/>
        <v>0</v>
      </c>
      <c r="W2" s="101">
        <f t="shared" si="0"/>
        <v>0</v>
      </c>
      <c r="X2" s="101">
        <f t="shared" si="0"/>
        <v>0</v>
      </c>
      <c r="Y2" s="101">
        <f t="shared" si="0"/>
        <v>0</v>
      </c>
      <c r="Z2" s="101">
        <f t="shared" si="0"/>
        <v>0</v>
      </c>
      <c r="AA2" s="101">
        <f t="shared" si="0"/>
        <v>0</v>
      </c>
      <c r="AB2" s="101">
        <f t="shared" si="0"/>
        <v>0</v>
      </c>
      <c r="AC2" s="101">
        <f t="shared" si="0"/>
        <v>0</v>
      </c>
      <c r="AD2" s="101">
        <f t="shared" si="0"/>
        <v>0</v>
      </c>
      <c r="AE2" s="101">
        <f t="shared" si="0"/>
        <v>0</v>
      </c>
      <c r="AF2" s="101">
        <f t="shared" si="0"/>
        <v>0</v>
      </c>
      <c r="AG2" s="101">
        <f t="shared" si="0"/>
        <v>0</v>
      </c>
      <c r="AH2" s="101">
        <f t="shared" si="0"/>
        <v>0</v>
      </c>
      <c r="AI2" s="101">
        <f t="shared" si="0"/>
        <v>0</v>
      </c>
      <c r="AJ2" s="101">
        <f t="shared" si="0"/>
        <v>0</v>
      </c>
      <c r="AK2" s="101">
        <f t="shared" si="0"/>
        <v>0</v>
      </c>
      <c r="AL2" s="102">
        <f t="shared" ref="AL2:AW2" si="1">(AL4-AK4)/AK4</f>
        <v>43.079055441478438</v>
      </c>
      <c r="AM2" s="102">
        <f t="shared" si="1"/>
        <v>4.043463070365453</v>
      </c>
      <c r="AN2" s="102">
        <f t="shared" si="1"/>
        <v>1.510004341179785</v>
      </c>
      <c r="AO2" s="102">
        <f t="shared" si="1"/>
        <v>0.17248174427028826</v>
      </c>
      <c r="AP2" s="102">
        <f t="shared" si="1"/>
        <v>0.25719728860478019</v>
      </c>
      <c r="AQ2" s="147">
        <f t="shared" si="1"/>
        <v>-5.2793110248997681E-2</v>
      </c>
      <c r="AR2" s="102">
        <f t="shared" si="1"/>
        <v>4.9126114245107121E-2</v>
      </c>
      <c r="AS2" s="147">
        <f t="shared" si="1"/>
        <v>-3.7128359982490006E-2</v>
      </c>
      <c r="AT2" s="147">
        <f t="shared" si="1"/>
        <v>-7.2565611473626224E-2</v>
      </c>
      <c r="AU2" s="148">
        <f t="shared" si="1"/>
        <v>1.0908564072033555E-2</v>
      </c>
      <c r="AV2" s="147">
        <f t="shared" si="1"/>
        <v>-3.3263066353595952E-2</v>
      </c>
      <c r="AW2" s="147">
        <f t="shared" si="1"/>
        <v>-3.6892880390136877E-2</v>
      </c>
      <c r="AX2" s="83"/>
      <c r="AY2" s="83"/>
      <c r="AZ2" s="83"/>
      <c r="BA2" s="83"/>
      <c r="BB2" s="83"/>
      <c r="BC2" s="83"/>
      <c r="BD2" s="83"/>
      <c r="BE2" s="83"/>
      <c r="BF2" s="83"/>
      <c r="BG2" s="83"/>
    </row>
    <row r="3" spans="1:60" ht="45.6" customHeight="1">
      <c r="B3" s="1"/>
      <c r="G3" s="10" t="s">
        <v>281</v>
      </c>
      <c r="H3" s="100">
        <v>0</v>
      </c>
      <c r="I3" s="100">
        <v>0</v>
      </c>
      <c r="J3" s="100">
        <v>0</v>
      </c>
      <c r="K3" s="100">
        <v>0</v>
      </c>
      <c r="L3" s="100">
        <v>0</v>
      </c>
      <c r="M3" s="100">
        <v>0</v>
      </c>
      <c r="N3" s="100">
        <v>0</v>
      </c>
      <c r="O3" s="100">
        <v>0</v>
      </c>
      <c r="P3" s="100">
        <v>0</v>
      </c>
      <c r="Q3" s="100">
        <v>0</v>
      </c>
      <c r="R3" s="100">
        <v>0</v>
      </c>
      <c r="S3" s="100">
        <v>0</v>
      </c>
      <c r="T3" s="100">
        <v>0</v>
      </c>
      <c r="U3" s="100">
        <v>0</v>
      </c>
      <c r="V3" s="100">
        <v>0</v>
      </c>
      <c r="W3" s="100">
        <v>0</v>
      </c>
      <c r="X3" s="100">
        <v>0</v>
      </c>
      <c r="Y3" s="100">
        <v>0</v>
      </c>
      <c r="Z3" s="100">
        <v>0</v>
      </c>
      <c r="AA3" s="100">
        <v>0</v>
      </c>
      <c r="AB3" s="100">
        <v>0</v>
      </c>
      <c r="AC3" s="100">
        <v>0</v>
      </c>
      <c r="AD3" s="100">
        <v>0</v>
      </c>
      <c r="AE3" s="100">
        <v>0</v>
      </c>
      <c r="AF3" s="100">
        <v>0</v>
      </c>
      <c r="AG3" s="100">
        <v>0</v>
      </c>
      <c r="AH3" s="100">
        <v>0</v>
      </c>
      <c r="AI3" s="100">
        <v>0</v>
      </c>
      <c r="AJ3" s="100">
        <v>0</v>
      </c>
      <c r="AK3" s="100">
        <v>1</v>
      </c>
      <c r="AL3" s="100">
        <v>48</v>
      </c>
      <c r="AM3" s="100">
        <v>226</v>
      </c>
      <c r="AN3" s="100">
        <v>564</v>
      </c>
      <c r="AO3" s="100">
        <v>655</v>
      </c>
      <c r="AP3" s="100">
        <v>824</v>
      </c>
      <c r="AQ3" s="100">
        <v>782</v>
      </c>
      <c r="AR3" s="100">
        <v>820</v>
      </c>
      <c r="AS3" s="100">
        <v>797</v>
      </c>
      <c r="AT3" s="100">
        <v>733</v>
      </c>
      <c r="AU3" s="100">
        <v>741</v>
      </c>
      <c r="AV3" s="100">
        <v>716</v>
      </c>
      <c r="AW3" s="100">
        <v>687</v>
      </c>
      <c r="AX3" s="83"/>
      <c r="AY3" s="83"/>
      <c r="AZ3" s="83"/>
      <c r="BA3" s="83"/>
      <c r="BB3" s="83"/>
      <c r="BC3" s="83"/>
      <c r="BD3" s="83"/>
      <c r="BE3" s="83"/>
      <c r="BF3" s="83"/>
      <c r="BG3" s="83"/>
    </row>
    <row r="4" spans="1:60" ht="37.200000000000003" customHeight="1">
      <c r="B4" s="1"/>
      <c r="G4" s="10" t="s">
        <v>279</v>
      </c>
      <c r="H4" s="99">
        <v>0</v>
      </c>
      <c r="I4" s="99">
        <v>0</v>
      </c>
      <c r="J4" s="99">
        <v>0</v>
      </c>
      <c r="K4" s="99">
        <v>0</v>
      </c>
      <c r="L4" s="99">
        <v>0</v>
      </c>
      <c r="M4" s="99">
        <v>0</v>
      </c>
      <c r="N4" s="99">
        <v>0</v>
      </c>
      <c r="O4" s="99">
        <v>0</v>
      </c>
      <c r="P4" s="99">
        <v>0</v>
      </c>
      <c r="Q4" s="99">
        <v>0</v>
      </c>
      <c r="R4" s="99">
        <v>0</v>
      </c>
      <c r="S4" s="99">
        <v>0</v>
      </c>
      <c r="T4" s="99">
        <v>0</v>
      </c>
      <c r="U4" s="99">
        <v>0</v>
      </c>
      <c r="V4" s="99">
        <v>0</v>
      </c>
      <c r="W4" s="99">
        <v>0</v>
      </c>
      <c r="X4" s="99">
        <v>0</v>
      </c>
      <c r="Y4" s="99">
        <v>0</v>
      </c>
      <c r="Z4" s="99">
        <v>0</v>
      </c>
      <c r="AA4" s="99">
        <v>0</v>
      </c>
      <c r="AB4" s="99">
        <v>0</v>
      </c>
      <c r="AC4" s="99">
        <v>0</v>
      </c>
      <c r="AD4" s="99">
        <v>0</v>
      </c>
      <c r="AE4" s="99">
        <v>0</v>
      </c>
      <c r="AF4" s="99">
        <v>0</v>
      </c>
      <c r="AG4" s="99">
        <v>0</v>
      </c>
      <c r="AH4" s="99">
        <v>0</v>
      </c>
      <c r="AI4" s="99">
        <v>0</v>
      </c>
      <c r="AJ4" s="99">
        <v>0</v>
      </c>
      <c r="AK4" s="99">
        <v>38.96</v>
      </c>
      <c r="AL4" s="99">
        <v>1717.32</v>
      </c>
      <c r="AM4" s="99">
        <v>8661.24</v>
      </c>
      <c r="AN4" s="99">
        <v>21739.75</v>
      </c>
      <c r="AO4" s="99">
        <v>25489.46</v>
      </c>
      <c r="AP4" s="99">
        <v>32045.279999999999</v>
      </c>
      <c r="AQ4" s="99">
        <v>30353.51</v>
      </c>
      <c r="AR4" s="99">
        <v>31844.66</v>
      </c>
      <c r="AS4" s="99">
        <v>30662.32</v>
      </c>
      <c r="AT4" s="99">
        <v>28437.29</v>
      </c>
      <c r="AU4" s="99">
        <v>28747.5</v>
      </c>
      <c r="AV4" s="99">
        <v>27791.27</v>
      </c>
      <c r="AW4" s="99">
        <v>26765.97</v>
      </c>
      <c r="AX4" s="83"/>
      <c r="AY4" s="83"/>
      <c r="AZ4" s="83"/>
      <c r="BA4" s="83"/>
      <c r="BB4" s="83"/>
      <c r="BC4" s="83"/>
      <c r="BD4" s="83"/>
      <c r="BE4" s="83"/>
      <c r="BF4" s="83"/>
      <c r="BG4" s="83"/>
    </row>
    <row r="5" spans="1:60" ht="33.6" customHeight="1">
      <c r="B5" s="1"/>
      <c r="G5" s="10" t="s">
        <v>280</v>
      </c>
      <c r="H5" s="100">
        <v>0</v>
      </c>
      <c r="I5" s="100">
        <v>0</v>
      </c>
      <c r="J5" s="100">
        <v>0</v>
      </c>
      <c r="K5" s="100">
        <v>0</v>
      </c>
      <c r="L5" s="100">
        <v>0</v>
      </c>
      <c r="M5" s="100">
        <v>0</v>
      </c>
      <c r="N5" s="100">
        <v>0</v>
      </c>
      <c r="O5" s="100">
        <v>0</v>
      </c>
      <c r="P5" s="100">
        <v>0</v>
      </c>
      <c r="Q5" s="100">
        <v>0</v>
      </c>
      <c r="R5" s="100">
        <v>0</v>
      </c>
      <c r="S5" s="100">
        <v>0</v>
      </c>
      <c r="T5" s="100">
        <v>0</v>
      </c>
      <c r="U5" s="100">
        <v>0</v>
      </c>
      <c r="V5" s="100">
        <v>0</v>
      </c>
      <c r="W5" s="100">
        <v>0</v>
      </c>
      <c r="X5" s="100">
        <v>0</v>
      </c>
      <c r="Y5" s="100">
        <v>0</v>
      </c>
      <c r="Z5" s="100">
        <v>0</v>
      </c>
      <c r="AA5" s="100">
        <v>0</v>
      </c>
      <c r="AB5" s="100">
        <v>0</v>
      </c>
      <c r="AC5" s="100">
        <v>0</v>
      </c>
      <c r="AD5" s="100">
        <v>0</v>
      </c>
      <c r="AE5" s="100">
        <v>0</v>
      </c>
      <c r="AF5" s="100">
        <v>0</v>
      </c>
      <c r="AG5" s="100">
        <v>0</v>
      </c>
      <c r="AH5" s="100">
        <v>0</v>
      </c>
      <c r="AI5" s="100">
        <v>0</v>
      </c>
      <c r="AJ5" s="100">
        <v>0</v>
      </c>
      <c r="AK5" s="100">
        <v>0</v>
      </c>
      <c r="AL5" s="100">
        <v>2879</v>
      </c>
      <c r="AM5" s="100">
        <v>2881</v>
      </c>
      <c r="AN5" s="100">
        <v>2881</v>
      </c>
      <c r="AO5" s="100">
        <v>2883</v>
      </c>
      <c r="AP5" s="100">
        <v>2885</v>
      </c>
      <c r="AQ5" s="100">
        <v>2947</v>
      </c>
      <c r="AR5" s="100">
        <v>2949</v>
      </c>
      <c r="AS5" s="100">
        <v>2948</v>
      </c>
      <c r="AT5" s="100">
        <v>2947</v>
      </c>
      <c r="AU5" s="100">
        <v>2945</v>
      </c>
      <c r="AV5" s="100">
        <v>2947</v>
      </c>
      <c r="AW5" s="100">
        <v>2945</v>
      </c>
      <c r="AX5" s="83"/>
      <c r="AY5" s="83"/>
      <c r="AZ5" s="83"/>
      <c r="BA5" s="83"/>
      <c r="BB5" s="83"/>
      <c r="BC5" s="83"/>
      <c r="BD5" s="83"/>
      <c r="BE5" s="83"/>
      <c r="BF5" s="83"/>
      <c r="BG5" s="83"/>
    </row>
    <row r="6" spans="1:60" s="30" customFormat="1" ht="28.95" customHeight="1">
      <c r="A6" s="10"/>
      <c r="B6" s="41" t="s">
        <v>47</v>
      </c>
      <c r="C6" s="42" t="s">
        <v>3</v>
      </c>
      <c r="D6" s="42" t="s">
        <v>1</v>
      </c>
      <c r="E6" s="42" t="s">
        <v>2</v>
      </c>
      <c r="F6" s="42" t="s">
        <v>61</v>
      </c>
      <c r="G6" s="43" t="s">
        <v>46</v>
      </c>
      <c r="H6" s="44">
        <v>202501</v>
      </c>
      <c r="I6" s="44">
        <v>202502</v>
      </c>
      <c r="J6" s="44">
        <v>202503</v>
      </c>
      <c r="K6" s="44">
        <v>202504</v>
      </c>
      <c r="L6" s="44">
        <v>202505</v>
      </c>
      <c r="M6" s="44">
        <v>202506</v>
      </c>
      <c r="N6" s="44">
        <v>202507</v>
      </c>
      <c r="O6" s="44">
        <v>202508</v>
      </c>
      <c r="P6" s="44">
        <v>202509</v>
      </c>
      <c r="Q6" s="44">
        <v>202510</v>
      </c>
      <c r="R6" s="44">
        <v>202511</v>
      </c>
      <c r="S6" s="44">
        <v>202512</v>
      </c>
      <c r="T6" s="44">
        <v>202513</v>
      </c>
      <c r="U6" s="44">
        <v>202514</v>
      </c>
      <c r="V6" s="44">
        <v>202515</v>
      </c>
      <c r="W6" s="44">
        <v>202516</v>
      </c>
      <c r="X6" s="44">
        <v>202517</v>
      </c>
      <c r="Y6" s="44">
        <v>202518</v>
      </c>
      <c r="Z6" s="44">
        <v>202519</v>
      </c>
      <c r="AA6" s="44">
        <v>202520</v>
      </c>
      <c r="AB6" s="44">
        <v>202521</v>
      </c>
      <c r="AC6" s="44">
        <v>202522</v>
      </c>
      <c r="AD6" s="44">
        <v>202523</v>
      </c>
      <c r="AE6" s="44">
        <v>202524</v>
      </c>
      <c r="AF6" s="44">
        <v>202525</v>
      </c>
      <c r="AG6" s="44">
        <v>202526</v>
      </c>
      <c r="AH6" s="44">
        <v>202527</v>
      </c>
      <c r="AI6" s="44">
        <v>202528</v>
      </c>
      <c r="AJ6" s="44">
        <v>202529</v>
      </c>
      <c r="AK6" s="44">
        <v>202530</v>
      </c>
      <c r="AL6" s="44">
        <v>202531</v>
      </c>
      <c r="AM6" s="44">
        <v>202532</v>
      </c>
      <c r="AN6" s="44">
        <v>202533</v>
      </c>
      <c r="AO6" s="44">
        <v>202534</v>
      </c>
      <c r="AP6" s="44">
        <v>202535</v>
      </c>
      <c r="AQ6" s="44">
        <v>202536</v>
      </c>
      <c r="AR6" s="44">
        <v>202537</v>
      </c>
      <c r="AS6" s="44">
        <v>202538</v>
      </c>
      <c r="AT6" s="44">
        <v>202539</v>
      </c>
      <c r="AU6" s="44">
        <v>202540</v>
      </c>
      <c r="AV6" s="44">
        <v>202541</v>
      </c>
      <c r="AW6" s="44">
        <v>202542</v>
      </c>
      <c r="AX6" s="44">
        <v>202543</v>
      </c>
      <c r="AY6" s="44">
        <v>202544</v>
      </c>
      <c r="AZ6" s="44">
        <v>202545</v>
      </c>
      <c r="BA6" s="44">
        <v>202546</v>
      </c>
      <c r="BB6" s="44">
        <v>202547</v>
      </c>
      <c r="BC6" s="44">
        <v>202548</v>
      </c>
      <c r="BD6" s="44">
        <v>202549</v>
      </c>
      <c r="BE6" s="44">
        <v>202550</v>
      </c>
      <c r="BF6" s="44">
        <v>202551</v>
      </c>
      <c r="BG6" s="44">
        <v>202552</v>
      </c>
      <c r="BH6" s="29"/>
    </row>
    <row r="7" spans="1:60" ht="15.6">
      <c r="A7" s="50" t="str">
        <f t="shared" ref="A7:A24" si="2">CONCATENATE(D7,G7)</f>
        <v>677410826POS Sales $</v>
      </c>
      <c r="B7" s="62">
        <v>2</v>
      </c>
      <c r="C7" s="62" t="s">
        <v>296</v>
      </c>
      <c r="D7" s="62">
        <v>677410826</v>
      </c>
      <c r="E7" s="62" t="s">
        <v>295</v>
      </c>
      <c r="F7" s="45" t="s">
        <v>66</v>
      </c>
      <c r="G7" s="36" t="s">
        <v>170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H7" s="37">
        <v>0</v>
      </c>
      <c r="AI7" s="37">
        <v>0</v>
      </c>
      <c r="AJ7" s="37">
        <v>0</v>
      </c>
      <c r="AK7" s="37">
        <v>0</v>
      </c>
      <c r="AL7" s="37">
        <v>1201.8</v>
      </c>
      <c r="AM7" s="37">
        <v>4479.4399999999996</v>
      </c>
      <c r="AN7" s="37">
        <v>13158.52</v>
      </c>
      <c r="AO7" s="37">
        <v>16305.82</v>
      </c>
      <c r="AP7" s="37">
        <v>21142.82</v>
      </c>
      <c r="AQ7" s="37">
        <v>19385.12</v>
      </c>
      <c r="AR7" s="37">
        <v>21669.02</v>
      </c>
      <c r="AS7" s="37">
        <v>19839.36</v>
      </c>
      <c r="AT7" s="37">
        <v>19075.03</v>
      </c>
      <c r="AU7" s="37">
        <v>18340.68</v>
      </c>
      <c r="AV7" s="37">
        <v>17270.02</v>
      </c>
      <c r="AW7" s="37">
        <v>18722.27</v>
      </c>
      <c r="AX7" s="37">
        <v>0</v>
      </c>
      <c r="AY7" s="37">
        <v>0</v>
      </c>
      <c r="AZ7" s="37">
        <v>0</v>
      </c>
      <c r="BA7" s="37">
        <v>0</v>
      </c>
      <c r="BB7" s="37">
        <v>0</v>
      </c>
      <c r="BC7" s="37">
        <v>0</v>
      </c>
      <c r="BD7" s="37">
        <v>0</v>
      </c>
      <c r="BE7" s="37">
        <v>0</v>
      </c>
      <c r="BF7" s="37">
        <v>0</v>
      </c>
      <c r="BG7" s="37">
        <v>0</v>
      </c>
      <c r="BH7"/>
    </row>
    <row r="8" spans="1:60" ht="15.6">
      <c r="A8" s="50" t="str">
        <f t="shared" si="2"/>
        <v>677410826POS Qty</v>
      </c>
      <c r="B8" s="60">
        <v>2</v>
      </c>
      <c r="C8" s="60" t="s">
        <v>296</v>
      </c>
      <c r="D8" s="60">
        <v>677410826</v>
      </c>
      <c r="E8" s="60" t="s">
        <v>295</v>
      </c>
      <c r="F8" s="46" t="s">
        <v>67</v>
      </c>
      <c r="G8" s="38" t="s">
        <v>62</v>
      </c>
      <c r="H8" s="49">
        <v>0</v>
      </c>
      <c r="I8" s="49">
        <v>0</v>
      </c>
      <c r="J8" s="49">
        <v>0</v>
      </c>
      <c r="K8" s="49">
        <v>0</v>
      </c>
      <c r="L8" s="49">
        <v>0</v>
      </c>
      <c r="M8" s="49">
        <v>0</v>
      </c>
      <c r="N8" s="49">
        <v>0</v>
      </c>
      <c r="O8" s="49">
        <v>0</v>
      </c>
      <c r="P8" s="49">
        <v>0</v>
      </c>
      <c r="Q8" s="49">
        <v>0</v>
      </c>
      <c r="R8" s="49">
        <v>0</v>
      </c>
      <c r="S8" s="49">
        <v>0</v>
      </c>
      <c r="T8" s="49">
        <v>0</v>
      </c>
      <c r="U8" s="49">
        <v>0</v>
      </c>
      <c r="V8" s="49">
        <v>0</v>
      </c>
      <c r="W8" s="49">
        <v>0</v>
      </c>
      <c r="X8" s="49">
        <v>0</v>
      </c>
      <c r="Y8" s="49">
        <v>0</v>
      </c>
      <c r="Z8" s="49">
        <v>0</v>
      </c>
      <c r="AA8" s="49">
        <v>0</v>
      </c>
      <c r="AB8" s="49">
        <v>0</v>
      </c>
      <c r="AC8" s="49">
        <v>0</v>
      </c>
      <c r="AD8" s="49">
        <v>0</v>
      </c>
      <c r="AE8" s="49">
        <v>0</v>
      </c>
      <c r="AF8" s="49">
        <v>0</v>
      </c>
      <c r="AG8" s="49">
        <v>0</v>
      </c>
      <c r="AH8" s="49">
        <v>0</v>
      </c>
      <c r="AI8" s="49">
        <v>0</v>
      </c>
      <c r="AJ8" s="49">
        <v>0</v>
      </c>
      <c r="AK8" s="49">
        <v>0</v>
      </c>
      <c r="AL8" s="49">
        <v>34</v>
      </c>
      <c r="AM8" s="49">
        <v>118</v>
      </c>
      <c r="AN8" s="49">
        <v>341</v>
      </c>
      <c r="AO8" s="49">
        <v>419</v>
      </c>
      <c r="AP8" s="49">
        <v>543</v>
      </c>
      <c r="AQ8" s="49">
        <v>499</v>
      </c>
      <c r="AR8" s="49">
        <v>557</v>
      </c>
      <c r="AS8" s="49">
        <v>516</v>
      </c>
      <c r="AT8" s="49">
        <v>491</v>
      </c>
      <c r="AU8" s="49">
        <v>473</v>
      </c>
      <c r="AV8" s="49">
        <v>445</v>
      </c>
      <c r="AW8" s="49">
        <v>481</v>
      </c>
      <c r="AX8" s="49">
        <v>0</v>
      </c>
      <c r="AY8" s="49">
        <v>0</v>
      </c>
      <c r="AZ8" s="49">
        <v>0</v>
      </c>
      <c r="BA8" s="49">
        <v>0</v>
      </c>
      <c r="BB8" s="49">
        <v>0</v>
      </c>
      <c r="BC8" s="49">
        <v>0</v>
      </c>
      <c r="BD8" s="49">
        <v>0</v>
      </c>
      <c r="BE8" s="49">
        <v>0</v>
      </c>
      <c r="BF8" s="49">
        <v>0</v>
      </c>
      <c r="BG8" s="49">
        <v>0</v>
      </c>
      <c r="BH8"/>
    </row>
    <row r="9" spans="1:60" ht="15.6">
      <c r="A9" s="50" t="str">
        <f t="shared" si="2"/>
        <v>677410826POS Qty if Instock</v>
      </c>
      <c r="B9" s="60">
        <v>2</v>
      </c>
      <c r="C9" s="60" t="s">
        <v>296</v>
      </c>
      <c r="D9" s="60">
        <v>677410826</v>
      </c>
      <c r="E9" s="60" t="s">
        <v>295</v>
      </c>
      <c r="F9" s="46" t="s">
        <v>75</v>
      </c>
      <c r="G9" s="31" t="s">
        <v>72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T9" s="39">
        <v>0</v>
      </c>
      <c r="U9" s="39">
        <v>0</v>
      </c>
      <c r="V9" s="39">
        <v>0</v>
      </c>
      <c r="W9" s="39">
        <v>0</v>
      </c>
      <c r="X9" s="39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  <c r="AH9" s="39">
        <v>0</v>
      </c>
      <c r="AI9" s="39">
        <v>0</v>
      </c>
      <c r="AJ9" s="39">
        <v>0</v>
      </c>
      <c r="AK9" s="39">
        <v>0</v>
      </c>
      <c r="AL9" s="39">
        <v>68</v>
      </c>
      <c r="AM9" s="39">
        <v>236</v>
      </c>
      <c r="AN9" s="39">
        <v>351.91200000000003</v>
      </c>
      <c r="AO9" s="39">
        <v>429.51690000000002</v>
      </c>
      <c r="AP9" s="39">
        <v>550.92779999999993</v>
      </c>
      <c r="AQ9" s="39">
        <v>504.53890000000001</v>
      </c>
      <c r="AR9" s="39">
        <v>571.03639999999996</v>
      </c>
      <c r="AS9" s="39">
        <v>525.49440000000004</v>
      </c>
      <c r="AT9" s="39">
        <v>497.33390000000003</v>
      </c>
      <c r="AU9" s="39">
        <v>479.10169999999999</v>
      </c>
      <c r="AV9" s="39">
        <v>450.16200000000003</v>
      </c>
      <c r="AW9" s="39">
        <v>486.57960000000003</v>
      </c>
      <c r="AX9" s="39">
        <v>0</v>
      </c>
      <c r="AY9" s="39">
        <v>0</v>
      </c>
      <c r="AZ9" s="39">
        <v>0</v>
      </c>
      <c r="BA9" s="39">
        <v>0</v>
      </c>
      <c r="BB9" s="39">
        <v>0</v>
      </c>
      <c r="BC9" s="39">
        <v>0</v>
      </c>
      <c r="BD9" s="39">
        <v>0</v>
      </c>
      <c r="BE9" s="39">
        <v>0</v>
      </c>
      <c r="BF9" s="39">
        <v>0</v>
      </c>
      <c r="BG9" s="39">
        <v>0</v>
      </c>
      <c r="BH9"/>
    </row>
    <row r="10" spans="1:60" ht="15.6">
      <c r="A10" s="50" t="str">
        <f t="shared" si="2"/>
        <v>677410826Units per Store per Week (w/zeros)</v>
      </c>
      <c r="B10" s="60">
        <v>2</v>
      </c>
      <c r="C10" s="60" t="s">
        <v>296</v>
      </c>
      <c r="D10" s="60">
        <v>677410826</v>
      </c>
      <c r="E10" s="60" t="s">
        <v>295</v>
      </c>
      <c r="F10" s="46" t="s">
        <v>68</v>
      </c>
      <c r="G10" s="40" t="s">
        <v>63</v>
      </c>
      <c r="H10" s="63">
        <v>0</v>
      </c>
      <c r="I10" s="63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63">
        <v>0</v>
      </c>
      <c r="P10" s="63">
        <v>0</v>
      </c>
      <c r="Q10" s="63">
        <v>0</v>
      </c>
      <c r="R10" s="63">
        <v>0</v>
      </c>
      <c r="S10" s="63">
        <v>0</v>
      </c>
      <c r="T10" s="63">
        <v>0</v>
      </c>
      <c r="U10" s="63">
        <v>0</v>
      </c>
      <c r="V10" s="63">
        <v>0</v>
      </c>
      <c r="W10" s="63">
        <v>0</v>
      </c>
      <c r="X10" s="63">
        <v>0</v>
      </c>
      <c r="Y10" s="63">
        <v>0</v>
      </c>
      <c r="Z10" s="63">
        <v>0</v>
      </c>
      <c r="AA10" s="63">
        <v>0</v>
      </c>
      <c r="AB10" s="63">
        <v>0</v>
      </c>
      <c r="AC10" s="63">
        <v>0</v>
      </c>
      <c r="AD10" s="63">
        <v>0</v>
      </c>
      <c r="AE10" s="63">
        <v>0</v>
      </c>
      <c r="AF10" s="63">
        <v>0</v>
      </c>
      <c r="AG10" s="63">
        <v>0</v>
      </c>
      <c r="AH10" s="63">
        <v>0</v>
      </c>
      <c r="AI10" s="63">
        <v>0</v>
      </c>
      <c r="AJ10" s="63">
        <v>0</v>
      </c>
      <c r="AK10" s="63">
        <v>0</v>
      </c>
      <c r="AL10" s="63">
        <v>2.3627519110493399E-2</v>
      </c>
      <c r="AM10" s="63">
        <v>8.1944444444444445E-2</v>
      </c>
      <c r="AN10" s="63">
        <v>0.23680555555555555</v>
      </c>
      <c r="AO10" s="63">
        <v>0.29077029840388618</v>
      </c>
      <c r="AP10" s="63">
        <v>0.37656033287101248</v>
      </c>
      <c r="AQ10" s="63">
        <v>0.33876442634080106</v>
      </c>
      <c r="AR10" s="63">
        <v>0.37788331071913162</v>
      </c>
      <c r="AS10" s="63">
        <v>0.35030549898167007</v>
      </c>
      <c r="AT10" s="63">
        <v>0.33333333333333331</v>
      </c>
      <c r="AU10" s="63">
        <v>0.32133152173913043</v>
      </c>
      <c r="AV10" s="63">
        <v>0.30210454854039376</v>
      </c>
      <c r="AW10" s="63">
        <v>0.32676630434782611</v>
      </c>
      <c r="AX10" s="63">
        <v>0</v>
      </c>
      <c r="AY10" s="63">
        <v>0</v>
      </c>
      <c r="AZ10" s="63">
        <v>0</v>
      </c>
      <c r="BA10" s="63">
        <v>0</v>
      </c>
      <c r="BB10" s="63">
        <v>0</v>
      </c>
      <c r="BC10" s="63">
        <v>0</v>
      </c>
      <c r="BD10" s="63">
        <v>0</v>
      </c>
      <c r="BE10" s="63">
        <v>0</v>
      </c>
      <c r="BF10" s="63">
        <v>0</v>
      </c>
      <c r="BG10" s="63">
        <v>0</v>
      </c>
      <c r="BH10"/>
    </row>
    <row r="11" spans="1:60" ht="15.6">
      <c r="A11" s="50" t="str">
        <f t="shared" si="2"/>
        <v>677410826Avg Price</v>
      </c>
      <c r="B11" s="60">
        <v>2</v>
      </c>
      <c r="C11" s="60" t="s">
        <v>296</v>
      </c>
      <c r="D11" s="60">
        <v>677410826</v>
      </c>
      <c r="E11" s="60" t="s">
        <v>295</v>
      </c>
      <c r="F11" s="46" t="s">
        <v>69</v>
      </c>
      <c r="G11" s="40" t="s">
        <v>49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47">
        <v>0</v>
      </c>
      <c r="AI11" s="47">
        <v>0</v>
      </c>
      <c r="AJ11" s="47">
        <v>0</v>
      </c>
      <c r="AK11" s="47">
        <v>0</v>
      </c>
      <c r="AL11" s="47">
        <v>35.347058823529409</v>
      </c>
      <c r="AM11" s="47">
        <v>37.961355932203389</v>
      </c>
      <c r="AN11" s="47">
        <v>38.588035190615834</v>
      </c>
      <c r="AO11" s="47">
        <v>38.916038186157515</v>
      </c>
      <c r="AP11" s="47">
        <v>38.93705340699816</v>
      </c>
      <c r="AQ11" s="47">
        <v>38.847935871743488</v>
      </c>
      <c r="AR11" s="47">
        <v>38.903087971274687</v>
      </c>
      <c r="AS11" s="47">
        <v>38.448372093023259</v>
      </c>
      <c r="AT11" s="47">
        <v>38.849348268839101</v>
      </c>
      <c r="AU11" s="47">
        <v>38.775221987315014</v>
      </c>
      <c r="AV11" s="47">
        <v>38.809033707865169</v>
      </c>
      <c r="AW11" s="47">
        <v>38.923638253638252</v>
      </c>
      <c r="AX11" s="47">
        <v>0</v>
      </c>
      <c r="AY11" s="47">
        <v>0</v>
      </c>
      <c r="AZ11" s="47">
        <v>0</v>
      </c>
      <c r="BA11" s="47">
        <v>0</v>
      </c>
      <c r="BB11" s="47">
        <v>0</v>
      </c>
      <c r="BC11" s="47">
        <v>0</v>
      </c>
      <c r="BD11" s="47">
        <v>0</v>
      </c>
      <c r="BE11" s="47">
        <v>0</v>
      </c>
      <c r="BF11" s="47">
        <v>0</v>
      </c>
      <c r="BG11" s="47">
        <v>0</v>
      </c>
      <c r="BH11"/>
    </row>
    <row r="12" spans="1:60" ht="15.6">
      <c r="A12" s="50" t="str">
        <f t="shared" si="2"/>
        <v>677410826Traited Stores</v>
      </c>
      <c r="B12" s="60">
        <v>2</v>
      </c>
      <c r="C12" s="60" t="s">
        <v>296</v>
      </c>
      <c r="D12" s="60">
        <v>677410826</v>
      </c>
      <c r="E12" s="60" t="s">
        <v>295</v>
      </c>
      <c r="F12" s="46" t="s">
        <v>70</v>
      </c>
      <c r="G12" s="40" t="s">
        <v>208</v>
      </c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1439</v>
      </c>
      <c r="AM12" s="24">
        <v>1440</v>
      </c>
      <c r="AN12" s="24">
        <v>1440</v>
      </c>
      <c r="AO12" s="24">
        <v>1441</v>
      </c>
      <c r="AP12" s="24">
        <v>1442</v>
      </c>
      <c r="AQ12" s="24">
        <v>1473</v>
      </c>
      <c r="AR12" s="24">
        <v>1474</v>
      </c>
      <c r="AS12" s="24">
        <v>1473</v>
      </c>
      <c r="AT12" s="24">
        <v>1473</v>
      </c>
      <c r="AU12" s="24">
        <v>1472</v>
      </c>
      <c r="AV12" s="24">
        <v>1473</v>
      </c>
      <c r="AW12" s="24">
        <v>1472</v>
      </c>
      <c r="AX12" s="24">
        <v>0</v>
      </c>
      <c r="AY12" s="24">
        <v>0</v>
      </c>
      <c r="AZ12" s="24">
        <v>0</v>
      </c>
      <c r="BA12" s="24">
        <v>0</v>
      </c>
      <c r="BB12" s="24">
        <v>0</v>
      </c>
      <c r="BC12" s="24">
        <v>0</v>
      </c>
      <c r="BD12" s="24">
        <v>0</v>
      </c>
      <c r="BE12" s="24">
        <v>0</v>
      </c>
      <c r="BF12" s="24">
        <v>0</v>
      </c>
      <c r="BG12" s="24">
        <v>0</v>
      </c>
      <c r="BH12"/>
    </row>
    <row r="13" spans="1:60" ht="15.6">
      <c r="A13" s="50" t="str">
        <f t="shared" si="2"/>
        <v>677410826Instock</v>
      </c>
      <c r="B13" s="60">
        <v>2</v>
      </c>
      <c r="C13" s="60" t="s">
        <v>296</v>
      </c>
      <c r="D13" s="60">
        <v>677410826</v>
      </c>
      <c r="E13" s="60" t="s">
        <v>295</v>
      </c>
      <c r="F13" s="46" t="s">
        <v>79</v>
      </c>
      <c r="G13" s="40" t="s">
        <v>171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48">
        <v>0</v>
      </c>
      <c r="AH13" s="48">
        <v>0</v>
      </c>
      <c r="AI13" s="48">
        <v>0</v>
      </c>
      <c r="AJ13" s="48">
        <v>0</v>
      </c>
      <c r="AK13" s="48">
        <v>0</v>
      </c>
      <c r="AL13" s="48">
        <v>0</v>
      </c>
      <c r="AM13" s="48">
        <v>0</v>
      </c>
      <c r="AN13" s="48">
        <v>0.96799999999999997</v>
      </c>
      <c r="AO13" s="48">
        <v>0.97489999999999999</v>
      </c>
      <c r="AP13" s="48">
        <v>0.98540000000000005</v>
      </c>
      <c r="AQ13" s="48">
        <v>0.9889</v>
      </c>
      <c r="AR13" s="48">
        <v>0.9748</v>
      </c>
      <c r="AS13" s="48">
        <v>0.98160000000000003</v>
      </c>
      <c r="AT13" s="48">
        <v>0.98709999999999998</v>
      </c>
      <c r="AU13" s="48">
        <v>0.98709999999999998</v>
      </c>
      <c r="AV13" s="48">
        <v>0.98839999999999995</v>
      </c>
      <c r="AW13" s="48">
        <v>0.98839999999999995</v>
      </c>
      <c r="AX13" s="48">
        <v>0</v>
      </c>
      <c r="AY13" s="48">
        <v>0</v>
      </c>
      <c r="AZ13" s="48">
        <v>0</v>
      </c>
      <c r="BA13" s="48">
        <v>0</v>
      </c>
      <c r="BB13" s="48">
        <v>0</v>
      </c>
      <c r="BC13" s="48">
        <v>0</v>
      </c>
      <c r="BD13" s="48">
        <v>0</v>
      </c>
      <c r="BE13" s="48">
        <v>0</v>
      </c>
      <c r="BF13" s="48">
        <v>0</v>
      </c>
      <c r="BG13" s="48">
        <v>0</v>
      </c>
      <c r="BH13"/>
    </row>
    <row r="14" spans="1:60" ht="15.6">
      <c r="A14" s="50" t="str">
        <f t="shared" si="2"/>
        <v>677410826Forecast</v>
      </c>
      <c r="B14" s="60">
        <v>2</v>
      </c>
      <c r="C14" s="60" t="s">
        <v>296</v>
      </c>
      <c r="D14" s="60">
        <v>677410826</v>
      </c>
      <c r="E14" s="60" t="s">
        <v>295</v>
      </c>
      <c r="F14" s="46" t="s">
        <v>76</v>
      </c>
      <c r="G14" s="32" t="s">
        <v>73</v>
      </c>
      <c r="H14" s="33">
        <v>1160.3800000000001</v>
      </c>
      <c r="I14" s="33">
        <v>1331.27</v>
      </c>
      <c r="J14" s="33">
        <v>1603.65</v>
      </c>
      <c r="K14" s="33">
        <v>1828.2199999999998</v>
      </c>
      <c r="L14" s="33">
        <v>1830.35</v>
      </c>
      <c r="M14" s="33">
        <v>1625.9099999999999</v>
      </c>
      <c r="N14" s="33">
        <v>1605.65</v>
      </c>
      <c r="O14" s="33">
        <v>1579.0900000000001</v>
      </c>
      <c r="P14" s="33">
        <v>1562.92</v>
      </c>
      <c r="Q14" s="33">
        <v>1492.85</v>
      </c>
      <c r="R14" s="33">
        <v>1460.1799999999998</v>
      </c>
      <c r="S14" s="33">
        <v>1371.42</v>
      </c>
      <c r="T14" s="33">
        <v>1411.15</v>
      </c>
      <c r="U14" s="33">
        <v>1314.38</v>
      </c>
      <c r="V14" s="33">
        <v>1286.22</v>
      </c>
      <c r="W14" s="33">
        <v>1277.6500000000001</v>
      </c>
      <c r="X14" s="33">
        <v>1240.1199999999999</v>
      </c>
      <c r="Y14" s="33">
        <v>1338.88</v>
      </c>
      <c r="Z14" s="33">
        <v>1306.26</v>
      </c>
      <c r="AA14" s="33">
        <v>1358.6100000000001</v>
      </c>
      <c r="AB14" s="33">
        <v>1358.6100000000001</v>
      </c>
      <c r="AC14" s="33">
        <v>1304.0999999999999</v>
      </c>
      <c r="AD14" s="33">
        <v>1299.8900000000001</v>
      </c>
      <c r="AE14" s="33">
        <v>1300.6199999999999</v>
      </c>
      <c r="AF14" s="33">
        <v>1296.68</v>
      </c>
      <c r="AG14" s="33">
        <v>1337.52</v>
      </c>
      <c r="AH14" s="33">
        <v>1330.4099999999999</v>
      </c>
      <c r="AI14" s="33">
        <v>1374.86</v>
      </c>
      <c r="AJ14" s="33">
        <v>1356.8400000000001</v>
      </c>
      <c r="AK14" s="33">
        <v>1319.98</v>
      </c>
      <c r="AL14" s="33">
        <v>1245.1100000000001</v>
      </c>
      <c r="AM14" s="33">
        <v>1348.54</v>
      </c>
      <c r="AN14" s="33">
        <v>1472.72</v>
      </c>
      <c r="AO14" s="33">
        <v>1395.82</v>
      </c>
      <c r="AP14" s="33">
        <v>1533.55</v>
      </c>
      <c r="AQ14" s="33">
        <v>1390.35</v>
      </c>
      <c r="AR14" s="33">
        <v>1423.7800000000002</v>
      </c>
      <c r="AS14" s="33">
        <v>1433.92</v>
      </c>
      <c r="AT14" s="33">
        <v>1473.25</v>
      </c>
      <c r="AU14" s="33">
        <v>1498.24</v>
      </c>
      <c r="AV14" s="33">
        <v>1504.8400000000001</v>
      </c>
      <c r="AW14" s="33">
        <v>1408.22</v>
      </c>
      <c r="AX14" s="33">
        <v>1243.53</v>
      </c>
      <c r="AY14" s="33">
        <v>1543.8600000000001</v>
      </c>
      <c r="AZ14" s="33">
        <v>1700.1399999999999</v>
      </c>
      <c r="BA14" s="33">
        <v>2214.56</v>
      </c>
      <c r="BB14" s="33">
        <v>2203.16</v>
      </c>
      <c r="BC14" s="33">
        <v>1531.5300000000002</v>
      </c>
      <c r="BD14" s="33">
        <v>1450.65</v>
      </c>
      <c r="BE14" s="33">
        <v>1287.48</v>
      </c>
      <c r="BF14" s="33">
        <v>1043.52</v>
      </c>
      <c r="BG14" s="33">
        <v>1175.73</v>
      </c>
      <c r="BH14"/>
    </row>
    <row r="15" spans="1:60" ht="15.6">
      <c r="A15" s="50" t="str">
        <f t="shared" si="2"/>
        <v>677410826Variance</v>
      </c>
      <c r="B15" s="61">
        <v>2</v>
      </c>
      <c r="C15" s="61" t="s">
        <v>296</v>
      </c>
      <c r="D15" s="61">
        <v>677410826</v>
      </c>
      <c r="E15" s="61" t="s">
        <v>295</v>
      </c>
      <c r="F15" s="34" t="s">
        <v>77</v>
      </c>
      <c r="G15" s="35" t="s">
        <v>74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Z15" s="52">
        <v>0</v>
      </c>
      <c r="AA15" s="52">
        <v>0</v>
      </c>
      <c r="AB15" s="52">
        <v>0</v>
      </c>
      <c r="AC15" s="52">
        <v>0</v>
      </c>
      <c r="AD15" s="52">
        <v>0</v>
      </c>
      <c r="AE15" s="52">
        <v>0</v>
      </c>
      <c r="AF15" s="52">
        <v>0</v>
      </c>
      <c r="AG15" s="52">
        <v>0</v>
      </c>
      <c r="AH15" s="52">
        <v>0</v>
      </c>
      <c r="AI15" s="52">
        <v>0</v>
      </c>
      <c r="AJ15" s="52">
        <v>0</v>
      </c>
      <c r="AK15" s="52">
        <v>0</v>
      </c>
      <c r="AL15" s="52">
        <v>2.7306824296648487E-2</v>
      </c>
      <c r="AM15" s="52">
        <v>8.7502039242439975E-2</v>
      </c>
      <c r="AN15" s="52">
        <v>0.23154435330544842</v>
      </c>
      <c r="AO15" s="52">
        <v>0.30018197188749268</v>
      </c>
      <c r="AP15" s="52">
        <v>0.35408040168237098</v>
      </c>
      <c r="AQ15" s="52">
        <v>0.35890243463876004</v>
      </c>
      <c r="AR15" s="52">
        <v>0.39121212546882239</v>
      </c>
      <c r="AS15" s="52">
        <v>0.35985271144833741</v>
      </c>
      <c r="AT15" s="52">
        <v>0.33327676904802306</v>
      </c>
      <c r="AU15" s="52">
        <v>0.3157037590773174</v>
      </c>
      <c r="AV15" s="52">
        <v>0.2957125009967837</v>
      </c>
      <c r="AW15" s="52">
        <v>0.34156594850236466</v>
      </c>
      <c r="AX15" s="52">
        <v>0</v>
      </c>
      <c r="AY15" s="52">
        <v>0</v>
      </c>
      <c r="AZ15" s="52">
        <v>0</v>
      </c>
      <c r="BA15" s="52">
        <v>0</v>
      </c>
      <c r="BB15" s="52">
        <v>0</v>
      </c>
      <c r="BC15" s="52">
        <v>0</v>
      </c>
      <c r="BD15" s="52">
        <v>0</v>
      </c>
      <c r="BE15" s="52">
        <v>0</v>
      </c>
      <c r="BF15" s="52">
        <v>0</v>
      </c>
      <c r="BG15" s="52">
        <v>0</v>
      </c>
      <c r="BH15"/>
    </row>
    <row r="16" spans="1:60" ht="15.6">
      <c r="A16" s="50" t="str">
        <f t="shared" si="2"/>
        <v>677536463POS Sales $</v>
      </c>
      <c r="B16" s="62">
        <v>2</v>
      </c>
      <c r="C16" s="62" t="s">
        <v>304</v>
      </c>
      <c r="D16" s="62">
        <v>677536463</v>
      </c>
      <c r="E16" s="62" t="s">
        <v>303</v>
      </c>
      <c r="F16" s="45" t="s">
        <v>66</v>
      </c>
      <c r="G16" s="36" t="s">
        <v>170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38.96</v>
      </c>
      <c r="AL16" s="37">
        <v>515.52</v>
      </c>
      <c r="AM16" s="37">
        <v>4181.8</v>
      </c>
      <c r="AN16" s="37">
        <v>8581.23</v>
      </c>
      <c r="AO16" s="37">
        <v>9183.64</v>
      </c>
      <c r="AP16" s="37">
        <v>10902.46</v>
      </c>
      <c r="AQ16" s="37">
        <v>10968.39</v>
      </c>
      <c r="AR16" s="37">
        <v>10175.64</v>
      </c>
      <c r="AS16" s="37">
        <v>10822.96</v>
      </c>
      <c r="AT16" s="37">
        <v>9362.26</v>
      </c>
      <c r="AU16" s="37">
        <v>10406.82</v>
      </c>
      <c r="AV16" s="37">
        <v>10521.25</v>
      </c>
      <c r="AW16" s="37">
        <v>8043.7</v>
      </c>
      <c r="AX16" s="37">
        <v>0</v>
      </c>
      <c r="AY16" s="37">
        <v>0</v>
      </c>
      <c r="AZ16" s="37">
        <v>0</v>
      </c>
      <c r="BA16" s="37">
        <v>0</v>
      </c>
      <c r="BB16" s="37">
        <v>0</v>
      </c>
      <c r="BC16" s="37">
        <v>0</v>
      </c>
      <c r="BD16" s="37">
        <v>0</v>
      </c>
      <c r="BE16" s="37">
        <v>0</v>
      </c>
      <c r="BF16" s="37">
        <v>0</v>
      </c>
      <c r="BG16" s="37">
        <v>0</v>
      </c>
      <c r="BH16"/>
    </row>
    <row r="17" spans="1:60" ht="15.6">
      <c r="A17" s="50" t="str">
        <f t="shared" si="2"/>
        <v>677536463POS Qty</v>
      </c>
      <c r="B17" s="60">
        <v>2</v>
      </c>
      <c r="C17" s="60" t="s">
        <v>304</v>
      </c>
      <c r="D17" s="60">
        <v>677536463</v>
      </c>
      <c r="E17" s="60" t="s">
        <v>303</v>
      </c>
      <c r="F17" s="46" t="s">
        <v>67</v>
      </c>
      <c r="G17" s="38" t="s">
        <v>62</v>
      </c>
      <c r="H17" s="49">
        <v>0</v>
      </c>
      <c r="I17" s="49">
        <v>0</v>
      </c>
      <c r="J17" s="49">
        <v>0</v>
      </c>
      <c r="K17" s="49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49">
        <v>0</v>
      </c>
      <c r="AB17" s="49">
        <v>0</v>
      </c>
      <c r="AC17" s="49">
        <v>0</v>
      </c>
      <c r="AD17" s="49">
        <v>0</v>
      </c>
      <c r="AE17" s="49">
        <v>0</v>
      </c>
      <c r="AF17" s="49">
        <v>0</v>
      </c>
      <c r="AG17" s="49">
        <v>0</v>
      </c>
      <c r="AH17" s="49">
        <v>0</v>
      </c>
      <c r="AI17" s="49">
        <v>0</v>
      </c>
      <c r="AJ17" s="49">
        <v>0</v>
      </c>
      <c r="AK17" s="49">
        <v>1</v>
      </c>
      <c r="AL17" s="49">
        <v>14</v>
      </c>
      <c r="AM17" s="49">
        <v>108</v>
      </c>
      <c r="AN17" s="49">
        <v>223</v>
      </c>
      <c r="AO17" s="49">
        <v>236</v>
      </c>
      <c r="AP17" s="49">
        <v>281</v>
      </c>
      <c r="AQ17" s="49">
        <v>283</v>
      </c>
      <c r="AR17" s="49">
        <v>263</v>
      </c>
      <c r="AS17" s="49">
        <v>281</v>
      </c>
      <c r="AT17" s="49">
        <v>242</v>
      </c>
      <c r="AU17" s="49">
        <v>268</v>
      </c>
      <c r="AV17" s="49">
        <v>271</v>
      </c>
      <c r="AW17" s="49">
        <v>206</v>
      </c>
      <c r="AX17" s="49">
        <v>0</v>
      </c>
      <c r="AY17" s="49">
        <v>0</v>
      </c>
      <c r="AZ17" s="49">
        <v>0</v>
      </c>
      <c r="BA17" s="49">
        <v>0</v>
      </c>
      <c r="BB17" s="49">
        <v>0</v>
      </c>
      <c r="BC17" s="49">
        <v>0</v>
      </c>
      <c r="BD17" s="49">
        <v>0</v>
      </c>
      <c r="BE17" s="49">
        <v>0</v>
      </c>
      <c r="BF17" s="49">
        <v>0</v>
      </c>
      <c r="BG17" s="49">
        <v>0</v>
      </c>
      <c r="BH17"/>
    </row>
    <row r="18" spans="1:60" ht="15.6">
      <c r="A18" s="50" t="str">
        <f t="shared" si="2"/>
        <v>677536463POS Qty if Instock</v>
      </c>
      <c r="B18" s="60">
        <v>2</v>
      </c>
      <c r="C18" s="60" t="s">
        <v>304</v>
      </c>
      <c r="D18" s="60">
        <v>677536463</v>
      </c>
      <c r="E18" s="60" t="s">
        <v>303</v>
      </c>
      <c r="F18" s="46" t="s">
        <v>75</v>
      </c>
      <c r="G18" s="31" t="s">
        <v>72</v>
      </c>
      <c r="H18" s="39">
        <v>0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39">
        <v>0</v>
      </c>
      <c r="T18" s="39">
        <v>0</v>
      </c>
      <c r="U18" s="39">
        <v>0</v>
      </c>
      <c r="V18" s="39">
        <v>0</v>
      </c>
      <c r="W18" s="39">
        <v>0</v>
      </c>
      <c r="X18" s="39">
        <v>0</v>
      </c>
      <c r="Y18" s="39">
        <v>0</v>
      </c>
      <c r="Z18" s="39">
        <v>0</v>
      </c>
      <c r="AA18" s="39">
        <v>0</v>
      </c>
      <c r="AB18" s="39">
        <v>0</v>
      </c>
      <c r="AC18" s="39">
        <v>0</v>
      </c>
      <c r="AD18" s="39">
        <v>0</v>
      </c>
      <c r="AE18" s="39">
        <v>0</v>
      </c>
      <c r="AF18" s="39">
        <v>0</v>
      </c>
      <c r="AG18" s="39">
        <v>0</v>
      </c>
      <c r="AH18" s="39">
        <v>0</v>
      </c>
      <c r="AI18" s="39">
        <v>0</v>
      </c>
      <c r="AJ18" s="39">
        <v>0</v>
      </c>
      <c r="AK18" s="39">
        <v>2</v>
      </c>
      <c r="AL18" s="39">
        <v>28</v>
      </c>
      <c r="AM18" s="39">
        <v>216</v>
      </c>
      <c r="AN18" s="39">
        <v>231.51859999999999</v>
      </c>
      <c r="AO18" s="39">
        <v>242.2304</v>
      </c>
      <c r="AP18" s="39">
        <v>284.51249999999999</v>
      </c>
      <c r="AQ18" s="39">
        <v>285.94319999999999</v>
      </c>
      <c r="AR18" s="39">
        <v>269.62759999999997</v>
      </c>
      <c r="AS18" s="39">
        <v>285.21500000000003</v>
      </c>
      <c r="AT18" s="39">
        <v>244.4684</v>
      </c>
      <c r="AU18" s="39">
        <v>270.3852</v>
      </c>
      <c r="AV18" s="39">
        <v>273.5745</v>
      </c>
      <c r="AW18" s="39">
        <v>209.0694</v>
      </c>
      <c r="AX18" s="39">
        <v>0</v>
      </c>
      <c r="AY18" s="39">
        <v>0</v>
      </c>
      <c r="AZ18" s="39">
        <v>0</v>
      </c>
      <c r="BA18" s="39">
        <v>0</v>
      </c>
      <c r="BB18" s="39">
        <v>0</v>
      </c>
      <c r="BC18" s="39">
        <v>0</v>
      </c>
      <c r="BD18" s="39">
        <v>0</v>
      </c>
      <c r="BE18" s="39">
        <v>0</v>
      </c>
      <c r="BF18" s="39">
        <v>0</v>
      </c>
      <c r="BG18" s="39">
        <v>0</v>
      </c>
      <c r="BH18"/>
    </row>
    <row r="19" spans="1:60" ht="15.6">
      <c r="A19" s="50" t="str">
        <f t="shared" si="2"/>
        <v>677536463Units per Store per Week (w/zeros)</v>
      </c>
      <c r="B19" s="60">
        <v>2</v>
      </c>
      <c r="C19" s="60" t="s">
        <v>304</v>
      </c>
      <c r="D19" s="60">
        <v>677536463</v>
      </c>
      <c r="E19" s="60" t="s">
        <v>303</v>
      </c>
      <c r="F19" s="46" t="s">
        <v>68</v>
      </c>
      <c r="G19" s="40" t="s">
        <v>63</v>
      </c>
      <c r="H19" s="63">
        <v>0</v>
      </c>
      <c r="I19" s="63">
        <v>0</v>
      </c>
      <c r="J19" s="63">
        <v>0</v>
      </c>
      <c r="K19" s="63">
        <v>0</v>
      </c>
      <c r="L19" s="63">
        <v>0</v>
      </c>
      <c r="M19" s="63">
        <v>0</v>
      </c>
      <c r="N19" s="63">
        <v>0</v>
      </c>
      <c r="O19" s="63">
        <v>0</v>
      </c>
      <c r="P19" s="63">
        <v>0</v>
      </c>
      <c r="Q19" s="63">
        <v>0</v>
      </c>
      <c r="R19" s="63">
        <v>0</v>
      </c>
      <c r="S19" s="63">
        <v>0</v>
      </c>
      <c r="T19" s="63">
        <v>0</v>
      </c>
      <c r="U19" s="63">
        <v>0</v>
      </c>
      <c r="V19" s="63">
        <v>0</v>
      </c>
      <c r="W19" s="63">
        <v>0</v>
      </c>
      <c r="X19" s="63">
        <v>0</v>
      </c>
      <c r="Y19" s="63">
        <v>0</v>
      </c>
      <c r="Z19" s="63">
        <v>0</v>
      </c>
      <c r="AA19" s="63">
        <v>0</v>
      </c>
      <c r="AB19" s="63">
        <v>0</v>
      </c>
      <c r="AC19" s="63">
        <v>0</v>
      </c>
      <c r="AD19" s="63">
        <v>0</v>
      </c>
      <c r="AE19" s="63">
        <v>0</v>
      </c>
      <c r="AF19" s="63">
        <v>0</v>
      </c>
      <c r="AG19" s="63">
        <v>0</v>
      </c>
      <c r="AH19" s="63">
        <v>0</v>
      </c>
      <c r="AI19" s="63">
        <v>0</v>
      </c>
      <c r="AJ19" s="63">
        <v>0</v>
      </c>
      <c r="AK19" s="63">
        <v>0</v>
      </c>
      <c r="AL19" s="63">
        <v>9.7222222222222224E-3</v>
      </c>
      <c r="AM19" s="63">
        <v>7.4947952810548224E-2</v>
      </c>
      <c r="AN19" s="63">
        <v>0.15475364330326163</v>
      </c>
      <c r="AO19" s="63">
        <v>0.1636615811373093</v>
      </c>
      <c r="AP19" s="63">
        <v>0.19473319473319473</v>
      </c>
      <c r="AQ19" s="63">
        <v>0.1919945725915875</v>
      </c>
      <c r="AR19" s="63">
        <v>0.1783050847457627</v>
      </c>
      <c r="AS19" s="63">
        <v>0.19050847457627118</v>
      </c>
      <c r="AT19" s="63">
        <v>0.16417910447761194</v>
      </c>
      <c r="AU19" s="63">
        <v>0.18194161575016973</v>
      </c>
      <c r="AV19" s="63">
        <v>0.18385345997286295</v>
      </c>
      <c r="AW19" s="63">
        <v>0.13985064494229463</v>
      </c>
      <c r="AX19" s="63">
        <v>0</v>
      </c>
      <c r="AY19" s="63">
        <v>0</v>
      </c>
      <c r="AZ19" s="63">
        <v>0</v>
      </c>
      <c r="BA19" s="63">
        <v>0</v>
      </c>
      <c r="BB19" s="63">
        <v>0</v>
      </c>
      <c r="BC19" s="63">
        <v>0</v>
      </c>
      <c r="BD19" s="63">
        <v>0</v>
      </c>
      <c r="BE19" s="63">
        <v>0</v>
      </c>
      <c r="BF19" s="63">
        <v>0</v>
      </c>
      <c r="BG19" s="63">
        <v>0</v>
      </c>
      <c r="BH19"/>
    </row>
    <row r="20" spans="1:60" ht="15.6">
      <c r="A20" s="50" t="str">
        <f t="shared" si="2"/>
        <v>677536463Avg Price</v>
      </c>
      <c r="B20" s="60">
        <v>2</v>
      </c>
      <c r="C20" s="60" t="s">
        <v>304</v>
      </c>
      <c r="D20" s="60">
        <v>677536463</v>
      </c>
      <c r="E20" s="60" t="s">
        <v>303</v>
      </c>
      <c r="F20" s="46" t="s">
        <v>69</v>
      </c>
      <c r="G20" s="40" t="s">
        <v>49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38.96</v>
      </c>
      <c r="AL20" s="47">
        <v>36.822857142857139</v>
      </c>
      <c r="AM20" s="47">
        <v>38.720370370370375</v>
      </c>
      <c r="AN20" s="47">
        <v>38.480852017937217</v>
      </c>
      <c r="AO20" s="47">
        <v>38.913728813559317</v>
      </c>
      <c r="AP20" s="47">
        <v>38.798790035587189</v>
      </c>
      <c r="AQ20" s="47">
        <v>38.757561837455832</v>
      </c>
      <c r="AR20" s="47">
        <v>38.6906463878327</v>
      </c>
      <c r="AS20" s="47">
        <v>38.515871886120991</v>
      </c>
      <c r="AT20" s="47">
        <v>38.687024793388431</v>
      </c>
      <c r="AU20" s="47">
        <v>38.831417910447762</v>
      </c>
      <c r="AV20" s="47">
        <v>38.823800738007378</v>
      </c>
      <c r="AW20" s="47">
        <v>39.047087378640775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/>
    </row>
    <row r="21" spans="1:60" ht="15.6">
      <c r="A21" s="50" t="str">
        <f t="shared" si="2"/>
        <v>677536463Traited Stores</v>
      </c>
      <c r="B21" s="60">
        <v>2</v>
      </c>
      <c r="C21" s="60" t="s">
        <v>304</v>
      </c>
      <c r="D21" s="60">
        <v>677536463</v>
      </c>
      <c r="E21" s="60" t="s">
        <v>303</v>
      </c>
      <c r="F21" s="46" t="s">
        <v>70</v>
      </c>
      <c r="G21" s="40" t="s">
        <v>208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1440</v>
      </c>
      <c r="AM21" s="24">
        <v>1441</v>
      </c>
      <c r="AN21" s="24">
        <v>1441</v>
      </c>
      <c r="AO21" s="24">
        <v>1442</v>
      </c>
      <c r="AP21" s="24">
        <v>1443</v>
      </c>
      <c r="AQ21" s="24">
        <v>1474</v>
      </c>
      <c r="AR21" s="24">
        <v>1475</v>
      </c>
      <c r="AS21" s="24">
        <v>1475</v>
      </c>
      <c r="AT21" s="24">
        <v>1474</v>
      </c>
      <c r="AU21" s="24">
        <v>1473</v>
      </c>
      <c r="AV21" s="24">
        <v>1474</v>
      </c>
      <c r="AW21" s="24">
        <v>1473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/>
    </row>
    <row r="22" spans="1:60" ht="15.6">
      <c r="A22" s="50" t="str">
        <f t="shared" si="2"/>
        <v>677536463Instock</v>
      </c>
      <c r="B22" s="60">
        <v>2</v>
      </c>
      <c r="C22" s="60" t="s">
        <v>304</v>
      </c>
      <c r="D22" s="60">
        <v>677536463</v>
      </c>
      <c r="E22" s="60" t="s">
        <v>303</v>
      </c>
      <c r="F22" s="46" t="s">
        <v>79</v>
      </c>
      <c r="G22" s="40" t="s">
        <v>171</v>
      </c>
      <c r="H22" s="48">
        <v>0</v>
      </c>
      <c r="I22" s="48">
        <v>0</v>
      </c>
      <c r="J22" s="48">
        <v>0</v>
      </c>
      <c r="K22" s="48">
        <v>0</v>
      </c>
      <c r="L22" s="48">
        <v>0</v>
      </c>
      <c r="M22" s="48">
        <v>0</v>
      </c>
      <c r="N22" s="48">
        <v>0</v>
      </c>
      <c r="O22" s="48">
        <v>0</v>
      </c>
      <c r="P22" s="48">
        <v>0</v>
      </c>
      <c r="Q22" s="48">
        <v>0</v>
      </c>
      <c r="R22" s="48">
        <v>0</v>
      </c>
      <c r="S22" s="48">
        <v>0</v>
      </c>
      <c r="T22" s="48">
        <v>0</v>
      </c>
      <c r="U22" s="48">
        <v>0</v>
      </c>
      <c r="V22" s="48">
        <v>0</v>
      </c>
      <c r="W22" s="48">
        <v>0</v>
      </c>
      <c r="X22" s="48">
        <v>0</v>
      </c>
      <c r="Y22" s="48">
        <v>0</v>
      </c>
      <c r="Z22" s="48">
        <v>0</v>
      </c>
      <c r="AA22" s="48">
        <v>0</v>
      </c>
      <c r="AB22" s="48">
        <v>0</v>
      </c>
      <c r="AC22" s="48">
        <v>0</v>
      </c>
      <c r="AD22" s="48">
        <v>0</v>
      </c>
      <c r="AE22" s="48">
        <v>0</v>
      </c>
      <c r="AF22" s="48">
        <v>0</v>
      </c>
      <c r="AG22" s="48">
        <v>0</v>
      </c>
      <c r="AH22" s="48">
        <v>0</v>
      </c>
      <c r="AI22" s="48">
        <v>0</v>
      </c>
      <c r="AJ22" s="48">
        <v>0</v>
      </c>
      <c r="AK22" s="48">
        <v>0</v>
      </c>
      <c r="AL22" s="48">
        <v>0</v>
      </c>
      <c r="AM22" s="48">
        <v>0</v>
      </c>
      <c r="AN22" s="48">
        <v>0.96179999999999999</v>
      </c>
      <c r="AO22" s="48">
        <v>0.97360000000000002</v>
      </c>
      <c r="AP22" s="48">
        <v>0.98750000000000004</v>
      </c>
      <c r="AQ22" s="48">
        <v>0.98960000000000004</v>
      </c>
      <c r="AR22" s="48">
        <v>0.9748</v>
      </c>
      <c r="AS22" s="48">
        <v>0.98499999999999999</v>
      </c>
      <c r="AT22" s="48">
        <v>0.98980000000000001</v>
      </c>
      <c r="AU22" s="48">
        <v>0.99109999999999998</v>
      </c>
      <c r="AV22" s="48">
        <v>0.99050000000000005</v>
      </c>
      <c r="AW22" s="48">
        <v>0.98509999999999998</v>
      </c>
      <c r="AX22" s="48">
        <v>0</v>
      </c>
      <c r="AY22" s="48">
        <v>0</v>
      </c>
      <c r="AZ22" s="48">
        <v>0</v>
      </c>
      <c r="BA22" s="48">
        <v>0</v>
      </c>
      <c r="BB22" s="48">
        <v>0</v>
      </c>
      <c r="BC22" s="48">
        <v>0</v>
      </c>
      <c r="BD22" s="48">
        <v>0</v>
      </c>
      <c r="BE22" s="48">
        <v>0</v>
      </c>
      <c r="BF22" s="48">
        <v>0</v>
      </c>
      <c r="BG22" s="48">
        <v>0</v>
      </c>
      <c r="BH22"/>
    </row>
    <row r="23" spans="1:60" ht="15.6">
      <c r="A23" s="50" t="str">
        <f t="shared" si="2"/>
        <v>677536463Forecast</v>
      </c>
      <c r="B23" s="60">
        <v>2</v>
      </c>
      <c r="C23" s="60" t="s">
        <v>304</v>
      </c>
      <c r="D23" s="60">
        <v>677536463</v>
      </c>
      <c r="E23" s="60" t="s">
        <v>303</v>
      </c>
      <c r="F23" s="46" t="s">
        <v>76</v>
      </c>
      <c r="G23" s="32" t="s">
        <v>73</v>
      </c>
      <c r="H23" s="33">
        <v>1071.8399999999999</v>
      </c>
      <c r="I23" s="33">
        <v>1158.21</v>
      </c>
      <c r="J23" s="33">
        <v>1462.58</v>
      </c>
      <c r="K23" s="33">
        <v>1863.85</v>
      </c>
      <c r="L23" s="33">
        <v>1753.79</v>
      </c>
      <c r="M23" s="33">
        <v>1625.82</v>
      </c>
      <c r="N23" s="33">
        <v>1635.4499999999998</v>
      </c>
      <c r="O23" s="33">
        <v>1644.69</v>
      </c>
      <c r="P23" s="33">
        <v>1585.7600000000002</v>
      </c>
      <c r="Q23" s="33">
        <v>1509.54</v>
      </c>
      <c r="R23" s="33">
        <v>1499.35</v>
      </c>
      <c r="S23" s="33">
        <v>1398.4099999999999</v>
      </c>
      <c r="T23" s="33">
        <v>1411.07</v>
      </c>
      <c r="U23" s="33">
        <v>1267.76</v>
      </c>
      <c r="V23" s="33">
        <v>1234.27</v>
      </c>
      <c r="W23" s="33">
        <v>1166.51</v>
      </c>
      <c r="X23" s="33">
        <v>1084.74</v>
      </c>
      <c r="Y23" s="33">
        <v>1178.1300000000001</v>
      </c>
      <c r="Z23" s="33">
        <v>1205.8699999999999</v>
      </c>
      <c r="AA23" s="33">
        <v>1247.79</v>
      </c>
      <c r="AB23" s="33">
        <v>1247.79</v>
      </c>
      <c r="AC23" s="33">
        <v>1212.74</v>
      </c>
      <c r="AD23" s="33">
        <v>1213.9000000000001</v>
      </c>
      <c r="AE23" s="33">
        <v>1201.97</v>
      </c>
      <c r="AF23" s="33">
        <v>1236.6399999999999</v>
      </c>
      <c r="AG23" s="33">
        <v>1338.51</v>
      </c>
      <c r="AH23" s="33">
        <v>1351.23</v>
      </c>
      <c r="AI23" s="33">
        <v>1481.69</v>
      </c>
      <c r="AJ23" s="33">
        <v>1338.06</v>
      </c>
      <c r="AK23" s="33">
        <v>1304.04</v>
      </c>
      <c r="AL23" s="33">
        <v>1215.17</v>
      </c>
      <c r="AM23" s="33">
        <v>1325.2399999999998</v>
      </c>
      <c r="AN23" s="33">
        <v>1459.0900000000001</v>
      </c>
      <c r="AO23" s="33">
        <v>1541.03</v>
      </c>
      <c r="AP23" s="33">
        <v>1679.1399999999999</v>
      </c>
      <c r="AQ23" s="33">
        <v>1516.94</v>
      </c>
      <c r="AR23" s="33">
        <v>1494</v>
      </c>
      <c r="AS23" s="33">
        <v>1457.7800000000002</v>
      </c>
      <c r="AT23" s="33">
        <v>1573.19</v>
      </c>
      <c r="AU23" s="33">
        <v>1546.06</v>
      </c>
      <c r="AV23" s="33">
        <v>1516.1</v>
      </c>
      <c r="AW23" s="33">
        <v>1459.3000000000002</v>
      </c>
      <c r="AX23" s="33">
        <v>1259.8899999999999</v>
      </c>
      <c r="AY23" s="33">
        <v>1640.42</v>
      </c>
      <c r="AZ23" s="33">
        <v>1860.19</v>
      </c>
      <c r="BA23" s="33">
        <v>2460.33</v>
      </c>
      <c r="BB23" s="33">
        <v>2534.4499999999998</v>
      </c>
      <c r="BC23" s="33">
        <v>1546.37</v>
      </c>
      <c r="BD23" s="33">
        <v>1373.72</v>
      </c>
      <c r="BE23" s="33">
        <v>1274.33</v>
      </c>
      <c r="BF23" s="33">
        <v>1062.06</v>
      </c>
      <c r="BG23" s="33">
        <v>1113.8</v>
      </c>
      <c r="BH23"/>
    </row>
    <row r="24" spans="1:60" ht="15.6">
      <c r="A24" s="50" t="str">
        <f t="shared" si="2"/>
        <v>677536463Variance</v>
      </c>
      <c r="B24" s="61">
        <v>2</v>
      </c>
      <c r="C24" s="61" t="s">
        <v>304</v>
      </c>
      <c r="D24" s="61">
        <v>677536463</v>
      </c>
      <c r="E24" s="61" t="s">
        <v>303</v>
      </c>
      <c r="F24" s="34" t="s">
        <v>77</v>
      </c>
      <c r="G24" s="35" t="s">
        <v>74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2">
        <v>0</v>
      </c>
      <c r="R24" s="52">
        <v>0</v>
      </c>
      <c r="S24" s="52">
        <v>0</v>
      </c>
      <c r="T24" s="52">
        <v>0</v>
      </c>
      <c r="U24" s="52">
        <v>0</v>
      </c>
      <c r="V24" s="52">
        <v>0</v>
      </c>
      <c r="W24" s="52">
        <v>0</v>
      </c>
      <c r="X24" s="52">
        <v>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2">
        <v>0</v>
      </c>
      <c r="AG24" s="52">
        <v>0</v>
      </c>
      <c r="AH24" s="52">
        <v>0</v>
      </c>
      <c r="AI24" s="52">
        <v>0</v>
      </c>
      <c r="AJ24" s="52">
        <v>0</v>
      </c>
      <c r="AK24" s="52">
        <v>7.6684764271034629E-4</v>
      </c>
      <c r="AL24" s="52">
        <v>1.1521021750043204E-2</v>
      </c>
      <c r="AM24" s="52">
        <v>8.1494672663064815E-2</v>
      </c>
      <c r="AN24" s="52">
        <v>0.15283498619002253</v>
      </c>
      <c r="AO24" s="52">
        <v>0.15314432554849677</v>
      </c>
      <c r="AP24" s="52">
        <v>0.1673475707802804</v>
      </c>
      <c r="AQ24" s="52">
        <v>0.18655978482998667</v>
      </c>
      <c r="AR24" s="52">
        <v>0.17603748326639893</v>
      </c>
      <c r="AS24" s="52">
        <v>0.19275885250174921</v>
      </c>
      <c r="AT24" s="52">
        <v>0.15382757327468391</v>
      </c>
      <c r="AU24" s="52">
        <v>0.17334385470162866</v>
      </c>
      <c r="AV24" s="52">
        <v>0.1787481036870919</v>
      </c>
      <c r="AW24" s="52">
        <v>0.14116357157541284</v>
      </c>
      <c r="AX24" s="52">
        <v>0</v>
      </c>
      <c r="AY24" s="52">
        <v>0</v>
      </c>
      <c r="AZ24" s="52">
        <v>0</v>
      </c>
      <c r="BA24" s="52">
        <v>0</v>
      </c>
      <c r="BB24" s="52">
        <v>0</v>
      </c>
      <c r="BC24" s="52">
        <v>0</v>
      </c>
      <c r="BD24" s="52">
        <v>0</v>
      </c>
      <c r="BE24" s="52">
        <v>0</v>
      </c>
      <c r="BF24" s="52">
        <v>0</v>
      </c>
      <c r="BG24" s="52">
        <v>0</v>
      </c>
      <c r="BH24"/>
    </row>
    <row r="25" spans="1:60" ht="15.6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</row>
    <row r="26" spans="1:60" ht="15.6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</row>
    <row r="27" spans="1:60" ht="15.6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</row>
    <row r="28" spans="1:60" ht="15.6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</row>
    <row r="29" spans="1:60" ht="15.6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</row>
    <row r="30" spans="1:60" ht="15.6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</row>
    <row r="31" spans="1:60" ht="15.6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</row>
    <row r="32" spans="1:60" ht="15.6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</row>
    <row r="33" spans="2:60" ht="15.6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</row>
    <row r="34" spans="2:60" ht="15.6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</row>
    <row r="35" spans="2:60" ht="15.6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</row>
    <row r="36" spans="2:60" ht="15.6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</row>
    <row r="37" spans="2:60" ht="15.6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</row>
    <row r="38" spans="2:60" ht="15.6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</row>
    <row r="39" spans="2:60" ht="15.6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</row>
    <row r="40" spans="2:60" ht="15.6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</row>
    <row r="41" spans="2:60" ht="15.6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</row>
    <row r="42" spans="2:60" ht="15.6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</row>
    <row r="43" spans="2:60" ht="15.6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</row>
    <row r="44" spans="2:60" ht="15.6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</row>
    <row r="45" spans="2:60" ht="15.6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</row>
    <row r="46" spans="2:60" ht="15.6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</row>
    <row r="47" spans="2:60" ht="15.6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</row>
    <row r="48" spans="2:60" ht="15.6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</row>
    <row r="49" spans="2:60" ht="15.6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</row>
    <row r="50" spans="2:60" ht="15.6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</row>
    <row r="51" spans="2:60" ht="15.6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</row>
    <row r="52" spans="2:60" ht="15.6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</row>
    <row r="53" spans="2:60" ht="15.6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</row>
    <row r="54" spans="2:60" ht="15.6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</row>
    <row r="55" spans="2:60" ht="15.6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</row>
    <row r="56" spans="2:60" ht="15.6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</row>
    <row r="57" spans="2:60" ht="15.6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</row>
    <row r="58" spans="2:60" ht="15.6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</row>
    <row r="59" spans="2:60" ht="15.6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</row>
    <row r="60" spans="2:60" ht="15.6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</row>
    <row r="61" spans="2:60" ht="15.6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</row>
    <row r="62" spans="2:60" ht="15.6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</row>
    <row r="63" spans="2:60" ht="15.6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</row>
    <row r="64" spans="2:60" ht="15.6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</row>
    <row r="65" spans="2:60" ht="15.6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</row>
    <row r="66" spans="2:60" ht="15.6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</row>
    <row r="67" spans="2:60" ht="15.6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</row>
    <row r="68" spans="2:60" ht="15.6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</row>
    <row r="69" spans="2:60" ht="15.6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</row>
    <row r="70" spans="2:60" ht="15.6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</row>
    <row r="71" spans="2:60" ht="15.6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</row>
    <row r="72" spans="2:60" ht="15.6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</row>
    <row r="73" spans="2:60" ht="15.6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</row>
    <row r="74" spans="2:60" ht="15.6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</row>
    <row r="75" spans="2:60" ht="15.6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</row>
    <row r="76" spans="2:60" ht="15.6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</row>
    <row r="77" spans="2:60" ht="15.6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</row>
    <row r="78" spans="2:60" ht="15.6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</row>
    <row r="79" spans="2:60" ht="15.6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</row>
    <row r="80" spans="2:60" ht="15.6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</row>
    <row r="81" spans="2:60" ht="15.6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</row>
    <row r="82" spans="2:60" ht="15.6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</row>
    <row r="83" spans="2:60" ht="15.6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</row>
    <row r="84" spans="2:60" ht="15.6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</row>
    <row r="85" spans="2:60" ht="15.6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</row>
    <row r="86" spans="2:60" ht="15.6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</row>
    <row r="87" spans="2:60" ht="15.6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</row>
    <row r="88" spans="2:60" ht="15.6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</row>
    <row r="89" spans="2:60" ht="15.6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</row>
    <row r="90" spans="2:60" ht="15.6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</row>
    <row r="91" spans="2:60" ht="15.6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</row>
    <row r="92" spans="2:60" ht="15.6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</row>
    <row r="93" spans="2:60" ht="15.6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</row>
    <row r="94" spans="2:60" ht="15.6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</row>
    <row r="95" spans="2:60" ht="15.6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</row>
    <row r="96" spans="2:60" ht="15.6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</row>
    <row r="97" spans="2:60" ht="15.6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</row>
    <row r="98" spans="2:60" ht="15.6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</row>
    <row r="99" spans="2:60" ht="15.6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</row>
    <row r="100" spans="2:60" ht="15.6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</row>
    <row r="101" spans="2:60" ht="15.6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</row>
    <row r="102" spans="2:60" ht="15.6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</row>
    <row r="103" spans="2:60" ht="15.6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</row>
    <row r="104" spans="2:60" ht="15.6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</row>
    <row r="105" spans="2:60" ht="15.6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</row>
    <row r="106" spans="2:60" ht="15.6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</row>
    <row r="107" spans="2:60" ht="15.6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</row>
    <row r="108" spans="2:60" ht="15.6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</row>
    <row r="109" spans="2:60" ht="15.6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</row>
    <row r="110" spans="2:60" ht="15.6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</row>
    <row r="111" spans="2:60" ht="15.6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</row>
    <row r="112" spans="2:60" ht="15.6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</row>
    <row r="113" spans="2:60" ht="15.6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</row>
    <row r="114" spans="2:60" ht="15.6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</row>
    <row r="115" spans="2:60" ht="15.6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</row>
    <row r="116" spans="2:60" ht="15.6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</row>
    <row r="117" spans="2:60" ht="15.6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</row>
    <row r="118" spans="2:60" ht="15.6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</row>
    <row r="119" spans="2:60" ht="15.6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</row>
    <row r="120" spans="2:60" ht="15.6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</row>
    <row r="121" spans="2:60" ht="15.6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</row>
    <row r="122" spans="2:60" ht="15.6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</row>
    <row r="123" spans="2:60" ht="15.6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</row>
    <row r="124" spans="2:60" ht="15.6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</row>
    <row r="125" spans="2:60" ht="15.6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</row>
    <row r="126" spans="2:60" ht="15.6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</row>
    <row r="127" spans="2:60" ht="15.6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</row>
    <row r="128" spans="2:60" ht="15.6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</row>
    <row r="129" spans="2:60" ht="15.6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</row>
    <row r="130" spans="2:60" ht="15.6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</row>
    <row r="131" spans="2:60" ht="15.6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</row>
    <row r="132" spans="2:60" ht="15.6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</row>
    <row r="133" spans="2:60" ht="15.6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</row>
    <row r="134" spans="2:60" ht="15.6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</row>
    <row r="135" spans="2:60" ht="15.6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</row>
    <row r="136" spans="2:60" ht="15.6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</row>
    <row r="137" spans="2:60" ht="15.6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</row>
    <row r="138" spans="2:60" ht="15.6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</row>
    <row r="139" spans="2:60" ht="15.6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</row>
    <row r="140" spans="2:60" ht="15.6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</row>
    <row r="141" spans="2:60" ht="15.6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</row>
    <row r="142" spans="2:60" ht="15.6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</row>
    <row r="143" spans="2:60" ht="15.6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</row>
    <row r="144" spans="2:60" ht="15.6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</row>
    <row r="145" spans="2:60" ht="15.6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</row>
    <row r="146" spans="2:60" ht="15.6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</row>
    <row r="147" spans="2:60" ht="15.6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</row>
    <row r="148" spans="2:60" ht="15.6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</row>
    <row r="149" spans="2:60" ht="15.6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</row>
    <row r="150" spans="2:60" ht="15.6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</row>
    <row r="151" spans="2:60" ht="15.6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</row>
    <row r="152" spans="2:60" ht="15.6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</row>
    <row r="153" spans="2:60" ht="15.6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</row>
    <row r="154" spans="2:60" ht="15.6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</row>
    <row r="155" spans="2:60" ht="15.6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</row>
    <row r="156" spans="2:60" ht="15.6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</row>
    <row r="157" spans="2:60" ht="15.6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</row>
    <row r="158" spans="2:60" ht="15.6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</row>
    <row r="159" spans="2:60" ht="15.6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</row>
    <row r="160" spans="2:60" ht="15.6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</row>
    <row r="161" spans="2:60" ht="15.6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</row>
    <row r="162" spans="2:60" ht="15.6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</row>
    <row r="163" spans="2:60" ht="15.6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</row>
    <row r="164" spans="2:60" ht="15.6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</row>
    <row r="165" spans="2:60" ht="15.6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</row>
    <row r="166" spans="2:60" ht="15.6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</row>
    <row r="167" spans="2:60" ht="15.6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</row>
    <row r="168" spans="2:60" ht="15.6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</row>
    <row r="169" spans="2:60" ht="15.6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</row>
    <row r="170" spans="2:60" ht="15.6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</row>
    <row r="171" spans="2:60" ht="15.6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</row>
    <row r="172" spans="2:60" ht="15.6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</row>
    <row r="173" spans="2:60" ht="15.6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</row>
    <row r="174" spans="2:60" ht="15.6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</row>
    <row r="175" spans="2:60" ht="15.6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</row>
    <row r="176" spans="2:60" ht="15.6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</row>
    <row r="177" spans="2:60" ht="15.6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</row>
    <row r="178" spans="2:60" ht="15.6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</row>
    <row r="179" spans="2:60" ht="15.6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</row>
    <row r="180" spans="2:60" ht="15.6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</row>
    <row r="181" spans="2:60" ht="15.6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</row>
    <row r="182" spans="2:60" ht="15.6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</row>
    <row r="183" spans="2:60" ht="15.6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</row>
    <row r="184" spans="2:60" ht="15.6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</row>
    <row r="185" spans="2:60" ht="15.6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</row>
    <row r="186" spans="2:60" ht="15.6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</row>
    <row r="187" spans="2:60" ht="15.6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</row>
    <row r="188" spans="2:60" ht="15.6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</row>
    <row r="189" spans="2:60" ht="15.6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</row>
    <row r="190" spans="2:60" ht="15.6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</row>
    <row r="191" spans="2:60" ht="15.6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</row>
    <row r="192" spans="2:60" ht="15.6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</row>
    <row r="193" spans="2:60" ht="15.6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</row>
    <row r="194" spans="2:60" ht="15.6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</row>
    <row r="195" spans="2:60" ht="15.6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</row>
    <row r="196" spans="2:60" ht="15.6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</row>
    <row r="197" spans="2:60" ht="15.6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</row>
    <row r="198" spans="2:60" ht="15.6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</row>
    <row r="199" spans="2:60" ht="15.6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</row>
    <row r="200" spans="2:60" ht="15.6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</row>
    <row r="201" spans="2:60" ht="15.6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</row>
    <row r="202" spans="2:60" ht="15.6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</row>
    <row r="203" spans="2:60" ht="15.6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</row>
    <row r="204" spans="2:60" ht="15.6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</row>
    <row r="205" spans="2:60" ht="15.6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</row>
    <row r="206" spans="2:60" ht="15.6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</row>
    <row r="207" spans="2:60" ht="15.6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</row>
    <row r="208" spans="2:60" ht="15.6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</row>
    <row r="209" spans="2:60" ht="15.6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</row>
    <row r="210" spans="2:60" ht="15.6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</row>
    <row r="211" spans="2:60" ht="15.6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</row>
    <row r="212" spans="2:60" ht="15.6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</row>
    <row r="213" spans="2:60" ht="15.6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</row>
    <row r="214" spans="2:60" ht="15.6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</row>
    <row r="215" spans="2:60" ht="15.6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</row>
    <row r="216" spans="2:60" ht="15.6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</row>
    <row r="217" spans="2:60" ht="15.6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</row>
    <row r="218" spans="2:60" ht="15.6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</row>
    <row r="219" spans="2:60" ht="15.6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</row>
    <row r="220" spans="2:60" ht="15.6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</row>
    <row r="221" spans="2:60" ht="15.6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</row>
    <row r="222" spans="2:60" ht="15.6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</row>
    <row r="223" spans="2:60" ht="15.6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</row>
    <row r="224" spans="2:60" ht="15.6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</row>
    <row r="225" spans="2:60" ht="15.6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</row>
    <row r="226" spans="2:60" ht="15.6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</row>
    <row r="227" spans="2:60" ht="15.6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</row>
    <row r="228" spans="2:60" ht="15.6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</row>
    <row r="229" spans="2:60" ht="15.6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</row>
    <row r="230" spans="2:60" ht="15.6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</row>
    <row r="231" spans="2:60" ht="15.6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</row>
    <row r="232" spans="2:60" ht="15.6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</row>
    <row r="233" spans="2:60" ht="15.6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</row>
    <row r="234" spans="2:60" ht="15.6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</row>
    <row r="235" spans="2:60" ht="15.6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</row>
    <row r="236" spans="2:60" ht="15.6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</row>
    <row r="237" spans="2:60" ht="15.6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</row>
    <row r="238" spans="2:60" ht="15.6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</row>
    <row r="239" spans="2:60" ht="15.6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</row>
    <row r="240" spans="2:60" ht="15.6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</row>
    <row r="241" spans="2:60" ht="15.6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</row>
    <row r="242" spans="2:60" ht="15.6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</row>
    <row r="243" spans="2:60" ht="15.6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</row>
    <row r="244" spans="2:60" ht="15.6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</row>
    <row r="245" spans="2:60" ht="15.6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</row>
    <row r="246" spans="2:60" ht="15.6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</row>
    <row r="247" spans="2:60" ht="15.6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</row>
    <row r="248" spans="2:60" ht="15.6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</row>
    <row r="249" spans="2:60" ht="15.6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</row>
    <row r="250" spans="2:60" ht="15.6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</row>
    <row r="251" spans="2:60" ht="15.6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</row>
    <row r="252" spans="2:60" ht="15.6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</row>
    <row r="253" spans="2:60" ht="15.6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</row>
    <row r="254" spans="2:60" ht="15.6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</row>
    <row r="255" spans="2:60" ht="15.6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</row>
    <row r="256" spans="2:60" ht="15.6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</row>
    <row r="257" spans="2:60" ht="15.6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</row>
    <row r="258" spans="2:60" ht="15.6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</row>
    <row r="259" spans="2:60" ht="15.6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</row>
    <row r="260" spans="2:60" ht="15.6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</row>
    <row r="261" spans="2:60" ht="15.6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</row>
    <row r="262" spans="2:60" ht="15.6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</row>
    <row r="263" spans="2:60" ht="15.6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</row>
    <row r="264" spans="2:60" ht="15.6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</row>
    <row r="265" spans="2:60" ht="15.6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</row>
    <row r="266" spans="2:60" ht="15.6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</row>
    <row r="267" spans="2:60" ht="15.6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</row>
    <row r="268" spans="2:60" ht="15.6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</row>
    <row r="269" spans="2:60" ht="15.6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</row>
    <row r="270" spans="2:60" ht="15.6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</row>
    <row r="271" spans="2:60" ht="15.6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</row>
    <row r="272" spans="2:60" ht="15.6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</row>
    <row r="273" spans="2:60" ht="15.6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</row>
    <row r="274" spans="2:60" ht="15.6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</row>
    <row r="275" spans="2:60" ht="15.6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</row>
    <row r="276" spans="2:60" ht="15.6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</row>
    <row r="277" spans="2:60" ht="15.6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</row>
    <row r="278" spans="2:60" ht="15.6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</row>
    <row r="279" spans="2:60" ht="15.6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</row>
    <row r="280" spans="2:60" ht="15.6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</row>
    <row r="281" spans="2:60" ht="15.6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</row>
    <row r="282" spans="2:60" ht="15.6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</row>
    <row r="283" spans="2:60" ht="15.6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</row>
    <row r="284" spans="2:60" ht="15.6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</row>
    <row r="285" spans="2:60" ht="15.6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</row>
    <row r="286" spans="2:60" ht="15.6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</row>
    <row r="287" spans="2:60" ht="15.6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</row>
    <row r="288" spans="2:60" ht="15.6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</row>
    <row r="289" spans="2:60" ht="15.6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</row>
    <row r="290" spans="2:60" ht="15.6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</row>
    <row r="291" spans="2:60" ht="15.6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</row>
    <row r="292" spans="2:60" ht="15.6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</row>
    <row r="293" spans="2:60" ht="15.6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</row>
    <row r="294" spans="2:60" ht="15.6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</row>
    <row r="295" spans="2:60" ht="15.6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</row>
    <row r="296" spans="2:60" ht="15.6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</row>
    <row r="297" spans="2:60" ht="15.6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</row>
    <row r="298" spans="2:60" ht="15.6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</row>
    <row r="299" spans="2:60" ht="15.6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</row>
    <row r="300" spans="2:60" ht="15.6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</row>
    <row r="301" spans="2:60" ht="15.6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</row>
    <row r="302" spans="2:60" ht="15.6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</row>
    <row r="303" spans="2:60" ht="15.6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</row>
    <row r="304" spans="2:60" ht="15.6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</row>
    <row r="305" spans="2:60" ht="15.6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</row>
    <row r="306" spans="2:60" ht="15.6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</row>
    <row r="307" spans="2:60" ht="15.6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</row>
    <row r="308" spans="2:60" ht="15.6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</row>
    <row r="309" spans="2:60" ht="15.6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</row>
    <row r="310" spans="2:60" ht="15.6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</row>
    <row r="311" spans="2:60" ht="15.6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</row>
    <row r="312" spans="2:60" ht="15.6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</row>
    <row r="313" spans="2:60" ht="15.6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</row>
    <row r="314" spans="2:60" ht="15.6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</row>
    <row r="315" spans="2:60" ht="15.6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</row>
    <row r="316" spans="2:60" ht="15.6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</row>
    <row r="317" spans="2:60" ht="15.6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</row>
    <row r="318" spans="2:60" ht="15.6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</row>
    <row r="319" spans="2:60" ht="15.6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</row>
    <row r="320" spans="2:60" ht="15.6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</row>
    <row r="321" spans="2:60" ht="15.6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</row>
    <row r="322" spans="2:60" ht="15.6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</row>
    <row r="323" spans="2:60" ht="15.6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</row>
    <row r="324" spans="2:60" ht="15.6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</row>
    <row r="325" spans="2:60" ht="15.6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</row>
    <row r="326" spans="2:60" ht="15.6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</row>
    <row r="327" spans="2:60" ht="15.6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</row>
    <row r="328" spans="2:60" ht="15.6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</row>
    <row r="329" spans="2:60" ht="15.6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</row>
    <row r="330" spans="2:60" ht="15.6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</row>
    <row r="331" spans="2:60" ht="15.6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</row>
    <row r="332" spans="2:60" ht="15.6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</row>
    <row r="333" spans="2:60" ht="15.6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</row>
    <row r="334" spans="2:60" ht="15.6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</row>
    <row r="335" spans="2:60" ht="15.6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</row>
    <row r="336" spans="2:60" ht="15.6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</row>
    <row r="337" spans="2:60" ht="15.6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</row>
    <row r="338" spans="2:60" ht="15.6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</row>
    <row r="339" spans="2:60" ht="15.6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</row>
    <row r="340" spans="2:60" ht="15.6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</row>
    <row r="341" spans="2:60" ht="15.6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</row>
    <row r="342" spans="2:60" ht="15.6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</row>
    <row r="343" spans="2:60" ht="15.6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</row>
    <row r="344" spans="2:60" ht="15.6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</row>
    <row r="345" spans="2:60" ht="15.6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</row>
    <row r="346" spans="2:60" ht="15.6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</row>
    <row r="347" spans="2:60" ht="15.6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</row>
    <row r="348" spans="2:60" ht="15.6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</row>
    <row r="349" spans="2:60" ht="15.6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</row>
    <row r="350" spans="2:60" ht="15.6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</row>
    <row r="351" spans="2:60" ht="15.6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</row>
    <row r="352" spans="2:60" ht="15.6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</row>
    <row r="353" spans="2:60" ht="15.6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</row>
    <row r="354" spans="2:60" ht="15.6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</row>
    <row r="355" spans="2:60" ht="15.6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</row>
    <row r="356" spans="2:60" ht="15.6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</row>
    <row r="357" spans="2:60" ht="15.6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</row>
    <row r="358" spans="2:60" ht="15.6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</row>
    <row r="359" spans="2:60" ht="15.6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</row>
    <row r="360" spans="2:60" ht="15.6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</row>
    <row r="361" spans="2:60" ht="15.6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</row>
    <row r="362" spans="2:60" ht="15.6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</row>
    <row r="363" spans="2:60" ht="15.6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</row>
    <row r="364" spans="2:60" ht="15.6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</row>
    <row r="365" spans="2:60" ht="15.6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</row>
    <row r="366" spans="2:60" ht="15.6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</row>
    <row r="367" spans="2:60" ht="15.6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</row>
    <row r="368" spans="2:60" ht="15.6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</row>
    <row r="369" spans="2:60" ht="15.6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</row>
    <row r="370" spans="2:60" ht="15.6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</row>
    <row r="371" spans="2:60" ht="15.6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</row>
    <row r="372" spans="2:60" ht="15.6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</row>
    <row r="373" spans="2:60" ht="15.6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</row>
    <row r="374" spans="2:60" ht="15.6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</row>
    <row r="375" spans="2:60" ht="15.6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</row>
    <row r="376" spans="2:60" ht="15.6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</row>
    <row r="377" spans="2:60" ht="15.6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</row>
    <row r="378" spans="2:60" ht="15.6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</row>
    <row r="379" spans="2:60" ht="15.6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</row>
    <row r="380" spans="2:60" ht="15.6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</row>
    <row r="381" spans="2:60" ht="15.6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</row>
    <row r="382" spans="2:60" ht="15.6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</row>
    <row r="383" spans="2:60" ht="15.6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</row>
    <row r="384" spans="2:60" ht="15.6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</row>
    <row r="385" spans="2:60" ht="15.6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</row>
    <row r="386" spans="2:60" ht="15.6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</row>
    <row r="387" spans="2:60" ht="15.6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</row>
    <row r="388" spans="2:60" ht="15.6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</row>
    <row r="389" spans="2:60" ht="15.6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</row>
    <row r="390" spans="2:60" ht="15.6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</row>
    <row r="391" spans="2:60" ht="15.6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</row>
    <row r="392" spans="2:60" ht="15.6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</row>
    <row r="393" spans="2:60" ht="15.6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</row>
    <row r="394" spans="2:60" ht="15.6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</row>
    <row r="395" spans="2:60" ht="15.6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</row>
    <row r="396" spans="2:60" ht="15.6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</row>
    <row r="397" spans="2:60" ht="15.6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</row>
    <row r="398" spans="2:60" ht="15.6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</row>
    <row r="399" spans="2:60" ht="15.6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</row>
    <row r="400" spans="2:60" ht="15.6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</row>
    <row r="401" spans="2:60" ht="15.6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</row>
    <row r="402" spans="2:60" ht="15.6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</row>
    <row r="403" spans="2:60" ht="15.6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</row>
    <row r="404" spans="2:60" ht="15.6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</row>
    <row r="405" spans="2:60" ht="15.6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</row>
    <row r="406" spans="2:60" ht="15.6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</row>
    <row r="407" spans="2:60" ht="15.6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</row>
    <row r="408" spans="2:60" ht="15.6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</row>
    <row r="409" spans="2:60" ht="15.6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</row>
    <row r="410" spans="2:60" ht="15.6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</row>
    <row r="411" spans="2:60" ht="15.6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</row>
    <row r="412" spans="2:60" ht="15.6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</row>
    <row r="413" spans="2:60" ht="15.6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</row>
    <row r="414" spans="2:60" ht="15.6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</row>
    <row r="415" spans="2:60" ht="15.6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</row>
    <row r="416" spans="2:60" ht="15.6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</row>
    <row r="417" spans="2:60" ht="15.6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</row>
    <row r="418" spans="2:60" ht="15.6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</row>
    <row r="419" spans="2:60" ht="15.6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</row>
    <row r="420" spans="2:60" ht="15.6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</row>
    <row r="421" spans="2:60" ht="15.6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</row>
    <row r="422" spans="2:60" ht="15.6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</row>
    <row r="423" spans="2:60" ht="15.6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</row>
    <row r="424" spans="2:60" ht="15.6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</row>
    <row r="425" spans="2:60" ht="15.6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</row>
    <row r="426" spans="2:60" ht="15.6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</row>
    <row r="427" spans="2:60" ht="15.6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</row>
    <row r="428" spans="2:60" ht="15.6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</row>
    <row r="429" spans="2:60" ht="15.6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</row>
    <row r="430" spans="2:60" ht="15.6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</row>
    <row r="431" spans="2:60" ht="15.6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</row>
    <row r="432" spans="2:60" ht="15.6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</row>
    <row r="433" spans="2:60" ht="15.6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</row>
    <row r="434" spans="2:60" ht="15.6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</row>
    <row r="435" spans="2:60" ht="15.6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</row>
    <row r="436" spans="2:60" ht="15.6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</row>
    <row r="437" spans="2:60" ht="15.6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</row>
    <row r="438" spans="2:60" ht="15.6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</row>
    <row r="439" spans="2:60" ht="15.6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</row>
    <row r="440" spans="2:60" ht="15.6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</row>
    <row r="441" spans="2:60" ht="15.6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</row>
    <row r="442" spans="2:60" ht="15.6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</row>
    <row r="443" spans="2:60" ht="15.6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</row>
    <row r="444" spans="2:60" ht="15.6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</row>
    <row r="445" spans="2:60" ht="15.6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</row>
    <row r="446" spans="2:60" ht="15.6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</row>
    <row r="447" spans="2:60" ht="15.6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</row>
    <row r="448" spans="2:60" ht="15.6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</row>
    <row r="449" spans="2:60" ht="15.6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</row>
    <row r="450" spans="2:60" ht="15.6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</row>
    <row r="451" spans="2:60" ht="15.6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</row>
    <row r="452" spans="2:60" ht="15.6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</row>
    <row r="453" spans="2:60" ht="15.6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</row>
    <row r="454" spans="2:60" ht="15.6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</row>
    <row r="455" spans="2:60" ht="15.6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</row>
    <row r="456" spans="2:60" ht="15.6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</row>
    <row r="457" spans="2:60" ht="15.6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</row>
    <row r="458" spans="2:60" ht="15.6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</row>
    <row r="459" spans="2:60" ht="15.6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</row>
    <row r="460" spans="2:60" ht="15.6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</row>
    <row r="461" spans="2:60" ht="15.6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</row>
    <row r="462" spans="2:60" ht="15.6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</row>
    <row r="463" spans="2:60" ht="15.6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</row>
    <row r="464" spans="2:60" ht="15.6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</row>
    <row r="465" spans="2:60" ht="15.6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</row>
    <row r="466" spans="2:60" ht="15.6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</row>
    <row r="467" spans="2:60" ht="15.6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</row>
    <row r="468" spans="2:60" ht="15.6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</row>
    <row r="469" spans="2:60" ht="15.6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</row>
    <row r="470" spans="2:60" ht="15.6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</row>
    <row r="471" spans="2:60" ht="15.6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</row>
    <row r="472" spans="2:60" ht="15.6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</row>
    <row r="473" spans="2:60" ht="15.6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</row>
    <row r="474" spans="2:60" ht="15.6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</row>
    <row r="475" spans="2:60" ht="15.6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</row>
    <row r="476" spans="2:60" ht="15.6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</row>
    <row r="477" spans="2:60" ht="15.6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</row>
    <row r="478" spans="2:60" ht="15.6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</row>
    <row r="479" spans="2:60" ht="15.6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</row>
    <row r="480" spans="2:60" ht="15.6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</row>
    <row r="481" spans="2:60" ht="15.6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</row>
    <row r="482" spans="2:60" ht="15.6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</row>
    <row r="483" spans="2:60" ht="15.6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</row>
    <row r="484" spans="2:60" ht="15.6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</row>
    <row r="485" spans="2:60" ht="15.6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</row>
    <row r="486" spans="2:60" ht="15.6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</row>
    <row r="487" spans="2:60" ht="15.6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</row>
    <row r="488" spans="2:60" ht="15.6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</row>
    <row r="489" spans="2:60" ht="15.6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</row>
    <row r="490" spans="2:60" ht="15.6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</row>
    <row r="491" spans="2:60" ht="15.6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</row>
    <row r="492" spans="2:60" ht="15.6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</row>
    <row r="493" spans="2:60" ht="15.6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</row>
    <row r="494" spans="2:60" ht="15.6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</row>
    <row r="495" spans="2:60" ht="15.6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</row>
    <row r="496" spans="2:60" ht="15.6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</row>
    <row r="497" spans="2:60" ht="15.6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</row>
    <row r="498" spans="2:60" ht="15.6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</row>
    <row r="499" spans="2:60" ht="15.6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</row>
    <row r="500" spans="2:60" ht="15.6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</row>
    <row r="501" spans="2:60" ht="15.6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</row>
    <row r="502" spans="2:60" ht="15.6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</row>
    <row r="503" spans="2:60" ht="15.6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</row>
    <row r="504" spans="2:60" ht="15.6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</row>
    <row r="505" spans="2:60" ht="15.6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</row>
    <row r="506" spans="2:60" ht="15.6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</row>
    <row r="507" spans="2:60" ht="15.6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</row>
    <row r="508" spans="2:60" ht="15.6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</row>
    <row r="509" spans="2:60" ht="15.6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</row>
    <row r="510" spans="2:60" ht="15.6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</row>
    <row r="511" spans="2:60" ht="15.6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</row>
    <row r="512" spans="2:60" ht="15.6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</row>
    <row r="513" spans="2:60" ht="15.6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</row>
    <row r="514" spans="2:60" ht="15.6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</row>
    <row r="515" spans="2:60" ht="15.6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</row>
    <row r="516" spans="2:60" ht="15.6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</row>
    <row r="517" spans="2:60" ht="15.6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</row>
    <row r="518" spans="2:60" ht="15.6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</row>
    <row r="519" spans="2:60" ht="15.6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</row>
    <row r="520" spans="2:60" ht="15.6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</row>
    <row r="521" spans="2:60" ht="15.6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</row>
    <row r="522" spans="2:60" ht="15.6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</row>
    <row r="523" spans="2:60" ht="15.6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</row>
    <row r="524" spans="2:60" ht="15.6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</row>
    <row r="525" spans="2:60" ht="15.6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</row>
    <row r="526" spans="2:60" ht="15.6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</row>
    <row r="527" spans="2:60" ht="15.6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</row>
    <row r="528" spans="2:60" ht="15.6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</row>
    <row r="529" spans="2:60" ht="15.6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</row>
    <row r="530" spans="2:60" ht="15.6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</row>
    <row r="531" spans="2:60" ht="15.6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</row>
    <row r="532" spans="2:60" ht="15.6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</row>
    <row r="533" spans="2:60" ht="15.6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</row>
    <row r="534" spans="2:60" ht="15.6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</row>
    <row r="535" spans="2:60" ht="15.6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</row>
    <row r="536" spans="2:60" ht="15.6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</row>
    <row r="537" spans="2:60" ht="15.6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</row>
    <row r="538" spans="2:60" ht="15.6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</row>
    <row r="539" spans="2:60" ht="15.6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</row>
    <row r="540" spans="2:60" ht="15.6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</row>
    <row r="541" spans="2:60" ht="15.6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</row>
    <row r="542" spans="2:60" ht="15.6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</row>
    <row r="543" spans="2:60" ht="15.6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</row>
    <row r="544" spans="2:60" ht="15.6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</row>
    <row r="545" spans="2:60" ht="15.6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</row>
    <row r="546" spans="2:60" ht="15.6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</row>
    <row r="547" spans="2:60" ht="15.6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</row>
    <row r="548" spans="2:60" ht="15.6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</row>
    <row r="549" spans="2:60" ht="15.6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</row>
    <row r="550" spans="2:60" ht="15.6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</row>
    <row r="551" spans="2:60" ht="15.6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</row>
    <row r="552" spans="2:60" ht="15.6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</row>
    <row r="553" spans="2:60" ht="15.6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</row>
    <row r="554" spans="2:60" ht="15.6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</row>
    <row r="555" spans="2:60" ht="15.6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</row>
    <row r="556" spans="2:60" ht="15.6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</row>
    <row r="557" spans="2:60" ht="15.6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</row>
    <row r="558" spans="2:60" ht="15.6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</row>
    <row r="559" spans="2:60" ht="15.6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</row>
    <row r="560" spans="2:60" ht="15.6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</row>
    <row r="561" spans="2:60" ht="15.6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</row>
    <row r="562" spans="2:60" ht="15.6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</row>
    <row r="563" spans="2:60" ht="15.6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</row>
    <row r="564" spans="2:60" ht="15.6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</row>
    <row r="565" spans="2:60" ht="15.6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</row>
    <row r="566" spans="2:60" ht="15.6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</row>
    <row r="567" spans="2:60" ht="15.6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</row>
    <row r="568" spans="2:60" ht="15.6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</row>
    <row r="569" spans="2:60" ht="15.6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</row>
    <row r="570" spans="2:60" ht="15.6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</row>
    <row r="571" spans="2:60" ht="15.6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</row>
    <row r="572" spans="2:60" ht="15.6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</row>
    <row r="573" spans="2:60" ht="15.6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</row>
    <row r="574" spans="2:60" ht="15.6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</row>
    <row r="575" spans="2:60" ht="15.6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</row>
    <row r="576" spans="2:60" ht="15.6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</row>
    <row r="577" spans="2:60" ht="15.6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</row>
    <row r="578" spans="2:60" ht="15.6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</row>
    <row r="579" spans="2:60" ht="15.6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</row>
    <row r="580" spans="2:60" ht="15.6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</row>
    <row r="581" spans="2:60" ht="15.6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</row>
    <row r="582" spans="2:60" ht="15.6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</row>
    <row r="583" spans="2:60" ht="15.6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</row>
    <row r="584" spans="2:60" ht="15.6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</row>
    <row r="585" spans="2:60" ht="15.6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</row>
    <row r="586" spans="2:60" ht="15.6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</row>
    <row r="587" spans="2:60" ht="15.6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</row>
    <row r="588" spans="2:60" ht="15.6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</row>
    <row r="589" spans="2:60" ht="15.6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</row>
    <row r="590" spans="2:60" ht="15.6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</row>
    <row r="591" spans="2:60" ht="15.6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</row>
    <row r="592" spans="2:60" ht="15.6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</row>
    <row r="593" spans="2:60" ht="15.6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</row>
    <row r="594" spans="2:60" ht="15.6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</row>
    <row r="595" spans="2:60" ht="15.6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</row>
    <row r="596" spans="2:60" ht="15.6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</row>
    <row r="597" spans="2:60" ht="15.6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</row>
    <row r="598" spans="2:60" ht="15.6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</row>
    <row r="599" spans="2:60" ht="15.6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</row>
    <row r="600" spans="2:60" ht="15.6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</row>
    <row r="601" spans="2:60" ht="15.6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</row>
    <row r="602" spans="2:60" ht="15.6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</row>
    <row r="603" spans="2:60" ht="15.6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</row>
    <row r="604" spans="2:60" ht="15.6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</row>
    <row r="605" spans="2:60" ht="15.6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</row>
    <row r="606" spans="2:60" ht="15.6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</row>
    <row r="607" spans="2:60" ht="15.6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</row>
    <row r="608" spans="2:60" ht="15.6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</row>
    <row r="609" spans="2:60" ht="15.6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</row>
    <row r="610" spans="2:60" ht="15.6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</row>
    <row r="611" spans="2:60" ht="15.6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</row>
    <row r="612" spans="2:60" ht="15.6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</row>
    <row r="613" spans="2:60" ht="15.6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</row>
    <row r="614" spans="2:60" ht="15.6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</row>
    <row r="615" spans="2:60" ht="15.6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</row>
    <row r="616" spans="2:60" ht="15.6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</row>
    <row r="617" spans="2:60" ht="15.6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</row>
    <row r="618" spans="2:60" ht="15.6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</row>
    <row r="619" spans="2:60" ht="15.6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</row>
    <row r="620" spans="2:60" ht="15.6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</row>
    <row r="621" spans="2:60" ht="15.6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</row>
    <row r="622" spans="2:60" ht="15.6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</row>
    <row r="623" spans="2:60" ht="15.6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</row>
    <row r="624" spans="2:60" ht="15.6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</row>
    <row r="625" spans="2:60" ht="15.6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</row>
    <row r="626" spans="2:60" ht="15.6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</row>
    <row r="627" spans="2:60" ht="15.6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</row>
    <row r="628" spans="2:60" ht="15.6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</row>
    <row r="629" spans="2:60" ht="15.6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</row>
    <row r="630" spans="2:60" ht="15.6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</row>
    <row r="631" spans="2:60" ht="15.6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</row>
    <row r="632" spans="2:60" ht="15.6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</row>
    <row r="633" spans="2:60" ht="15.6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</row>
    <row r="634" spans="2:60" ht="15.6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</row>
    <row r="635" spans="2:60" ht="15.6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</row>
    <row r="636" spans="2:60" ht="15.6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</row>
    <row r="637" spans="2:60" ht="15.6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</row>
    <row r="638" spans="2:60" ht="15.6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</row>
    <row r="639" spans="2:60" ht="15.6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</row>
    <row r="640" spans="2:60" ht="15.6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</row>
    <row r="641" spans="2:60" ht="15.6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</row>
    <row r="642" spans="2:60" ht="15.6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</row>
    <row r="643" spans="2:60" ht="15.6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</row>
    <row r="644" spans="2:60" ht="15.6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</row>
    <row r="645" spans="2:60" ht="15.6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</row>
    <row r="646" spans="2:60" ht="15.6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</row>
    <row r="647" spans="2:60" ht="15.6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</row>
    <row r="648" spans="2:60" ht="15.6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</row>
    <row r="649" spans="2:60" ht="15.6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</row>
    <row r="650" spans="2:60" ht="15.6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</row>
    <row r="651" spans="2:60" ht="15.6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</row>
    <row r="652" spans="2:60" ht="15.6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</row>
    <row r="653" spans="2:60" ht="15.6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</row>
    <row r="654" spans="2:60" ht="15.6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</row>
    <row r="655" spans="2:60" ht="15.6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</row>
    <row r="656" spans="2:60" ht="15.6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</row>
    <row r="657" spans="2:60" ht="15.6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</row>
    <row r="658" spans="2:60" ht="15.6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</row>
    <row r="659" spans="2:60" ht="15.6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</row>
    <row r="660" spans="2:60" ht="15.6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</row>
    <row r="661" spans="2:60" ht="15.6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</row>
    <row r="662" spans="2:60" ht="15.6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</row>
    <row r="663" spans="2:60" ht="15.6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</row>
    <row r="664" spans="2:60" ht="15.6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</row>
    <row r="665" spans="2:60" ht="15.6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</row>
    <row r="666" spans="2:60" ht="15.6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</row>
    <row r="667" spans="2:60" ht="15.6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</row>
    <row r="668" spans="2:60" ht="15.6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</row>
    <row r="669" spans="2:60" ht="15.6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</row>
    <row r="670" spans="2:60" ht="15.6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</row>
    <row r="671" spans="2:60" ht="15.6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</row>
    <row r="672" spans="2:60" ht="15.6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</row>
    <row r="673" spans="2:60" ht="15.6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</row>
    <row r="674" spans="2:60" ht="15.6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</row>
    <row r="675" spans="2:60" ht="15.6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</row>
    <row r="676" spans="2:60" ht="15.6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</row>
    <row r="677" spans="2:60" ht="15.6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</row>
    <row r="678" spans="2:60" ht="15.6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</row>
    <row r="679" spans="2:60" ht="15.6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</row>
    <row r="680" spans="2:60" ht="15.6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</row>
    <row r="681" spans="2:60" ht="15.6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</row>
    <row r="682" spans="2:60" ht="15.6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</row>
    <row r="683" spans="2:60" ht="15.6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</row>
    <row r="684" spans="2:60" ht="15.6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</row>
    <row r="685" spans="2:60" ht="15.6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</row>
    <row r="686" spans="2:60" ht="15.6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</row>
    <row r="687" spans="2:60" ht="15.6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</row>
    <row r="688" spans="2:60" ht="15.6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</row>
    <row r="689" spans="2:60" ht="15.6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</row>
    <row r="690" spans="2:60" ht="15.6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</row>
    <row r="691" spans="2:60" ht="15.6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</row>
    <row r="692" spans="2:60" ht="15.6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</row>
    <row r="693" spans="2:60" ht="15.6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</row>
    <row r="694" spans="2:60" ht="15.6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</row>
    <row r="695" spans="2:60" ht="15.6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</row>
    <row r="696" spans="2:60" ht="15.6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</row>
    <row r="697" spans="2:60" ht="15.6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</row>
    <row r="698" spans="2:60" ht="15.6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</row>
    <row r="699" spans="2:60" ht="15.6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</row>
    <row r="700" spans="2:60" ht="15.6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</row>
    <row r="701" spans="2:60" ht="15.6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</row>
    <row r="702" spans="2:60" ht="15.6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</row>
    <row r="703" spans="2:60" ht="15.6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</row>
    <row r="704" spans="2:60" ht="15.6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</row>
    <row r="705" spans="2:60" ht="15.6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</row>
    <row r="706" spans="2:60" ht="15.6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</row>
    <row r="707" spans="2:60" ht="15.6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</row>
    <row r="708" spans="2:60" ht="15.6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</row>
    <row r="709" spans="2:60" ht="15.6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</row>
    <row r="710" spans="2:60" ht="15.6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</row>
    <row r="711" spans="2:60" ht="15.6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</row>
    <row r="712" spans="2:60" ht="15.6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</row>
    <row r="713" spans="2:60" ht="15.6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</row>
    <row r="714" spans="2:60" ht="15.6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</row>
    <row r="715" spans="2:60" ht="15.6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</row>
    <row r="716" spans="2:60" ht="15.6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</row>
    <row r="717" spans="2:60" ht="15.6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</row>
    <row r="718" spans="2:60" ht="15.6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</row>
    <row r="719" spans="2:60" ht="15.6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</row>
    <row r="720" spans="2:60" ht="15.6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</row>
    <row r="721" spans="2:60" ht="15.6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</row>
    <row r="722" spans="2:60" ht="15.6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</row>
    <row r="723" spans="2:60" ht="15.6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</row>
    <row r="724" spans="2:60" ht="15.6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</row>
    <row r="725" spans="2:60" ht="15.6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</row>
    <row r="726" spans="2:60" ht="15.6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</row>
    <row r="727" spans="2:60" ht="15.6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</row>
    <row r="728" spans="2:60" ht="15.6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</row>
    <row r="729" spans="2:60" ht="15.6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</row>
    <row r="730" spans="2:60" ht="15.6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</row>
    <row r="731" spans="2:60" ht="15.6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</row>
    <row r="732" spans="2:60" ht="15.6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</row>
    <row r="733" spans="2:60" ht="15.6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</row>
    <row r="734" spans="2:60" ht="15.6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</row>
    <row r="735" spans="2:60" ht="15.6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</row>
    <row r="736" spans="2:60" ht="15.6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</row>
    <row r="737" spans="2:60" ht="15.6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</row>
    <row r="738" spans="2:60" ht="15.6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</row>
    <row r="739" spans="2:60" ht="15.6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</row>
    <row r="740" spans="2:60" ht="15.6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</row>
    <row r="741" spans="2:60" ht="15.6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</row>
    <row r="742" spans="2:60" ht="15.6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</row>
    <row r="743" spans="2:60" ht="15.6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</row>
    <row r="744" spans="2:60" ht="15.6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</row>
    <row r="745" spans="2:60" ht="15.6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</row>
    <row r="746" spans="2:60" ht="15.6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</row>
    <row r="747" spans="2:60" ht="15.6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</row>
    <row r="748" spans="2:60" ht="15.6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</row>
    <row r="749" spans="2:60" ht="15.6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</row>
    <row r="750" spans="2:60" ht="15.6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</row>
    <row r="751" spans="2:60" ht="15.6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</row>
    <row r="752" spans="2:60" ht="15.6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</row>
    <row r="753" spans="2:60" ht="15.6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</row>
    <row r="754" spans="2:60" ht="15.6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</row>
    <row r="755" spans="2:60" ht="15.6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</row>
    <row r="756" spans="2:60" ht="15.6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</row>
    <row r="757" spans="2:60" ht="15.6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</row>
    <row r="758" spans="2:60" ht="15.6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</row>
    <row r="759" spans="2:60" ht="15.6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</row>
    <row r="760" spans="2:60" ht="15.6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</row>
    <row r="761" spans="2:60" ht="15.6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</row>
    <row r="762" spans="2:60" ht="15.6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</row>
    <row r="763" spans="2:60" ht="15.6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</row>
    <row r="764" spans="2:60" ht="15.6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</row>
    <row r="765" spans="2:60" ht="15.6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</row>
    <row r="766" spans="2:60" ht="15.6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</row>
    <row r="767" spans="2:60" ht="15.6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</row>
    <row r="768" spans="2:60" ht="15.6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</row>
    <row r="769" spans="2:60" ht="15.6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</row>
    <row r="770" spans="2:60" ht="15.6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</row>
    <row r="771" spans="2:60" ht="15.6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</row>
    <row r="772" spans="2:60" ht="15.6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</row>
    <row r="773" spans="2:60" ht="15.6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</row>
    <row r="774" spans="2:60" ht="15.6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</row>
    <row r="775" spans="2:60" ht="15.6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</row>
    <row r="776" spans="2:60" ht="15.6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</row>
    <row r="777" spans="2:60" ht="15.6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</row>
    <row r="778" spans="2:60" ht="15.6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</row>
    <row r="779" spans="2:60" ht="15.6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</row>
    <row r="780" spans="2:60" ht="15.6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</row>
    <row r="781" spans="2:60" ht="15.6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</row>
    <row r="782" spans="2:60" ht="15.6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</row>
    <row r="783" spans="2:60" ht="15.6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</row>
    <row r="784" spans="2:60" ht="15.6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</row>
    <row r="785" spans="2:60" ht="15.6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</row>
    <row r="786" spans="2:60" ht="15.6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</row>
    <row r="787" spans="2:60" ht="15.6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</row>
    <row r="788" spans="2:60" ht="15.6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</row>
    <row r="789" spans="2:60" ht="15.6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</row>
    <row r="790" spans="2:60" ht="15.6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</row>
    <row r="791" spans="2:60" ht="15.6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</row>
    <row r="792" spans="2:60" ht="15.6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</row>
    <row r="793" spans="2:60" ht="15.6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</row>
    <row r="794" spans="2:60" ht="15.6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</row>
    <row r="795" spans="2:60" ht="15.6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</row>
    <row r="796" spans="2:60" ht="15.6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</row>
    <row r="797" spans="2:60" ht="15.6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</row>
    <row r="798" spans="2:60" ht="15.6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</row>
    <row r="799" spans="2:60" ht="15.6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</row>
    <row r="800" spans="2:60" ht="15.6" hidden="1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</row>
    <row r="801" spans="2:60" ht="15.6" hidden="1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</row>
    <row r="802" spans="2:60" ht="15.6" hidden="1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</row>
    <row r="803" spans="2:60" ht="15.6" hidden="1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</row>
    <row r="804" spans="2:60" ht="15.6" hidden="1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</row>
    <row r="805" spans="2:60" ht="15.6" hidden="1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</row>
    <row r="806" spans="2:60" ht="15.6" hidden="1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</row>
    <row r="807" spans="2:60" ht="15.6" hidden="1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</row>
    <row r="808" spans="2:60" ht="15.6" hidden="1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</row>
    <row r="809" spans="2:60" ht="15.6" hidden="1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</row>
    <row r="810" spans="2:60" ht="15.6" hidden="1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</row>
    <row r="811" spans="2:60" ht="15.6" hidden="1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</row>
    <row r="812" spans="2:60" ht="15.6" hidden="1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</row>
    <row r="813" spans="2:60" ht="15.6" hidden="1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</row>
    <row r="814" spans="2:60" ht="15.6" hidden="1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</row>
    <row r="815" spans="2:60" ht="15.6" hidden="1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</row>
    <row r="816" spans="2:60" ht="15.6" hidden="1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</row>
    <row r="817" spans="2:60" ht="15.6" hidden="1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</row>
    <row r="818" spans="2:60" ht="15.6" hidden="1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</row>
    <row r="819" spans="2:60" ht="15.6" hidden="1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</row>
    <row r="820" spans="2:60" ht="15.6" hidden="1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</row>
    <row r="821" spans="2:60" ht="15.6" hidden="1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</row>
    <row r="822" spans="2:60" ht="15.6" hidden="1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</row>
    <row r="823" spans="2:60" ht="15.6" hidden="1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</row>
    <row r="824" spans="2:60" ht="15.6" hidden="1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</row>
    <row r="825" spans="2:60" ht="15.6" hidden="1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</row>
    <row r="826" spans="2:60" ht="15.6" hidden="1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</row>
    <row r="827" spans="2:60" ht="15.6" hidden="1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</row>
    <row r="828" spans="2:60" ht="15.6" hidden="1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</row>
    <row r="829" spans="2:60" ht="15.6" hidden="1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</row>
    <row r="830" spans="2:60" ht="15.6" hidden="1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</row>
    <row r="831" spans="2:60" ht="15.6" hidden="1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</row>
    <row r="832" spans="2:60" ht="15.6" hidden="1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</row>
    <row r="833" spans="2:60" ht="15.6" hidden="1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</row>
    <row r="834" spans="2:60" ht="15.6" hidden="1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</row>
    <row r="835" spans="2:60" ht="15.6" hidden="1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</row>
    <row r="836" spans="2:60" ht="15.6" hidden="1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</row>
    <row r="837" spans="2:60" ht="15.6" hidden="1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</row>
    <row r="838" spans="2:60" ht="15.6" hidden="1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</row>
    <row r="839" spans="2:60" ht="15.6" hidden="1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</row>
    <row r="840" spans="2:60" ht="15.6" hidden="1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</row>
    <row r="841" spans="2:60" ht="15.6" hidden="1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</row>
    <row r="842" spans="2:60" ht="15.6" hidden="1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</row>
    <row r="843" spans="2:60" ht="15.6" hidden="1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</row>
    <row r="844" spans="2:60" ht="15.6" hidden="1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</row>
    <row r="845" spans="2:60" ht="15.6" hidden="1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</row>
    <row r="846" spans="2:60" ht="15.6" hidden="1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</row>
    <row r="847" spans="2:60" ht="15.6" hidden="1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</row>
    <row r="848" spans="2:60" ht="15.6" hidden="1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</row>
    <row r="849" spans="2:60" ht="15.6" hidden="1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</row>
    <row r="850" spans="2:60" ht="15.6" hidden="1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</row>
    <row r="851" spans="2:60" ht="15.6" hidden="1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</row>
    <row r="852" spans="2:60" ht="15.6" hidden="1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</row>
    <row r="853" spans="2:60" ht="15.6" hidden="1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</row>
    <row r="854" spans="2:60" ht="15.6" hidden="1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</row>
    <row r="855" spans="2:60" ht="15.6" hidden="1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</row>
    <row r="856" spans="2:60" ht="15.6" hidden="1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</row>
    <row r="857" spans="2:60" ht="15.6" hidden="1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</row>
    <row r="858" spans="2:60" ht="15.6" hidden="1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</row>
    <row r="859" spans="2:60" ht="15.6" hidden="1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</row>
    <row r="860" spans="2:60" ht="15.6" hidden="1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</row>
    <row r="861" spans="2:60" ht="15.6" hidden="1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</row>
    <row r="862" spans="2:60" ht="15.6" hidden="1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</row>
    <row r="863" spans="2:60" ht="15.6" hidden="1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</row>
    <row r="864" spans="2:60" ht="15.6" hidden="1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</row>
    <row r="865" spans="2:60" ht="15.6" hidden="1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</row>
    <row r="866" spans="2:60" ht="15.6" hidden="1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</row>
    <row r="867" spans="2:60" ht="15.6" hidden="1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</row>
    <row r="868" spans="2:60" ht="15.6" hidden="1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</row>
    <row r="869" spans="2:60" ht="15.6" hidden="1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</row>
    <row r="870" spans="2:60" ht="15.6" hidden="1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</row>
    <row r="871" spans="2:60" ht="15.6" hidden="1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</row>
    <row r="872" spans="2:60" ht="15.6" hidden="1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</row>
    <row r="873" spans="2:60" ht="15.6" hidden="1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</row>
    <row r="874" spans="2:60" ht="15.6" hidden="1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</row>
    <row r="875" spans="2:60" ht="15.6" hidden="1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</row>
    <row r="876" spans="2:60" ht="15.6" hidden="1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</row>
    <row r="877" spans="2:60" ht="15.6" hidden="1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</row>
    <row r="878" spans="2:60" ht="15.6" hidden="1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</row>
    <row r="879" spans="2:60" ht="15.6" hidden="1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</row>
    <row r="880" spans="2:60" ht="15.6" hidden="1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</row>
    <row r="881" spans="2:60" ht="15.6" hidden="1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</row>
    <row r="882" spans="2:60" ht="15.6" hidden="1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</row>
    <row r="883" spans="2:60" ht="15.6" hidden="1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</row>
    <row r="884" spans="2:60" ht="15.6" hidden="1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</row>
    <row r="885" spans="2:60" ht="15.6" hidden="1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</row>
    <row r="886" spans="2:60" ht="15.6" hidden="1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</row>
    <row r="887" spans="2:60" ht="15.6" hidden="1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</row>
    <row r="888" spans="2:60" ht="15.6" hidden="1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</row>
    <row r="889" spans="2:60" ht="15.6" hidden="1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</row>
    <row r="890" spans="2:60" ht="15.6" hidden="1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</row>
    <row r="891" spans="2:60" ht="15.6" hidden="1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</row>
    <row r="892" spans="2:60" ht="15.6" hidden="1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</row>
    <row r="893" spans="2:60" ht="15.6" hidden="1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</row>
    <row r="894" spans="2:60" ht="15.6" hidden="1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</row>
    <row r="895" spans="2:60" ht="15.6" hidden="1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</row>
    <row r="896" spans="2:60" ht="15.6" hidden="1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</row>
    <row r="897" spans="2:60" ht="15.6" hidden="1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</row>
    <row r="898" spans="2:60" ht="15.6" hidden="1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</row>
    <row r="899" spans="2:60" ht="15.6" hidden="1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</row>
    <row r="900" spans="2:60" ht="15.6" hidden="1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</row>
    <row r="901" spans="2:60" ht="15.6" hidden="1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</row>
    <row r="902" spans="2:60" ht="15.6" hidden="1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</row>
    <row r="903" spans="2:60" ht="15.6" hidden="1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</row>
    <row r="904" spans="2:60" ht="15.6" hidden="1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</row>
    <row r="905" spans="2:60" ht="15.6" hidden="1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</row>
    <row r="906" spans="2:60" ht="15.6" hidden="1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</row>
    <row r="907" spans="2:60" ht="15.6" hidden="1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</row>
    <row r="908" spans="2:60" ht="15.6" hidden="1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</row>
    <row r="909" spans="2:60" ht="15.6" hidden="1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</row>
    <row r="910" spans="2:60" ht="15.6" hidden="1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</row>
    <row r="911" spans="2:60" ht="15.6" hidden="1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</row>
    <row r="912" spans="2:60" ht="15.6" hidden="1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</row>
    <row r="913" spans="2:60" ht="15.6" hidden="1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</row>
    <row r="914" spans="2:60" ht="15.6" hidden="1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</row>
    <row r="915" spans="2:60" ht="15.6" hidden="1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</row>
    <row r="916" spans="2:60" ht="15.6" hidden="1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</row>
    <row r="917" spans="2:60" ht="15.6" hidden="1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</row>
    <row r="918" spans="2:60" ht="15.6" hidden="1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</row>
    <row r="919" spans="2:60" ht="15.6" hidden="1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</row>
    <row r="920" spans="2:60" ht="15.6" hidden="1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</row>
    <row r="921" spans="2:60" ht="15.6" hidden="1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</row>
    <row r="922" spans="2:60" ht="15.6" hidden="1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</row>
    <row r="923" spans="2:60" ht="15.6" hidden="1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</row>
    <row r="924" spans="2:60" ht="15.6" hidden="1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</row>
    <row r="925" spans="2:60" ht="15.6" hidden="1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</row>
    <row r="926" spans="2:60" ht="15.6" hidden="1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</row>
    <row r="927" spans="2:60" ht="15.6" hidden="1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</row>
    <row r="928" spans="2:60" ht="15.6" hidden="1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</row>
    <row r="929" spans="2:60" ht="15.6" hidden="1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</row>
    <row r="930" spans="2:60" ht="15.6" hidden="1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</row>
    <row r="931" spans="2:60" ht="15.6" hidden="1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</row>
    <row r="932" spans="2:60" ht="15.6" hidden="1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</row>
    <row r="933" spans="2:60" ht="15.6" hidden="1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</row>
    <row r="934" spans="2:60" ht="15.6" hidden="1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</row>
    <row r="935" spans="2:60" ht="15.6" hidden="1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</row>
    <row r="936" spans="2:60" ht="15.6" hidden="1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</row>
    <row r="937" spans="2:60" ht="15.6" hidden="1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</row>
    <row r="938" spans="2:60" ht="15.6" hidden="1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</row>
    <row r="939" spans="2:60" ht="15.6" hidden="1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</row>
    <row r="940" spans="2:60" ht="15.6" hidden="1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</row>
    <row r="941" spans="2:60" ht="15.6" hidden="1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</row>
    <row r="942" spans="2:60" ht="15.6" hidden="1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</row>
    <row r="943" spans="2:60" ht="15.6" hidden="1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</row>
    <row r="944" spans="2:60" ht="15.6" hidden="1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</row>
    <row r="945" spans="2:60" ht="15.6" hidden="1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</row>
    <row r="946" spans="2:60" ht="15.6" hidden="1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</row>
    <row r="947" spans="2:60" ht="15.6" hidden="1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</row>
    <row r="948" spans="2:60" ht="15.6" hidden="1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</row>
    <row r="949" spans="2:60" ht="15.6" hidden="1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</row>
    <row r="950" spans="2:60" ht="15.6" hidden="1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</row>
    <row r="951" spans="2:60" ht="15.6" hidden="1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</row>
    <row r="952" spans="2:60" ht="15.6" hidden="1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</row>
    <row r="953" spans="2:60" ht="15.6" hidden="1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</row>
    <row r="954" spans="2:60" ht="15.6" hidden="1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</row>
    <row r="955" spans="2:60" ht="15.6" hidden="1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</row>
    <row r="956" spans="2:60" ht="15.6" hidden="1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</row>
    <row r="957" spans="2:60" ht="15.6" hidden="1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</row>
    <row r="958" spans="2:60" ht="15.6" hidden="1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</row>
    <row r="959" spans="2:60" ht="15.6" hidden="1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</row>
    <row r="960" spans="2:60" ht="15.6" hidden="1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</row>
    <row r="961" spans="2:60" ht="15.6" hidden="1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</row>
    <row r="962" spans="2:60" ht="15.6" hidden="1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</row>
    <row r="963" spans="2:60" ht="15.6" hidden="1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</row>
    <row r="964" spans="2:60" ht="15.6" hidden="1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</row>
    <row r="965" spans="2:60" ht="15.6" hidden="1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</row>
    <row r="966" spans="2:60" ht="15.6" hidden="1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</row>
    <row r="967" spans="2:60" ht="15.6" hidden="1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</row>
    <row r="968" spans="2:60" ht="15.6" hidden="1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</row>
    <row r="969" spans="2:60" ht="15.6" hidden="1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</row>
    <row r="970" spans="2:60" ht="15.6" hidden="1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</row>
    <row r="971" spans="2:60" ht="15.6" hidden="1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</row>
    <row r="972" spans="2:60" ht="15.6" hidden="1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</row>
    <row r="973" spans="2:60" ht="15.6" hidden="1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</row>
    <row r="974" spans="2:60" ht="15.6" hidden="1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</row>
    <row r="975" spans="2:60" ht="15.6" hidden="1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</row>
    <row r="976" spans="2:60" ht="15.6" hidden="1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</row>
    <row r="977" spans="2:60" ht="15.6" hidden="1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</row>
    <row r="978" spans="2:60" ht="15.6" hidden="1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</row>
    <row r="979" spans="2:60" ht="15.6" hidden="1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</row>
    <row r="980" spans="2:60" ht="15.6" hidden="1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</row>
    <row r="981" spans="2:60" ht="15.6" hidden="1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</row>
    <row r="982" spans="2:60" ht="15.6" hidden="1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</row>
    <row r="983" spans="2:60" ht="15.6" hidden="1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</row>
    <row r="984" spans="2:60" ht="15.6" hidden="1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</row>
    <row r="985" spans="2:60" ht="15.6" hidden="1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</row>
    <row r="986" spans="2:60" ht="15.6" hidden="1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</row>
    <row r="987" spans="2:60" ht="15.6" hidden="1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</row>
    <row r="988" spans="2:60" ht="15.6" hidden="1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</row>
    <row r="989" spans="2:60" ht="15.6" hidden="1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</row>
    <row r="990" spans="2:60" ht="15.6" hidden="1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</row>
    <row r="991" spans="2:60" ht="15.6" hidden="1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</row>
    <row r="992" spans="2:60" ht="15.6" hidden="1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</row>
    <row r="993" spans="2:60" ht="15.6" hidden="1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</row>
    <row r="994" spans="2:60" ht="15.6" hidden="1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</row>
    <row r="995" spans="2:60" ht="15.6" hidden="1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</row>
    <row r="996" spans="2:60" ht="15.6" hidden="1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</row>
    <row r="997" spans="2:60" ht="15.6" hidden="1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</row>
    <row r="998" spans="2:60" ht="15.6" hidden="1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</row>
    <row r="999" spans="2:60" ht="15.6" hidden="1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</row>
    <row r="1000" spans="2:60" ht="15.6" hidden="1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</row>
    <row r="1001" spans="2:60" ht="15.6" hidden="1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</row>
    <row r="1002" spans="2:60" ht="15.6" hidden="1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</row>
    <row r="1003" spans="2:60" ht="15.6" hidden="1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</row>
    <row r="1004" spans="2:60" ht="15.6" hidden="1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</row>
    <row r="1005" spans="2:60" ht="15.6" hidden="1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</row>
    <row r="1006" spans="2:60" ht="15.6" hidden="1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</row>
    <row r="1007" spans="2:60" ht="15.6" hidden="1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</row>
    <row r="1008" spans="2:60" ht="15.6" hidden="1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</row>
    <row r="1009" spans="2:60" ht="15.6" hidden="1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</row>
    <row r="1010" spans="2:60" ht="15.6" hidden="1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</row>
    <row r="1011" spans="2:60" ht="15.6" hidden="1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</row>
    <row r="1012" spans="2:60" ht="15.6" hidden="1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</row>
    <row r="1013" spans="2:60" ht="15.6" hidden="1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</row>
    <row r="1014" spans="2:60" ht="15.6" hidden="1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</row>
    <row r="1015" spans="2:60" ht="15.6" hidden="1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</row>
    <row r="1016" spans="2:60" ht="15.6" hidden="1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</row>
    <row r="1017" spans="2:60" ht="15.6" hidden="1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</row>
    <row r="1018" spans="2:60" ht="15.6" hidden="1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</row>
    <row r="1019" spans="2:60" ht="15.6" hidden="1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</row>
    <row r="1020" spans="2:60" ht="15.6" hidden="1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</row>
    <row r="1021" spans="2:60" ht="15.6" hidden="1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</row>
    <row r="1022" spans="2:60" ht="15.6" hidden="1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</row>
    <row r="1023" spans="2:60" ht="15.6" hidden="1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</row>
    <row r="1024" spans="2:60" ht="15.6" hidden="1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</row>
    <row r="1025" spans="2:60" ht="15.6" hidden="1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</row>
    <row r="1026" spans="2:60" ht="15.6" hidden="1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</row>
    <row r="1027" spans="2:60" ht="15.6" hidden="1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</row>
    <row r="1028" spans="2:60" ht="15.6" hidden="1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</row>
    <row r="1029" spans="2:60" ht="15.6" hidden="1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</row>
    <row r="1030" spans="2:60" ht="15.6" hidden="1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</row>
    <row r="1031" spans="2:60" ht="15.6" hidden="1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</row>
    <row r="1032" spans="2:60" ht="15.6" hidden="1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</row>
    <row r="1033" spans="2:60" ht="15.6" hidden="1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</row>
    <row r="1034" spans="2:60" ht="15.6" hidden="1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</row>
    <row r="1035" spans="2:60" ht="15.6" hidden="1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</row>
    <row r="1036" spans="2:60" ht="15.6" hidden="1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</row>
    <row r="1037" spans="2:60" ht="15.6" hidden="1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</row>
    <row r="1038" spans="2:60" ht="15.6" hidden="1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</row>
    <row r="1039" spans="2:60" ht="15.6" hidden="1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</row>
    <row r="1040" spans="2:60" ht="15.6" hidden="1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</row>
    <row r="1041" spans="2:60" ht="15.6" hidden="1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</row>
    <row r="1042" spans="2:60" ht="15.6" hidden="1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</row>
    <row r="1043" spans="2:60" ht="15.6" hidden="1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</row>
    <row r="1044" spans="2:60" ht="15.6" hidden="1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</row>
    <row r="1045" spans="2:60" ht="15.6" hidden="1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</row>
    <row r="1046" spans="2:60" ht="15.6" hidden="1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</row>
    <row r="1047" spans="2:60" ht="15.6" hidden="1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</row>
    <row r="1048" spans="2:60" ht="15.6" hidden="1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</row>
    <row r="1049" spans="2:60" ht="15.6" hidden="1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</row>
    <row r="1050" spans="2:60" ht="15.6" hidden="1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</row>
    <row r="1051" spans="2:60" ht="15.6" hidden="1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</row>
    <row r="1052" spans="2:60" ht="15.6" hidden="1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</row>
    <row r="1053" spans="2:60" ht="15.6" hidden="1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</row>
    <row r="1054" spans="2:60" ht="15.6" hidden="1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</row>
    <row r="1055" spans="2:60" ht="15.6" hidden="1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</row>
    <row r="1056" spans="2:60" ht="15.6" hidden="1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</row>
    <row r="1057" spans="2:60" ht="15.6" hidden="1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</row>
    <row r="1058" spans="2:60" ht="15.6" hidden="1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</row>
    <row r="1059" spans="2:60" ht="15.6" hidden="1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</row>
    <row r="1060" spans="2:60" ht="15.6" hidden="1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</row>
    <row r="1061" spans="2:60" ht="15.6" hidden="1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</row>
    <row r="1062" spans="2:60" ht="15.6" hidden="1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</row>
    <row r="1063" spans="2:60" ht="15.6" hidden="1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</row>
    <row r="1064" spans="2:60" ht="15.6" hidden="1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</row>
    <row r="1065" spans="2:60" ht="15.6" hidden="1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</row>
    <row r="1066" spans="2:60" ht="15.6" hidden="1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</row>
    <row r="1067" spans="2:60" ht="15.6" hidden="1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</row>
    <row r="1068" spans="2:60" ht="15.6" hidden="1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</row>
    <row r="1069" spans="2:60" ht="15.6" hidden="1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</row>
    <row r="1070" spans="2:60" ht="15.6" hidden="1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</row>
    <row r="1071" spans="2:60" ht="15.6" hidden="1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</row>
    <row r="1072" spans="2:60" ht="15.6" hidden="1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</row>
    <row r="1073" spans="2:60" ht="15.6" hidden="1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</row>
    <row r="1074" spans="2:60" ht="15.6" hidden="1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</row>
    <row r="1075" spans="2:60" ht="15.6" hidden="1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</row>
    <row r="1076" spans="2:60" ht="15.6" hidden="1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</row>
    <row r="1077" spans="2:60" ht="15.6" hidden="1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</row>
    <row r="1078" spans="2:60" ht="15.6" hidden="1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</row>
    <row r="1079" spans="2:60" ht="15.6" hidden="1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</row>
    <row r="1080" spans="2:60" ht="15.6" hidden="1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</row>
    <row r="1081" spans="2:60" ht="15.6" hidden="1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</row>
    <row r="1082" spans="2:60" ht="15.6" hidden="1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</row>
    <row r="1083" spans="2:60" ht="15.6" hidden="1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</row>
    <row r="1084" spans="2:60" ht="15.6" hidden="1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</row>
    <row r="1085" spans="2:60" ht="15.6" hidden="1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</row>
    <row r="1086" spans="2:60" ht="15.6" hidden="1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</row>
    <row r="1087" spans="2:60" ht="15.6" hidden="1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</row>
    <row r="1088" spans="2:60" ht="15.6" hidden="1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</row>
    <row r="1089" spans="2:60" ht="15.6" hidden="1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</row>
    <row r="1090" spans="2:60" ht="15.6" hidden="1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</row>
    <row r="1091" spans="2:60" ht="15.6" hidden="1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</row>
    <row r="1092" spans="2:60" ht="15.6" hidden="1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</row>
    <row r="1093" spans="2:60" ht="15.6" hidden="1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</row>
    <row r="1094" spans="2:60" ht="15.6" hidden="1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</row>
    <row r="1095" spans="2:60" ht="15.6" hidden="1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</row>
    <row r="1096" spans="2:60" ht="15.6" hidden="1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</row>
    <row r="1097" spans="2:60" ht="15.6" hidden="1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</row>
    <row r="1098" spans="2:60" ht="15.6" hidden="1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</row>
    <row r="1099" spans="2:60" ht="15.6" hidden="1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</row>
    <row r="1100" spans="2:60" ht="15.6" hidden="1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</row>
    <row r="1101" spans="2:60" ht="15.6" hidden="1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</row>
    <row r="1102" spans="2:60" ht="15.6" hidden="1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</row>
    <row r="1103" spans="2:60" ht="15.6" hidden="1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</row>
    <row r="1104" spans="2:60" ht="15.6" hidden="1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</row>
    <row r="1105" spans="2:60" ht="15.6" hidden="1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</row>
    <row r="1106" spans="2:60" ht="15.6" hidden="1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</row>
    <row r="1107" spans="2:60" ht="15.6" hidden="1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</row>
    <row r="1108" spans="2:60" ht="15.6" hidden="1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</row>
    <row r="1109" spans="2:60" ht="15.6" hidden="1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</row>
    <row r="1110" spans="2:60" ht="15.6" hidden="1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</row>
    <row r="1111" spans="2:60" ht="15.6" hidden="1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</row>
    <row r="1112" spans="2:60" ht="15.6" hidden="1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</row>
    <row r="1113" spans="2:60" ht="15.6" hidden="1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</row>
    <row r="1114" spans="2:60" ht="15.6" hidden="1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</row>
    <row r="1115" spans="2:60" ht="15.6" hidden="1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</row>
    <row r="1116" spans="2:60" ht="15.6" hidden="1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</row>
    <row r="1117" spans="2:60" ht="15.6" hidden="1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</row>
    <row r="1118" spans="2:60" ht="15.6" hidden="1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</row>
    <row r="1119" spans="2:60" ht="15.6" hidden="1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</row>
    <row r="1120" spans="2:60" ht="15.6" hidden="1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</row>
    <row r="1121" spans="2:60" ht="15.6" hidden="1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</row>
    <row r="1122" spans="2:60" ht="15.6" hidden="1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</row>
    <row r="1123" spans="2:60" ht="15.6" hidden="1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</row>
    <row r="1124" spans="2:60" ht="15.6" hidden="1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</row>
    <row r="1125" spans="2:60" ht="15.6" hidden="1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</row>
    <row r="1126" spans="2:60" ht="15.6" hidden="1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</row>
    <row r="1127" spans="2:60" ht="15.6" hidden="1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</row>
    <row r="1128" spans="2:60" ht="15.6" hidden="1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</row>
    <row r="1129" spans="2:60" ht="15.6" hidden="1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</row>
    <row r="1130" spans="2:60" ht="15.6" hidden="1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</row>
    <row r="1131" spans="2:60" ht="15.6" hidden="1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</row>
    <row r="1132" spans="2:60" ht="15.6" hidden="1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</row>
    <row r="1133" spans="2:60" ht="15.6" hidden="1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</row>
    <row r="1134" spans="2:60" ht="15.6" hidden="1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</row>
    <row r="1135" spans="2:60" ht="15.6" hidden="1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</row>
    <row r="1136" spans="2:60" ht="15.6" hidden="1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</row>
    <row r="1137" spans="2:60" ht="15.6" hidden="1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</row>
    <row r="1138" spans="2:60" ht="15.6" hidden="1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</row>
    <row r="1139" spans="2:60" ht="15.6" hidden="1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</row>
    <row r="1140" spans="2:60" ht="15.6" hidden="1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</row>
    <row r="1141" spans="2:60" ht="15.6" hidden="1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</row>
    <row r="1142" spans="2:60" ht="15.6" hidden="1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</row>
    <row r="1143" spans="2:60" ht="15.6" hidden="1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</row>
    <row r="1144" spans="2:60" ht="15.6" hidden="1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</row>
    <row r="1145" spans="2:60" ht="15.6" hidden="1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</row>
    <row r="1146" spans="2:60" ht="15.6" hidden="1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</row>
    <row r="1147" spans="2:60" ht="15.6" hidden="1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</row>
    <row r="1148" spans="2:60" ht="15.6" hidden="1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</row>
    <row r="1149" spans="2:60" ht="15.6" hidden="1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</row>
    <row r="1150" spans="2:60" ht="15.6" hidden="1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</row>
    <row r="1151" spans="2:60" ht="15.6" hidden="1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</row>
    <row r="1152" spans="2:60" ht="15.6" hidden="1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</row>
    <row r="1153" spans="2:60" ht="15.6" hidden="1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</row>
    <row r="1154" spans="2:60" ht="15.6" hidden="1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</row>
    <row r="1155" spans="2:60" ht="15.6" hidden="1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</row>
    <row r="1156" spans="2:60" ht="15.6" hidden="1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</row>
    <row r="1157" spans="2:60" ht="15.6" hidden="1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</row>
    <row r="1158" spans="2:60" ht="15.6" hidden="1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</row>
    <row r="1159" spans="2:60" ht="15.6" hidden="1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</row>
    <row r="1160" spans="2:60" ht="15.6" hidden="1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</row>
    <row r="1161" spans="2:60" ht="15.6" hidden="1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</row>
    <row r="1162" spans="2:60" ht="15.6" hidden="1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</row>
    <row r="1163" spans="2:60" ht="15.6" hidden="1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</row>
    <row r="1164" spans="2:60" ht="15.6" hidden="1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</row>
    <row r="1165" spans="2:60" ht="15.6" hidden="1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</row>
    <row r="1166" spans="2:60" ht="15.6" hidden="1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</row>
    <row r="1167" spans="2:60" ht="15.6" hidden="1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</row>
    <row r="1168" spans="2:60" ht="15.6" hidden="1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</row>
    <row r="1169" spans="2:60" ht="15.6" hidden="1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</row>
    <row r="1170" spans="2:60" ht="15.6" hidden="1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</row>
    <row r="1171" spans="2:60" ht="15.6" hidden="1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</row>
    <row r="1172" spans="2:60" ht="15.6" hidden="1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</row>
    <row r="1173" spans="2:60" ht="15.6" hidden="1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</row>
    <row r="1174" spans="2:60" ht="15.6" hidden="1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</row>
    <row r="1175" spans="2:60" ht="15.6" hidden="1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</row>
    <row r="1176" spans="2:60" ht="15.6" hidden="1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</row>
    <row r="1177" spans="2:60" ht="15.6" hidden="1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</row>
    <row r="1178" spans="2:60" ht="15.6" hidden="1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</row>
    <row r="1179" spans="2:60" ht="15.6" hidden="1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</row>
    <row r="1180" spans="2:60" ht="15.6" hidden="1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</row>
    <row r="1181" spans="2:60" ht="15.6" hidden="1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</row>
    <row r="1182" spans="2:60" ht="15.6" hidden="1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</row>
    <row r="1183" spans="2:60" ht="15.6" hidden="1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</row>
    <row r="1184" spans="2:60" ht="15.6" hidden="1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</row>
    <row r="1185" spans="2:60" ht="15.6" hidden="1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</row>
    <row r="1186" spans="2:60" ht="15.6" hidden="1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</row>
    <row r="1187" spans="2:60" ht="15.6" hidden="1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</row>
    <row r="1188" spans="2:60" ht="15.6" hidden="1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</row>
    <row r="1189" spans="2:60" ht="15.6" hidden="1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</row>
    <row r="1190" spans="2:60" ht="15.6" hidden="1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</row>
    <row r="1191" spans="2:60" ht="15.6" hidden="1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</row>
    <row r="1192" spans="2:60" ht="15.6" hidden="1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</row>
    <row r="1193" spans="2:60" ht="15.6" hidden="1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</row>
    <row r="1194" spans="2:60" ht="15.6" hidden="1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</row>
    <row r="1195" spans="2:60" ht="15.6" hidden="1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</row>
    <row r="1196" spans="2:60" ht="15.6" hidden="1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</row>
    <row r="1197" spans="2:60" ht="15.6" hidden="1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</row>
    <row r="1198" spans="2:60" ht="15.6" hidden="1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</row>
    <row r="1199" spans="2:60" ht="15.6" hidden="1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</row>
    <row r="1200" spans="2:60" ht="15.6" hidden="1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</row>
    <row r="1201" spans="2:60" ht="15.6" hidden="1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</row>
    <row r="1202" spans="2:60" ht="15.6" hidden="1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</row>
    <row r="1203" spans="2:60" ht="15.6" hidden="1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</row>
    <row r="1204" spans="2:60" ht="15.6" hidden="1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</row>
    <row r="1205" spans="2:60" ht="15.6" hidden="1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</row>
    <row r="1206" spans="2:60" ht="15.6" hidden="1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</row>
    <row r="1207" spans="2:60" ht="15.6" hidden="1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</row>
    <row r="1208" spans="2:60" ht="15.6" hidden="1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</row>
    <row r="1209" spans="2:60" ht="15.6" hidden="1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</row>
    <row r="1210" spans="2:60" ht="15.6" hidden="1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</row>
    <row r="1211" spans="2:60" ht="15.6" hidden="1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</row>
    <row r="1212" spans="2:60" ht="15.6" hidden="1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</row>
    <row r="1213" spans="2:60" ht="15.6" hidden="1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</row>
    <row r="1214" spans="2:60" ht="15.6" hidden="1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</row>
    <row r="1215" spans="2:60" ht="15.6" hidden="1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</row>
    <row r="1216" spans="2:60" ht="15.6" hidden="1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</row>
    <row r="1217" spans="2:60" ht="15.6" hidden="1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</row>
    <row r="1218" spans="2:60" ht="15.6" hidden="1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</row>
    <row r="1219" spans="2:60" ht="15.6" hidden="1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</row>
    <row r="1220" spans="2:60" ht="15.6" hidden="1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</row>
    <row r="1221" spans="2:60" ht="15.6" hidden="1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</row>
    <row r="1222" spans="2:60" ht="15.6" hidden="1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</row>
    <row r="1223" spans="2:60" ht="15.6" hidden="1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</row>
    <row r="1224" spans="2:60" ht="15.6" hidden="1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</row>
    <row r="1225" spans="2:60" ht="15.6" hidden="1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</row>
    <row r="1226" spans="2:60" ht="15.6" hidden="1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</row>
    <row r="1227" spans="2:60" ht="15.6" hidden="1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</row>
    <row r="1228" spans="2:60" ht="15.6" hidden="1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</row>
    <row r="1229" spans="2:60" ht="15.6" hidden="1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</row>
    <row r="1230" spans="2:60" ht="15.6" hidden="1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</row>
    <row r="1231" spans="2:60" ht="15.6" hidden="1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</row>
    <row r="1232" spans="2:60" ht="15.6" hidden="1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</row>
    <row r="1233" spans="2:60" ht="15.6" hidden="1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</row>
    <row r="1234" spans="2:60" ht="15.6" hidden="1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</row>
    <row r="1235" spans="2:60" ht="15.6" hidden="1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</row>
    <row r="1236" spans="2:60" ht="15.6" hidden="1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</row>
    <row r="1237" spans="2:60" ht="15.6" hidden="1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</row>
    <row r="1238" spans="2:60" ht="15.6" hidden="1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</row>
    <row r="1239" spans="2:60" ht="15.6" hidden="1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</row>
    <row r="1240" spans="2:60" ht="15.6" hidden="1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</row>
    <row r="1241" spans="2:60" ht="15.6" hidden="1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</row>
    <row r="1242" spans="2:60" ht="15.6" hidden="1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</row>
    <row r="1243" spans="2:60" ht="15.6" hidden="1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</row>
    <row r="1244" spans="2:60" ht="15.6" hidden="1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</row>
    <row r="1245" spans="2:60" ht="15.6" hidden="1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</row>
    <row r="1246" spans="2:60" ht="15.6" hidden="1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</row>
    <row r="1247" spans="2:60" ht="15.6" hidden="1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</row>
    <row r="1248" spans="2:60" ht="15.6" hidden="1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</row>
    <row r="1249" spans="2:60" ht="15.6" hidden="1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</row>
    <row r="1250" spans="2:60" ht="15.6" hidden="1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</row>
    <row r="1251" spans="2:60" ht="15.6" hidden="1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</row>
    <row r="1252" spans="2:60" ht="15.6" hidden="1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</row>
    <row r="1253" spans="2:60" ht="15.6" hidden="1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</row>
    <row r="1254" spans="2:60" ht="15.6" hidden="1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</row>
    <row r="1255" spans="2:60" ht="15.6" hidden="1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</row>
    <row r="1256" spans="2:60" ht="15.6" hidden="1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</row>
    <row r="1257" spans="2:60" ht="15.6" hidden="1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</row>
    <row r="1258" spans="2:60" ht="15.6" hidden="1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</row>
    <row r="1259" spans="2:60" ht="15.6" hidden="1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</row>
    <row r="1260" spans="2:60" ht="15.6" hidden="1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</row>
    <row r="1261" spans="2:60" ht="15.6" hidden="1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</row>
    <row r="1262" spans="2:60" ht="15.6" hidden="1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</row>
    <row r="1263" spans="2:60" ht="15.6" hidden="1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</row>
    <row r="1264" spans="2:60" ht="15.6" hidden="1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</row>
    <row r="1265" spans="2:60" ht="15.6" hidden="1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</row>
    <row r="1266" spans="2:60" ht="15.6" hidden="1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</row>
    <row r="1267" spans="2:60" ht="15.6" hidden="1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</row>
    <row r="1268" spans="2:60" ht="15.6" hidden="1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</row>
    <row r="1269" spans="2:60" ht="15.6" hidden="1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</row>
    <row r="1270" spans="2:60" ht="15.6" hidden="1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</row>
    <row r="1271" spans="2:60" ht="15.6" hidden="1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</row>
    <row r="1272" spans="2:60" ht="15.6" hidden="1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</row>
    <row r="1273" spans="2:60" ht="15.6" hidden="1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</row>
    <row r="1274" spans="2:60" ht="15.6" hidden="1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</row>
    <row r="1275" spans="2:60" ht="15.6" hidden="1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</row>
    <row r="1276" spans="2:60" ht="15.6" hidden="1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</row>
    <row r="1277" spans="2:60" ht="15.6" hidden="1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</row>
    <row r="1278" spans="2:60" ht="15.6" hidden="1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</row>
    <row r="1279" spans="2:60" ht="15.6" hidden="1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</row>
    <row r="1280" spans="2:60" ht="15.6" hidden="1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</row>
    <row r="1281" spans="2:60" ht="15.6" hidden="1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</row>
    <row r="1282" spans="2:60" ht="15.6" hidden="1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</row>
    <row r="1283" spans="2:60" ht="15.6" hidden="1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</row>
    <row r="1284" spans="2:60" ht="15.6" hidden="1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</row>
    <row r="1285" spans="2:60" ht="15.6" hidden="1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</row>
    <row r="1286" spans="2:60" ht="15.6" hidden="1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</row>
    <row r="1287" spans="2:60" ht="15.6" hidden="1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</row>
    <row r="1288" spans="2:60" ht="15.6" hidden="1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</row>
    <row r="1289" spans="2:60" ht="15.6" hidden="1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</row>
    <row r="1290" spans="2:60" ht="15.6" hidden="1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</row>
    <row r="1291" spans="2:60" ht="15.6" hidden="1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</row>
    <row r="1292" spans="2:60" ht="15.6" hidden="1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</row>
    <row r="1293" spans="2:60" ht="15.6" hidden="1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</row>
    <row r="1294" spans="2:60" ht="15.6" hidden="1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</row>
    <row r="1295" spans="2:60" ht="15.6" hidden="1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</row>
    <row r="1296" spans="2:60" ht="15.6" hidden="1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</row>
    <row r="1297" spans="2:60" ht="15.6" hidden="1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</row>
    <row r="1298" spans="2:60" ht="15.6" hidden="1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</row>
    <row r="1299" spans="2:60" ht="15.6" hidden="1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</row>
    <row r="1300" spans="2:60" ht="15.6" hidden="1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</row>
    <row r="1301" spans="2:60" ht="15.6" hidden="1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</row>
    <row r="1302" spans="2:60" ht="15.6" hidden="1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</row>
    <row r="1303" spans="2:60" ht="15.6" hidden="1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</row>
    <row r="1304" spans="2:60" ht="15.6" hidden="1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</row>
    <row r="1305" spans="2:60" ht="15.6" hidden="1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</row>
    <row r="1306" spans="2:60" ht="15.6" hidden="1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</row>
    <row r="1307" spans="2:60" ht="15.6" hidden="1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</row>
    <row r="1308" spans="2:60" ht="15.6" hidden="1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</row>
    <row r="1309" spans="2:60" ht="15.6" hidden="1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</row>
    <row r="1310" spans="2:60" ht="15.6" hidden="1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</row>
    <row r="1311" spans="2:60" ht="15.6" hidden="1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</row>
    <row r="1312" spans="2:60" ht="15.6" hidden="1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</row>
    <row r="1313" spans="2:60" ht="15.6" hidden="1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</row>
    <row r="1314" spans="2:60" ht="15.6" hidden="1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</row>
    <row r="1315" spans="2:60" ht="15.6" hidden="1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</row>
    <row r="1316" spans="2:60" ht="15.6" hidden="1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</row>
    <row r="1317" spans="2:60" ht="15.6" hidden="1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</row>
    <row r="1318" spans="2:60" ht="15.6" hidden="1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</row>
    <row r="1319" spans="2:60" ht="15.6" hidden="1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</row>
    <row r="1320" spans="2:60" ht="15.6" hidden="1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</row>
    <row r="1321" spans="2:60" ht="15.6" hidden="1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</row>
    <row r="1322" spans="2:60" ht="15.6" hidden="1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</row>
    <row r="1323" spans="2:60" ht="15.6" hidden="1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</row>
    <row r="1324" spans="2:60" ht="15.6" hidden="1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</row>
    <row r="1325" spans="2:60" ht="15.6" hidden="1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</row>
    <row r="1326" spans="2:60" ht="15.6" hidden="1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</row>
    <row r="1327" spans="2:60" ht="15.6" hidden="1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</row>
    <row r="1328" spans="2:60" ht="15.6" hidden="1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</row>
    <row r="1329" spans="2:60" ht="15.6" hidden="1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</row>
    <row r="1330" spans="2:60" ht="15.6" hidden="1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</row>
    <row r="1331" spans="2:60" ht="15.6" hidden="1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</row>
    <row r="1332" spans="2:60" ht="15.6" hidden="1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</row>
    <row r="1333" spans="2:60" ht="15.6" hidden="1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</row>
    <row r="1334" spans="2:60" ht="15.6" hidden="1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</row>
    <row r="1335" spans="2:60" ht="15.6" hidden="1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</row>
    <row r="1336" spans="2:60" ht="15.6" hidden="1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</row>
    <row r="1337" spans="2:60" ht="15.6" hidden="1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</row>
    <row r="1338" spans="2:60" ht="15.6" hidden="1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</row>
    <row r="1339" spans="2:60" ht="15.6" hidden="1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</row>
    <row r="1340" spans="2:60" ht="15.6" hidden="1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</row>
    <row r="1341" spans="2:60" ht="15.6" hidden="1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</row>
    <row r="1342" spans="2:60" ht="15.6" hidden="1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</row>
    <row r="1343" spans="2:60" ht="15.6" hidden="1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</row>
    <row r="1344" spans="2:60" ht="15.6" hidden="1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</row>
    <row r="1345" spans="2:60" ht="15.6" hidden="1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</row>
    <row r="1346" spans="2:60" ht="15.6" hidden="1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</row>
    <row r="1347" spans="2:60" ht="15.6" hidden="1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</row>
    <row r="1348" spans="2:60" ht="15.6" hidden="1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</row>
    <row r="1349" spans="2:60" ht="15.6" hidden="1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</row>
    <row r="1350" spans="2:60" ht="15.6" hidden="1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</row>
    <row r="1351" spans="2:60" ht="15.6" hidden="1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</row>
    <row r="1352" spans="2:60" ht="15.6" hidden="1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</row>
    <row r="1353" spans="2:60" ht="15.6" hidden="1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</row>
    <row r="1354" spans="2:60" ht="15.6" hidden="1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</row>
    <row r="1355" spans="2:60" ht="15.6" hidden="1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</row>
    <row r="1356" spans="2:60" ht="15.6" hidden="1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</row>
    <row r="1357" spans="2:60" ht="15.6" hidden="1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</row>
    <row r="1358" spans="2:60" ht="15.6" hidden="1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</row>
    <row r="1359" spans="2:60" ht="15.6" hidden="1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</row>
    <row r="1360" spans="2:60" ht="15.6" hidden="1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</row>
    <row r="1361" spans="2:60" ht="15.6" hidden="1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</row>
    <row r="1362" spans="2:60" ht="15.6" hidden="1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</row>
    <row r="1363" spans="2:60" ht="15.6" hidden="1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</row>
    <row r="1364" spans="2:60" ht="15.6" hidden="1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</row>
    <row r="1365" spans="2:60" ht="15.6" hidden="1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</row>
    <row r="1366" spans="2:60" ht="15.6" hidden="1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</row>
    <row r="1367" spans="2:60" ht="15.6" hidden="1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</row>
    <row r="1368" spans="2:60" ht="15.6" hidden="1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</row>
    <row r="1369" spans="2:60" ht="15.6" hidden="1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</row>
    <row r="1370" spans="2:60" ht="15.6" hidden="1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</row>
    <row r="1371" spans="2:60" ht="15.6" hidden="1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</row>
    <row r="1372" spans="2:60" ht="15.6" hidden="1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</row>
    <row r="1373" spans="2:60" ht="15.6" hidden="1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</row>
    <row r="1374" spans="2:60" ht="15.6" hidden="1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</row>
    <row r="1375" spans="2:60" ht="15.6" hidden="1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</row>
    <row r="1376" spans="2:60" ht="15.6" hidden="1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</row>
    <row r="1377" spans="2:60" ht="15.6" hidden="1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</row>
    <row r="1378" spans="2:60" ht="15.6" hidden="1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</row>
    <row r="1379" spans="2:60" ht="15.6" hidden="1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</row>
    <row r="1380" spans="2:60" ht="15.6" hidden="1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</row>
    <row r="1381" spans="2:60" ht="15.6" hidden="1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</row>
    <row r="1382" spans="2:60" ht="15.6" hidden="1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</row>
    <row r="1383" spans="2:60" ht="15.6" hidden="1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</row>
    <row r="1384" spans="2:60" ht="15.6" hidden="1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</row>
    <row r="1385" spans="2:60" ht="15.6" hidden="1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</row>
    <row r="1386" spans="2:60" ht="15.6" hidden="1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</row>
    <row r="1387" spans="2:60" ht="15.6" hidden="1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</row>
    <row r="1388" spans="2:60" ht="15.6" hidden="1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</row>
    <row r="1389" spans="2:60" ht="15.6" hidden="1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</row>
    <row r="1390" spans="2:60" ht="15.6" hidden="1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</row>
    <row r="1391" spans="2:60" ht="15.6" hidden="1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</row>
    <row r="1392" spans="2:60" ht="15.6" hidden="1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</row>
    <row r="1393" spans="2:60" ht="15.6" hidden="1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</row>
    <row r="1394" spans="2:60" ht="15.6" hidden="1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</row>
    <row r="1395" spans="2:60" ht="15.6" hidden="1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</row>
    <row r="1396" spans="2:60" ht="15.6" hidden="1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</row>
    <row r="1397" spans="2:60" ht="15.6" hidden="1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</row>
    <row r="1398" spans="2:60" ht="15.6" hidden="1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</row>
    <row r="1399" spans="2:60" ht="15.6" hidden="1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</row>
    <row r="1400" spans="2:60" ht="15.6" hidden="1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</row>
    <row r="1401" spans="2:60" ht="15.6" hidden="1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</row>
    <row r="1402" spans="2:60" ht="15.6" hidden="1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</row>
    <row r="1403" spans="2:60" ht="15.6" hidden="1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</row>
    <row r="1404" spans="2:60" ht="15.6" hidden="1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</row>
    <row r="1405" spans="2:60" ht="15.6" hidden="1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</row>
    <row r="1406" spans="2:60" ht="15.6" hidden="1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</row>
    <row r="1407" spans="2:60" ht="15.6" hidden="1"/>
    <row r="1408" spans="2:60" ht="15.6" hidden="1"/>
    <row r="1409" ht="15.6" hidden="1"/>
    <row r="1410" ht="15.6" hidden="1"/>
    <row r="1411" ht="15.6" hidden="1"/>
    <row r="1412" ht="15.6" hidden="1"/>
    <row r="1413" ht="15.6" hidden="1"/>
    <row r="1414" ht="15.6" hidden="1"/>
    <row r="1415" ht="15.6" hidden="1"/>
    <row r="1416" ht="15.6" hidden="1"/>
    <row r="1417" ht="15.6" hidden="1"/>
    <row r="1418" ht="15.6" hidden="1"/>
    <row r="1419" ht="15.6" hidden="1"/>
    <row r="1420" ht="15.6" hidden="1"/>
    <row r="1421" ht="15.6" hidden="1"/>
    <row r="1422" ht="15.6" hidden="1"/>
    <row r="1423" ht="15.6" hidden="1"/>
    <row r="1424" ht="15.6" hidden="1"/>
    <row r="1425" ht="15.6" hidden="1"/>
    <row r="1426" ht="15.6" hidden="1"/>
    <row r="1427" ht="15.6" hidden="1"/>
    <row r="1428" ht="15.6" hidden="1"/>
    <row r="1429" ht="15.6" hidden="1"/>
    <row r="1430" ht="15.6" hidden="1"/>
    <row r="1431" ht="15.6" hidden="1"/>
    <row r="1432" ht="15.6" hidden="1"/>
    <row r="1433" ht="15.6" hidden="1"/>
    <row r="1434" ht="15.6" hidden="1"/>
    <row r="1435" ht="15.6" hidden="1"/>
    <row r="1436" ht="15.6" hidden="1"/>
    <row r="1437" ht="15.6" hidden="1"/>
    <row r="1438" ht="15.6" hidden="1"/>
    <row r="1439" ht="15.6" hidden="1"/>
    <row r="1440" ht="15.6" hidden="1"/>
    <row r="1441" ht="15.6" hidden="1"/>
    <row r="1442" ht="15.6" hidden="1"/>
    <row r="1443" ht="15.6" hidden="1"/>
    <row r="1444" ht="15.6" hidden="1"/>
    <row r="1445" ht="15.6" hidden="1"/>
    <row r="1446" ht="15.6" hidden="1"/>
    <row r="1447" ht="15.6" hidden="1"/>
    <row r="1448" ht="15.6" hidden="1"/>
    <row r="1449" ht="15.6" hidden="1"/>
    <row r="1450" ht="15.6" hidden="1"/>
    <row r="1451" ht="15.6" hidden="1"/>
    <row r="1452" ht="15.6" hidden="1"/>
    <row r="1453" ht="15.6" hidden="1"/>
    <row r="1454" ht="15.6" hidden="1"/>
    <row r="1455" ht="15.6" hidden="1"/>
    <row r="1456" ht="15.6" hidden="1"/>
    <row r="1457" ht="15.6" hidden="1"/>
    <row r="1458" ht="15.6" hidden="1"/>
    <row r="1459" ht="15.6" hidden="1"/>
    <row r="1460" ht="15.6" hidden="1"/>
    <row r="1461" ht="15.6" hidden="1"/>
    <row r="1462" ht="15.6" hidden="1"/>
    <row r="1463" ht="15.6" hidden="1"/>
    <row r="1464" ht="15.6" hidden="1"/>
    <row r="1465" ht="15.6" hidden="1"/>
    <row r="1466" ht="15.6" hidden="1"/>
    <row r="1467" ht="15.6" hidden="1"/>
    <row r="1468" ht="15.6" hidden="1"/>
    <row r="1469" ht="15.6" hidden="1"/>
    <row r="1470" ht="15.6" hidden="1"/>
    <row r="1471" ht="15.6" hidden="1"/>
    <row r="1472" ht="15.6" hidden="1"/>
    <row r="1473" ht="15.6" hidden="1"/>
    <row r="1474" ht="15.6" hidden="1"/>
    <row r="1475" ht="15.6" hidden="1"/>
    <row r="1476" ht="15.6" hidden="1"/>
    <row r="1477" ht="15.6" hidden="1"/>
    <row r="1478" ht="15.6" hidden="1"/>
    <row r="1479" ht="15.6" hidden="1"/>
    <row r="1480" ht="15.6" hidden="1"/>
    <row r="1481" ht="15.6" hidden="1"/>
    <row r="1482" ht="15.6" hidden="1"/>
    <row r="1483" ht="15.6" hidden="1"/>
    <row r="1484" ht="15.6" hidden="1"/>
    <row r="1485" ht="15.6" hidden="1"/>
    <row r="1486" ht="15.6" hidden="1"/>
    <row r="1487" ht="15.6" hidden="1"/>
    <row r="1488" ht="15.6" hidden="1"/>
    <row r="1489" ht="15.6" hidden="1"/>
    <row r="1490" ht="15.6" hidden="1"/>
    <row r="1491" ht="15.6" hidden="1"/>
    <row r="1492" ht="15.6" hidden="1"/>
    <row r="1493" ht="15.6" hidden="1"/>
    <row r="1494" ht="15.6" hidden="1"/>
    <row r="1495" ht="15.6" hidden="1"/>
    <row r="1496" ht="15.6" hidden="1"/>
    <row r="1497" ht="15.6" hidden="1"/>
    <row r="1498" ht="15.6" hidden="1"/>
    <row r="1499" ht="15.6" hidden="1"/>
    <row r="1500" ht="15.6" hidden="1"/>
    <row r="1501" ht="15.6" hidden="1"/>
    <row r="1502" ht="15.6" hidden="1"/>
    <row r="1503" ht="15.6" hidden="1"/>
    <row r="1504" ht="15.6" hidden="1"/>
    <row r="1505" ht="15.6" hidden="1"/>
    <row r="1506" ht="15.6" hidden="1"/>
    <row r="1507" ht="15.6" hidden="1"/>
    <row r="1508" ht="15.6" hidden="1"/>
    <row r="1509" ht="15.6" hidden="1"/>
    <row r="1510" ht="15.6" hidden="1"/>
    <row r="1511" ht="15.6" hidden="1"/>
    <row r="1512" ht="15.6" hidden="1"/>
    <row r="1513" ht="15.6" hidden="1"/>
    <row r="1514" ht="15.6" hidden="1"/>
    <row r="1515" ht="15.6" hidden="1"/>
    <row r="1516" ht="15.6" hidden="1"/>
    <row r="1517" ht="15.6" hidden="1"/>
    <row r="1518" ht="15.6" hidden="1"/>
    <row r="1519" ht="15.6" hidden="1"/>
    <row r="1520" ht="15.6" hidden="1"/>
    <row r="1521" ht="15.6" hidden="1"/>
    <row r="1522" ht="15.6" hidden="1"/>
    <row r="1523" ht="15.6" hidden="1"/>
    <row r="1524" ht="15.6" hidden="1"/>
    <row r="1525" ht="15.6" hidden="1"/>
    <row r="1526" ht="15.6" hidden="1"/>
    <row r="1527" ht="15.6" hidden="1"/>
    <row r="1528" ht="15.6" hidden="1"/>
    <row r="1529" ht="15.6" hidden="1"/>
    <row r="1530" ht="15.6" hidden="1"/>
    <row r="1531" ht="15.6" hidden="1"/>
    <row r="1532" ht="15.6" hidden="1"/>
    <row r="1533" ht="15.6" hidden="1"/>
    <row r="1534" ht="15.6" hidden="1"/>
    <row r="1535" ht="15.6" hidden="1"/>
    <row r="1536" ht="15.6" hidden="1"/>
    <row r="1537" ht="15.6" hidden="1"/>
    <row r="1538" ht="15.6" hidden="1"/>
    <row r="1539" ht="15.6" hidden="1"/>
    <row r="1540" ht="15.6" hidden="1"/>
    <row r="1541" ht="15.6" hidden="1"/>
    <row r="1542" ht="15.6" hidden="1"/>
    <row r="1543" ht="15.6" hidden="1"/>
    <row r="1544" ht="15.6" hidden="1"/>
    <row r="1545" ht="15.6" hidden="1"/>
    <row r="1546" ht="15.6" hidden="1"/>
    <row r="1547" ht="15.6" hidden="1"/>
    <row r="1548" ht="15.6" hidden="1"/>
    <row r="1549" ht="15.6" hidden="1"/>
    <row r="1550" ht="15.6" hidden="1"/>
    <row r="1551" ht="15.6" hidden="1"/>
    <row r="1552" ht="15.6" hidden="1"/>
    <row r="1553" ht="15.6" hidden="1"/>
    <row r="1554" ht="15.6" hidden="1"/>
    <row r="1555" ht="15.6" hidden="1"/>
    <row r="1556" ht="15.6" hidden="1"/>
    <row r="1557" ht="15.6" hidden="1"/>
    <row r="1558" ht="15.6" hidden="1"/>
    <row r="1559" ht="15.6" hidden="1"/>
    <row r="1560" ht="15.6" hidden="1"/>
    <row r="1561" ht="15.6" hidden="1"/>
    <row r="1562" ht="15.6" hidden="1"/>
    <row r="1563" ht="15.6" hidden="1"/>
    <row r="1564" ht="15.6" hidden="1"/>
    <row r="1565" ht="15.6" hidden="1"/>
    <row r="1566" ht="15.6" hidden="1"/>
    <row r="1567" ht="15.6" hidden="1"/>
    <row r="1568" ht="15.6" hidden="1"/>
    <row r="1569" ht="15.6" hidden="1"/>
    <row r="1570" ht="15.6" hidden="1"/>
    <row r="1571" ht="15.6" hidden="1"/>
    <row r="1572" ht="15.6" hidden="1"/>
    <row r="1573" ht="15.6" hidden="1"/>
    <row r="1574" ht="15.6" hidden="1"/>
    <row r="1575" ht="15.6" hidden="1"/>
    <row r="1576" ht="15.6" hidden="1"/>
    <row r="1577" ht="15.6" hidden="1"/>
    <row r="1578" ht="15.6" hidden="1"/>
    <row r="1579" ht="15.6" hidden="1"/>
    <row r="1580" ht="15.6" hidden="1"/>
    <row r="1581" ht="15.6" hidden="1"/>
    <row r="1582" ht="15.6" hidden="1"/>
    <row r="1583" ht="15.6" hidden="1"/>
    <row r="1584" ht="15.6" hidden="1"/>
    <row r="1585" ht="15.6" hidden="1"/>
    <row r="1586" ht="15.6" hidden="1"/>
    <row r="1587" ht="15.6" hidden="1"/>
    <row r="1588" ht="15.6" hidden="1"/>
    <row r="1589" ht="15.6" hidden="1"/>
    <row r="1590" ht="15.6" hidden="1"/>
    <row r="1591" ht="15.6" hidden="1"/>
    <row r="1592" ht="15.6" hidden="1"/>
    <row r="1593" ht="15.6" hidden="1"/>
    <row r="1594" ht="15.6" hidden="1"/>
    <row r="1595" ht="15.6" hidden="1"/>
    <row r="1596" ht="15.6" hidden="1"/>
    <row r="1597" ht="15.6" hidden="1"/>
    <row r="1598" ht="15.6" hidden="1"/>
    <row r="1599" ht="15.6" hidden="1"/>
    <row r="1600" ht="15.6" hidden="1"/>
    <row r="1601" ht="15.6" hidden="1"/>
    <row r="1602" ht="15.6" hidden="1"/>
    <row r="1603" ht="15.6" hidden="1"/>
    <row r="1604" ht="15.6" hidden="1"/>
    <row r="1605" ht="15.6" hidden="1"/>
    <row r="1606" ht="15.6" hidden="1"/>
    <row r="1607" ht="15.6" hidden="1"/>
    <row r="1608" ht="15.6" hidden="1"/>
    <row r="1609" ht="15.6" hidden="1"/>
    <row r="1610" ht="15.6" hidden="1"/>
    <row r="1611" ht="15.6" hidden="1"/>
    <row r="1612" ht="15.6" hidden="1"/>
    <row r="1613" ht="15.6" hidden="1"/>
    <row r="1614" ht="15.6" hidden="1"/>
    <row r="1615" ht="15.6" hidden="1"/>
    <row r="1616" ht="15.6" hidden="1"/>
    <row r="1617" ht="15.6" hidden="1"/>
    <row r="1618" ht="15.6" hidden="1"/>
    <row r="1619" ht="15.6" hidden="1"/>
    <row r="1620" ht="15.6" hidden="1"/>
    <row r="1621" ht="15.6" hidden="1"/>
    <row r="1622" ht="15.6" hidden="1"/>
    <row r="1623" ht="15.6" hidden="1"/>
    <row r="1624" ht="15.6" hidden="1"/>
    <row r="1625" ht="15.6" hidden="1"/>
    <row r="1626" ht="15.6" hidden="1"/>
    <row r="1627" ht="15.6" hidden="1"/>
    <row r="1628" ht="15.6" hidden="1"/>
    <row r="1629" ht="15.6" hidden="1"/>
    <row r="1630" ht="15.6" hidden="1"/>
    <row r="1631" ht="15.6" hidden="1"/>
    <row r="1632" ht="15.6" hidden="1"/>
    <row r="1633" ht="15.6" hidden="1"/>
    <row r="1634" ht="15.6" hidden="1"/>
    <row r="1635" ht="15.6" hidden="1"/>
    <row r="1636" ht="15.6" hidden="1"/>
    <row r="1637" ht="15.6" hidden="1"/>
    <row r="1638" ht="15.6" hidden="1"/>
    <row r="1639" ht="15.6" hidden="1"/>
    <row r="1640" ht="15.6" hidden="1"/>
    <row r="1641" ht="15.6" hidden="1"/>
    <row r="1642" ht="15.6" hidden="1"/>
    <row r="1643" ht="15.6" hidden="1"/>
    <row r="1644" ht="15.6" hidden="1"/>
    <row r="1645" ht="15.6" hidden="1"/>
    <row r="1646" ht="15.6" hidden="1"/>
    <row r="1647" ht="15.6" hidden="1"/>
    <row r="1648" ht="15.6" hidden="1"/>
    <row r="1649" ht="15.6" hidden="1"/>
    <row r="1650" ht="15.6" hidden="1"/>
    <row r="1651" ht="15.6" hidden="1"/>
    <row r="1652" ht="15.6" hidden="1"/>
    <row r="1653" ht="15.6" hidden="1"/>
    <row r="1654" ht="15.6" hidden="1"/>
    <row r="1655" ht="15.6" hidden="1"/>
    <row r="1656" ht="15.6" hidden="1"/>
    <row r="1657" ht="15.6" hidden="1"/>
    <row r="1658" ht="15.6" hidden="1"/>
    <row r="1659" ht="15.6" hidden="1"/>
    <row r="1660" ht="15.6" hidden="1"/>
    <row r="1661" ht="15.6" hidden="1"/>
    <row r="1662" ht="15.6" hidden="1"/>
    <row r="1663" ht="15.6" hidden="1"/>
    <row r="1664" ht="15.6" hidden="1"/>
    <row r="1665" ht="15.6" hidden="1"/>
    <row r="1666" ht="15.6" hidden="1"/>
    <row r="1667" ht="15.6" hidden="1"/>
    <row r="1668" ht="15.6" hidden="1"/>
    <row r="1669" ht="15.6" hidden="1"/>
    <row r="1670" ht="15.6" hidden="1"/>
    <row r="1671" ht="15.6" hidden="1"/>
    <row r="1672" ht="15.6" hidden="1"/>
    <row r="1673" ht="15.6" hidden="1"/>
    <row r="1674" ht="15.6" hidden="1"/>
    <row r="1675" ht="15.6" hidden="1"/>
    <row r="1676" ht="15.6" hidden="1"/>
    <row r="1677" ht="15.6" hidden="1"/>
    <row r="1678" ht="15.6" hidden="1"/>
    <row r="1679" ht="15.6" hidden="1"/>
    <row r="1680" ht="15.6" hidden="1"/>
    <row r="1681" ht="15.6" hidden="1"/>
    <row r="1682" ht="15.6" hidden="1"/>
    <row r="1683" ht="15.6" hidden="1"/>
    <row r="1684" ht="15.6" hidden="1"/>
    <row r="1685" ht="15.6" hidden="1"/>
    <row r="1686" ht="15.6" hidden="1"/>
    <row r="1687" ht="15.6" hidden="1"/>
    <row r="1688" ht="15.6" hidden="1"/>
    <row r="1689" ht="15.6" hidden="1"/>
    <row r="1690" ht="15.6" hidden="1"/>
    <row r="1691" ht="15.6" hidden="1"/>
    <row r="1692" ht="15.6" hidden="1"/>
    <row r="1693" ht="15.6" hidden="1"/>
    <row r="1694" ht="15.6" hidden="1"/>
    <row r="1695" ht="15.6" hidden="1"/>
    <row r="1696" ht="15.6" hidden="1"/>
    <row r="1697" ht="15.6" hidden="1"/>
    <row r="1698" ht="15.6" hidden="1"/>
    <row r="1699" ht="15.6" hidden="1"/>
    <row r="1700" ht="15.6" hidden="1"/>
    <row r="1701" ht="15.6" hidden="1"/>
    <row r="1702" ht="15.6" hidden="1"/>
    <row r="1703" ht="15.6" hidden="1"/>
    <row r="1704" ht="15.6" hidden="1"/>
    <row r="1705" ht="15.6" hidden="1"/>
    <row r="1706" ht="15.6" hidden="1"/>
    <row r="1707" ht="15.6" hidden="1"/>
    <row r="1708" ht="15.6" hidden="1"/>
    <row r="1709" ht="15.6" hidden="1"/>
    <row r="1710" ht="15.6" hidden="1"/>
    <row r="1711" ht="15.6" hidden="1"/>
    <row r="1712" ht="15.6" hidden="1"/>
    <row r="1713" ht="15.6" hidden="1"/>
    <row r="1714" ht="15.6" hidden="1"/>
    <row r="1715" ht="15.6" hidden="1"/>
    <row r="1716" ht="15.6" hidden="1"/>
    <row r="1717" ht="15.6" hidden="1"/>
    <row r="1718" ht="15.6" hidden="1"/>
    <row r="1719" ht="15.6" hidden="1"/>
    <row r="1720" ht="15.6" hidden="1"/>
    <row r="1721" ht="15.6" hidden="1"/>
    <row r="1722" ht="15.6" hidden="1"/>
    <row r="1723" ht="15.6" hidden="1"/>
    <row r="1724" ht="15.6" hidden="1"/>
    <row r="1725" ht="15.6" hidden="1"/>
    <row r="1726" ht="15.6" hidden="1"/>
    <row r="1727" ht="15.6" hidden="1"/>
    <row r="1728" ht="15.6" hidden="1"/>
    <row r="1729" ht="15.6" hidden="1"/>
    <row r="1730" ht="15.6" hidden="1"/>
    <row r="1731" ht="15.6" hidden="1"/>
    <row r="1732" ht="15.6" hidden="1"/>
    <row r="1733" ht="15.6" hidden="1"/>
    <row r="1734" ht="15.6" hidden="1"/>
    <row r="1735" ht="15.6" hidden="1"/>
    <row r="1736" ht="15.6" hidden="1"/>
    <row r="1737" ht="15.6" hidden="1"/>
    <row r="1738" ht="15.6" hidden="1"/>
    <row r="1739" ht="15.6" hidden="1"/>
    <row r="1740" ht="15.6" hidden="1"/>
    <row r="1741" ht="15.6" hidden="1"/>
    <row r="1742" ht="15.6" hidden="1"/>
    <row r="1743" ht="15.6" hidden="1"/>
    <row r="1744" ht="15.6" hidden="1"/>
    <row r="1745" ht="15.6" hidden="1"/>
    <row r="1746" ht="15.6" hidden="1"/>
    <row r="1747" ht="15.6" hidden="1"/>
    <row r="1748" ht="15.6" hidden="1"/>
    <row r="1749" ht="15.6" hidden="1"/>
    <row r="1750" ht="15.6" hidden="1"/>
    <row r="1751" ht="15.6" hidden="1"/>
    <row r="1752" ht="15.6" hidden="1"/>
    <row r="1753" ht="15.6" hidden="1"/>
    <row r="1754" ht="15.6" hidden="1"/>
    <row r="1755" ht="15.6" hidden="1"/>
    <row r="1756" ht="15.6" hidden="1"/>
    <row r="1757" ht="15.6" hidden="1"/>
    <row r="1758" ht="15.6" hidden="1"/>
    <row r="1759" ht="15.6" hidden="1"/>
    <row r="1760" ht="15.6" hidden="1"/>
    <row r="1761" ht="15.6" hidden="1"/>
    <row r="1762" ht="15.6" hidden="1"/>
    <row r="1763" ht="15.6" hidden="1"/>
    <row r="1764" ht="15.6" hidden="1"/>
    <row r="1765" ht="15.6" hidden="1"/>
    <row r="1766" ht="15.6" hidden="1"/>
    <row r="1767" ht="15.6" hidden="1"/>
    <row r="1768" ht="15.6" hidden="1"/>
    <row r="1769" ht="15.6" hidden="1"/>
    <row r="1770" ht="15.6" hidden="1"/>
    <row r="1771" ht="15.6" hidden="1"/>
    <row r="1772" ht="15.6" hidden="1"/>
    <row r="1773" ht="15.6" hidden="1"/>
    <row r="1774" ht="15.6" hidden="1"/>
    <row r="1775" ht="15.6" hidden="1"/>
    <row r="1776" ht="15.6" hidden="1"/>
    <row r="1777" ht="15.6" hidden="1"/>
    <row r="1778" ht="15.6" hidden="1"/>
    <row r="1779" ht="15.6" hidden="1"/>
    <row r="1780" ht="15.6" hidden="1"/>
    <row r="1781" ht="15.6" hidden="1"/>
    <row r="1782" ht="15.6" hidden="1"/>
    <row r="1783" ht="15.6" hidden="1"/>
    <row r="1784" ht="15.6" hidden="1"/>
    <row r="1785" ht="15.6" hidden="1"/>
    <row r="1786" ht="15.6" hidden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</sheetData>
  <autoFilter ref="B6:BG24" xr:uid="{16DA3344-C9B5-7D49-81EC-22CFB87E5D62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D4B4-573A-4E00-82C7-79C66AD7916C}">
  <sheetPr codeName="Sheet8"/>
  <dimension ref="A1:Y36"/>
  <sheetViews>
    <sheetView zoomScale="80" zoomScaleNormal="80" workbookViewId="0"/>
  </sheetViews>
  <sheetFormatPr defaultRowHeight="15.6"/>
  <cols>
    <col min="1" max="1" width="53.19921875" bestFit="1" customWidth="1"/>
    <col min="2" max="3" width="13.3984375" bestFit="1" customWidth="1"/>
    <col min="4" max="4" width="9.5" bestFit="1" customWidth="1"/>
    <col min="5" max="6" width="13.3984375" bestFit="1" customWidth="1"/>
    <col min="7" max="7" width="9.5" bestFit="1" customWidth="1"/>
    <col min="8" max="8" width="14" bestFit="1" customWidth="1"/>
    <col min="9" max="9" width="13.3984375" bestFit="1" customWidth="1"/>
    <col min="10" max="10" width="9.5" bestFit="1" customWidth="1"/>
    <col min="11" max="11" width="14" bestFit="1" customWidth="1"/>
    <col min="12" max="12" width="13.3984375" bestFit="1" customWidth="1"/>
    <col min="13" max="13" width="9.5" bestFit="1" customWidth="1"/>
    <col min="14" max="14" width="14" bestFit="1" customWidth="1"/>
    <col min="15" max="15" width="13.3984375" bestFit="1" customWidth="1"/>
    <col min="16" max="16" width="9.5" bestFit="1" customWidth="1"/>
    <col min="17" max="25" width="6.19921875" bestFit="1" customWidth="1"/>
  </cols>
  <sheetData>
    <row r="1" spans="1:25">
      <c r="A1" s="84"/>
      <c r="B1" s="149" t="s">
        <v>80</v>
      </c>
      <c r="C1" s="150"/>
      <c r="D1" s="150"/>
      <c r="E1" s="149" t="s">
        <v>81</v>
      </c>
      <c r="F1" s="150"/>
      <c r="G1" s="150"/>
      <c r="H1" s="149" t="s">
        <v>82</v>
      </c>
      <c r="I1" s="150"/>
      <c r="J1" s="150"/>
      <c r="K1" s="149" t="s">
        <v>83</v>
      </c>
      <c r="L1" s="150"/>
      <c r="M1" s="150"/>
      <c r="N1" s="149" t="s">
        <v>84</v>
      </c>
      <c r="O1" s="150"/>
      <c r="P1" s="150"/>
      <c r="Q1" s="149" t="s">
        <v>85</v>
      </c>
      <c r="R1" s="150"/>
      <c r="S1" s="150"/>
      <c r="T1" s="149" t="s">
        <v>86</v>
      </c>
      <c r="U1" s="150"/>
      <c r="V1" s="150"/>
      <c r="W1" s="149" t="s">
        <v>87</v>
      </c>
      <c r="X1" s="150"/>
      <c r="Y1" s="151"/>
    </row>
    <row r="2" spans="1:25">
      <c r="A2" s="85"/>
      <c r="B2" s="152" t="s">
        <v>340</v>
      </c>
      <c r="C2" s="153"/>
      <c r="D2" s="153"/>
      <c r="E2" s="152" t="s">
        <v>341</v>
      </c>
      <c r="F2" s="153"/>
      <c r="G2" s="153"/>
      <c r="H2" s="152" t="s">
        <v>336</v>
      </c>
      <c r="I2" s="153"/>
      <c r="J2" s="153"/>
      <c r="K2" s="152" t="s">
        <v>342</v>
      </c>
      <c r="L2" s="153"/>
      <c r="M2" s="153"/>
      <c r="N2" s="152" t="s">
        <v>266</v>
      </c>
      <c r="O2" s="153"/>
      <c r="P2" s="153"/>
      <c r="Q2" s="152" t="s">
        <v>267</v>
      </c>
      <c r="R2" s="153"/>
      <c r="S2" s="153"/>
      <c r="T2" s="152" t="s">
        <v>268</v>
      </c>
      <c r="U2" s="153"/>
      <c r="V2" s="153"/>
      <c r="W2" s="152" t="s">
        <v>269</v>
      </c>
      <c r="X2" s="153"/>
      <c r="Y2" s="154"/>
    </row>
    <row r="3" spans="1:25" ht="16.2" thickBot="1">
      <c r="A3" s="87"/>
      <c r="B3" s="97" t="s">
        <v>88</v>
      </c>
      <c r="C3" s="97" t="s">
        <v>89</v>
      </c>
      <c r="D3" s="97" t="s">
        <v>90</v>
      </c>
      <c r="E3" s="97" t="s">
        <v>88</v>
      </c>
      <c r="F3" s="97" t="s">
        <v>89</v>
      </c>
      <c r="G3" s="97" t="s">
        <v>90</v>
      </c>
      <c r="H3" s="97" t="s">
        <v>88</v>
      </c>
      <c r="I3" s="97" t="s">
        <v>89</v>
      </c>
      <c r="J3" s="97" t="s">
        <v>90</v>
      </c>
      <c r="K3" s="97" t="s">
        <v>88</v>
      </c>
      <c r="L3" s="97" t="s">
        <v>89</v>
      </c>
      <c r="M3" s="97" t="s">
        <v>90</v>
      </c>
      <c r="N3" s="97" t="s">
        <v>88</v>
      </c>
      <c r="O3" s="97" t="s">
        <v>89</v>
      </c>
      <c r="P3" s="97" t="s">
        <v>90</v>
      </c>
      <c r="Q3" s="97" t="s">
        <v>88</v>
      </c>
      <c r="R3" s="97" t="s">
        <v>89</v>
      </c>
      <c r="S3" s="97" t="s">
        <v>90</v>
      </c>
      <c r="T3" s="97" t="s">
        <v>88</v>
      </c>
      <c r="U3" s="97" t="s">
        <v>89</v>
      </c>
      <c r="V3" s="97" t="s">
        <v>90</v>
      </c>
      <c r="W3" s="97" t="s">
        <v>88</v>
      </c>
      <c r="X3" s="97" t="s">
        <v>89</v>
      </c>
      <c r="Y3" s="98" t="s">
        <v>90</v>
      </c>
    </row>
    <row r="4" spans="1:25">
      <c r="A4" s="146" t="s">
        <v>294</v>
      </c>
      <c r="Y4" s="86"/>
    </row>
    <row r="5" spans="1:25">
      <c r="A5" s="146" t="s">
        <v>91</v>
      </c>
      <c r="Y5" s="86"/>
    </row>
    <row r="6" spans="1:25">
      <c r="A6" s="85" t="s">
        <v>92</v>
      </c>
      <c r="B6" s="88">
        <v>26765.97</v>
      </c>
      <c r="C6" s="88">
        <v>0</v>
      </c>
      <c r="D6" s="89">
        <v>0</v>
      </c>
      <c r="E6" s="88">
        <v>83304.740000000005</v>
      </c>
      <c r="F6" s="88">
        <v>0</v>
      </c>
      <c r="G6" s="89">
        <v>0</v>
      </c>
      <c r="H6" s="88">
        <v>121297.78</v>
      </c>
      <c r="I6" s="88">
        <v>0</v>
      </c>
      <c r="J6" s="89">
        <v>0</v>
      </c>
      <c r="K6" s="88">
        <v>294294.53000000003</v>
      </c>
      <c r="L6" s="88">
        <v>0</v>
      </c>
      <c r="M6" s="89">
        <v>0</v>
      </c>
      <c r="N6" s="88">
        <v>0</v>
      </c>
      <c r="O6" s="88">
        <v>0</v>
      </c>
      <c r="P6" s="89">
        <v>0</v>
      </c>
      <c r="Q6" s="88">
        <v>0</v>
      </c>
      <c r="R6" s="88">
        <v>0</v>
      </c>
      <c r="S6" s="89">
        <v>0</v>
      </c>
      <c r="T6" s="88">
        <v>210989.79</v>
      </c>
      <c r="U6" s="88">
        <v>0</v>
      </c>
      <c r="V6" s="89">
        <v>0</v>
      </c>
      <c r="W6" s="88">
        <v>83304.740000000005</v>
      </c>
      <c r="X6" s="88">
        <v>0</v>
      </c>
      <c r="Y6" s="90">
        <v>0</v>
      </c>
    </row>
    <row r="7" spans="1:25">
      <c r="A7" s="85" t="s">
        <v>93</v>
      </c>
      <c r="B7" s="88">
        <v>26725.05</v>
      </c>
      <c r="C7" s="88">
        <v>0</v>
      </c>
      <c r="D7" s="89">
        <v>0</v>
      </c>
      <c r="E7" s="88">
        <v>83224.86</v>
      </c>
      <c r="F7" s="88">
        <v>0</v>
      </c>
      <c r="G7" s="89">
        <v>0</v>
      </c>
      <c r="H7" s="88">
        <v>120986.1</v>
      </c>
      <c r="I7" s="88">
        <v>0</v>
      </c>
      <c r="J7" s="89">
        <v>0</v>
      </c>
      <c r="K7" s="88">
        <v>293786.09000000003</v>
      </c>
      <c r="L7" s="88">
        <v>0</v>
      </c>
      <c r="M7" s="89">
        <v>0</v>
      </c>
      <c r="N7" s="88">
        <v>0</v>
      </c>
      <c r="O7" s="88">
        <v>0</v>
      </c>
      <c r="P7" s="89">
        <v>0</v>
      </c>
      <c r="Q7" s="88">
        <v>0</v>
      </c>
      <c r="R7" s="88">
        <v>0</v>
      </c>
      <c r="S7" s="89">
        <v>0</v>
      </c>
      <c r="T7" s="88">
        <v>210561.23</v>
      </c>
      <c r="U7" s="88">
        <v>0</v>
      </c>
      <c r="V7" s="89">
        <v>0</v>
      </c>
      <c r="W7" s="88">
        <v>83224.86</v>
      </c>
      <c r="X7" s="88">
        <v>0</v>
      </c>
      <c r="Y7" s="90">
        <v>0</v>
      </c>
    </row>
    <row r="8" spans="1:25">
      <c r="A8" s="85" t="s">
        <v>94</v>
      </c>
      <c r="B8" s="91">
        <v>687</v>
      </c>
      <c r="C8" s="91">
        <v>0</v>
      </c>
      <c r="D8" s="89">
        <v>0</v>
      </c>
      <c r="E8" s="91">
        <v>2144</v>
      </c>
      <c r="F8" s="91">
        <v>0</v>
      </c>
      <c r="G8" s="89">
        <v>0</v>
      </c>
      <c r="H8" s="91">
        <v>3132</v>
      </c>
      <c r="I8" s="91">
        <v>0</v>
      </c>
      <c r="J8" s="89">
        <v>0</v>
      </c>
      <c r="K8" s="91">
        <v>7594</v>
      </c>
      <c r="L8" s="91">
        <v>0</v>
      </c>
      <c r="M8" s="89">
        <v>0</v>
      </c>
      <c r="N8" s="91">
        <v>0</v>
      </c>
      <c r="O8" s="91">
        <v>0</v>
      </c>
      <c r="P8" s="89">
        <v>0</v>
      </c>
      <c r="Q8" s="91">
        <v>0</v>
      </c>
      <c r="R8" s="91">
        <v>0</v>
      </c>
      <c r="S8" s="89">
        <v>0</v>
      </c>
      <c r="T8" s="91">
        <v>5450</v>
      </c>
      <c r="U8" s="91">
        <v>0</v>
      </c>
      <c r="V8" s="89">
        <v>0</v>
      </c>
      <c r="W8" s="91">
        <v>2144</v>
      </c>
      <c r="X8" s="91">
        <v>0</v>
      </c>
      <c r="Y8" s="90">
        <v>0</v>
      </c>
    </row>
    <row r="9" spans="1:25">
      <c r="A9" s="85" t="s">
        <v>95</v>
      </c>
      <c r="B9" s="92">
        <v>38.96</v>
      </c>
      <c r="C9" s="92">
        <v>0</v>
      </c>
      <c r="D9" s="89">
        <v>0</v>
      </c>
      <c r="E9" s="92">
        <v>38.85</v>
      </c>
      <c r="F9" s="92">
        <v>0</v>
      </c>
      <c r="G9" s="89">
        <v>0</v>
      </c>
      <c r="H9" s="92">
        <v>38.729999999999997</v>
      </c>
      <c r="I9" s="92">
        <v>0</v>
      </c>
      <c r="J9" s="89">
        <v>0</v>
      </c>
      <c r="K9" s="92">
        <v>38.75</v>
      </c>
      <c r="L9" s="92">
        <v>0</v>
      </c>
      <c r="M9" s="89">
        <v>0</v>
      </c>
      <c r="N9" s="92">
        <v>0</v>
      </c>
      <c r="O9" s="92">
        <v>0</v>
      </c>
      <c r="P9" s="89">
        <v>0</v>
      </c>
      <c r="Q9" s="92">
        <v>0</v>
      </c>
      <c r="R9" s="92">
        <v>0</v>
      </c>
      <c r="S9" s="89">
        <v>0</v>
      </c>
      <c r="T9" s="92">
        <v>38.71</v>
      </c>
      <c r="U9" s="92">
        <v>0</v>
      </c>
      <c r="V9" s="89">
        <v>0</v>
      </c>
      <c r="W9" s="92">
        <v>38.85</v>
      </c>
      <c r="X9" s="92">
        <v>0</v>
      </c>
      <c r="Y9" s="90">
        <v>0</v>
      </c>
    </row>
    <row r="10" spans="1:25">
      <c r="A10" s="85" t="s">
        <v>270</v>
      </c>
      <c r="B10" s="88">
        <v>116.88</v>
      </c>
      <c r="C10" s="88">
        <v>0</v>
      </c>
      <c r="D10" s="89">
        <v>0</v>
      </c>
      <c r="E10" s="88">
        <v>155.84</v>
      </c>
      <c r="F10" s="88">
        <v>0</v>
      </c>
      <c r="G10" s="89">
        <v>0</v>
      </c>
      <c r="H10" s="88">
        <v>116.88</v>
      </c>
      <c r="I10" s="88">
        <v>0</v>
      </c>
      <c r="J10" s="89">
        <v>0</v>
      </c>
      <c r="K10" s="88">
        <v>272.72000000000003</v>
      </c>
      <c r="L10" s="88">
        <v>0</v>
      </c>
      <c r="M10" s="89">
        <v>0</v>
      </c>
      <c r="N10" s="88">
        <v>0</v>
      </c>
      <c r="O10" s="88">
        <v>0</v>
      </c>
      <c r="P10" s="89">
        <v>0</v>
      </c>
      <c r="Q10" s="88">
        <v>0</v>
      </c>
      <c r="R10" s="88">
        <v>0</v>
      </c>
      <c r="S10" s="89">
        <v>0</v>
      </c>
      <c r="T10" s="88">
        <v>116.88</v>
      </c>
      <c r="U10" s="88">
        <v>0</v>
      </c>
      <c r="V10" s="89">
        <v>0</v>
      </c>
      <c r="W10" s="88">
        <v>155.84</v>
      </c>
      <c r="X10" s="88">
        <v>0</v>
      </c>
      <c r="Y10" s="90">
        <v>0</v>
      </c>
    </row>
    <row r="11" spans="1:25">
      <c r="A11" s="85" t="s">
        <v>96</v>
      </c>
      <c r="B11" s="89">
        <v>4.3667389999999997E-3</v>
      </c>
      <c r="C11" s="89">
        <v>0</v>
      </c>
      <c r="D11" s="89">
        <v>0</v>
      </c>
      <c r="E11" s="89">
        <v>1.870722E-3</v>
      </c>
      <c r="F11" s="89">
        <v>0</v>
      </c>
      <c r="G11" s="89">
        <v>0</v>
      </c>
      <c r="H11" s="89">
        <v>9.63579E-4</v>
      </c>
      <c r="I11" s="89">
        <v>0</v>
      </c>
      <c r="J11" s="89">
        <v>0</v>
      </c>
      <c r="K11" s="89">
        <v>9.2669099999999999E-4</v>
      </c>
      <c r="L11" s="89">
        <v>0</v>
      </c>
      <c r="M11" s="89">
        <v>0</v>
      </c>
      <c r="N11" s="89">
        <v>0</v>
      </c>
      <c r="O11" s="89">
        <v>0</v>
      </c>
      <c r="P11" s="89">
        <v>0</v>
      </c>
      <c r="Q11" s="89">
        <v>0</v>
      </c>
      <c r="R11" s="89">
        <v>0</v>
      </c>
      <c r="S11" s="89">
        <v>0</v>
      </c>
      <c r="T11" s="89">
        <v>5.5396000000000004E-4</v>
      </c>
      <c r="U11" s="89">
        <v>0</v>
      </c>
      <c r="V11" s="89">
        <v>0</v>
      </c>
      <c r="W11" s="89">
        <v>1.870722E-3</v>
      </c>
      <c r="X11" s="89">
        <v>0</v>
      </c>
      <c r="Y11" s="90">
        <v>0</v>
      </c>
    </row>
    <row r="12" spans="1:25">
      <c r="A12" s="146" t="s">
        <v>97</v>
      </c>
      <c r="Y12" s="86"/>
    </row>
    <row r="13" spans="1:25">
      <c r="A13" s="85" t="s">
        <v>53</v>
      </c>
      <c r="B13" s="88">
        <v>617490.27428571403</v>
      </c>
      <c r="C13" s="88">
        <v>0</v>
      </c>
      <c r="D13" s="89">
        <v>0</v>
      </c>
      <c r="E13" s="88">
        <v>630968.433333333</v>
      </c>
      <c r="F13" s="88">
        <v>0</v>
      </c>
      <c r="G13" s="89">
        <v>0</v>
      </c>
      <c r="H13" s="88">
        <v>644640.16500000004</v>
      </c>
      <c r="I13" s="88">
        <v>0</v>
      </c>
      <c r="J13" s="89">
        <v>0</v>
      </c>
      <c r="K13" s="88">
        <v>448597.88361904799</v>
      </c>
      <c r="L13" s="88">
        <v>0</v>
      </c>
      <c r="M13" s="89">
        <v>0</v>
      </c>
      <c r="N13" s="88">
        <v>0</v>
      </c>
      <c r="O13" s="88">
        <v>0</v>
      </c>
      <c r="P13" s="89">
        <v>0</v>
      </c>
      <c r="Q13" s="88">
        <v>0</v>
      </c>
      <c r="R13" s="88">
        <v>0</v>
      </c>
      <c r="S13" s="89">
        <v>0</v>
      </c>
      <c r="T13" s="88">
        <v>403005.246190476</v>
      </c>
      <c r="U13" s="88">
        <v>0</v>
      </c>
      <c r="V13" s="89">
        <v>0</v>
      </c>
      <c r="W13" s="88">
        <v>630968.433333333</v>
      </c>
      <c r="X13" s="88">
        <v>0</v>
      </c>
      <c r="Y13" s="90">
        <v>0</v>
      </c>
    </row>
    <row r="14" spans="1:25">
      <c r="A14" s="85" t="s">
        <v>54</v>
      </c>
      <c r="B14" s="88">
        <v>384130.84</v>
      </c>
      <c r="C14" s="88">
        <v>0</v>
      </c>
      <c r="D14" s="89">
        <v>0</v>
      </c>
      <c r="E14" s="88">
        <v>392703.17238095199</v>
      </c>
      <c r="F14" s="88">
        <v>0</v>
      </c>
      <c r="G14" s="89">
        <v>0</v>
      </c>
      <c r="H14" s="88">
        <v>394208.19857142901</v>
      </c>
      <c r="I14" s="88">
        <v>0</v>
      </c>
      <c r="J14" s="89">
        <v>0</v>
      </c>
      <c r="K14" s="88">
        <v>273874.216761905</v>
      </c>
      <c r="L14" s="88">
        <v>0</v>
      </c>
      <c r="M14" s="89">
        <v>0</v>
      </c>
      <c r="N14" s="88">
        <v>0</v>
      </c>
      <c r="O14" s="88">
        <v>0</v>
      </c>
      <c r="P14" s="89">
        <v>0</v>
      </c>
      <c r="Q14" s="88">
        <v>0</v>
      </c>
      <c r="R14" s="88">
        <v>0</v>
      </c>
      <c r="S14" s="89">
        <v>0</v>
      </c>
      <c r="T14" s="88">
        <v>244166.97785714301</v>
      </c>
      <c r="U14" s="88">
        <v>0</v>
      </c>
      <c r="V14" s="89">
        <v>0</v>
      </c>
      <c r="W14" s="88">
        <v>392703.17238095199</v>
      </c>
      <c r="X14" s="88">
        <v>0</v>
      </c>
      <c r="Y14" s="90">
        <v>0</v>
      </c>
    </row>
    <row r="15" spans="1:25">
      <c r="A15" s="85" t="s">
        <v>52</v>
      </c>
      <c r="B15" s="88">
        <v>29121.462857143</v>
      </c>
      <c r="C15" s="88">
        <v>0</v>
      </c>
      <c r="D15" s="89">
        <v>0</v>
      </c>
      <c r="E15" s="88">
        <v>27068.16</v>
      </c>
      <c r="F15" s="88">
        <v>0</v>
      </c>
      <c r="G15" s="89">
        <v>0</v>
      </c>
      <c r="H15" s="88">
        <v>40008.244285713998</v>
      </c>
      <c r="I15" s="88">
        <v>0</v>
      </c>
      <c r="J15" s="89">
        <v>0</v>
      </c>
      <c r="K15" s="88">
        <v>92440.909142856995</v>
      </c>
      <c r="L15" s="88">
        <v>0</v>
      </c>
      <c r="M15" s="89">
        <v>0</v>
      </c>
      <c r="N15" s="88">
        <v>0</v>
      </c>
      <c r="O15" s="88">
        <v>0</v>
      </c>
      <c r="P15" s="89">
        <v>0</v>
      </c>
      <c r="Q15" s="88">
        <v>0</v>
      </c>
      <c r="R15" s="88">
        <v>0</v>
      </c>
      <c r="S15" s="89">
        <v>0</v>
      </c>
      <c r="T15" s="88">
        <v>108784.09642857101</v>
      </c>
      <c r="U15" s="88">
        <v>0</v>
      </c>
      <c r="V15" s="89">
        <v>0</v>
      </c>
      <c r="W15" s="88">
        <v>27068.16</v>
      </c>
      <c r="X15" s="88">
        <v>0</v>
      </c>
      <c r="Y15" s="90">
        <v>0</v>
      </c>
    </row>
    <row r="16" spans="1:25">
      <c r="A16" s="85" t="s">
        <v>55</v>
      </c>
      <c r="B16" s="89">
        <v>0.98888403499999999</v>
      </c>
      <c r="C16" s="89">
        <v>0</v>
      </c>
      <c r="D16" s="89">
        <v>0</v>
      </c>
      <c r="E16" s="89">
        <v>0.98896172199999999</v>
      </c>
      <c r="F16" s="89">
        <v>0</v>
      </c>
      <c r="G16" s="89">
        <v>0</v>
      </c>
      <c r="H16" s="89">
        <v>0.98595522800000002</v>
      </c>
      <c r="I16" s="89">
        <v>0</v>
      </c>
      <c r="J16" s="89">
        <v>0</v>
      </c>
      <c r="K16" s="89">
        <v>0.983014626</v>
      </c>
      <c r="L16" s="89">
        <v>0</v>
      </c>
      <c r="M16" s="89">
        <v>0</v>
      </c>
      <c r="N16" s="89">
        <v>0</v>
      </c>
      <c r="O16" s="89">
        <v>0</v>
      </c>
      <c r="P16" s="89">
        <v>0</v>
      </c>
      <c r="Q16" s="89">
        <v>0</v>
      </c>
      <c r="R16" s="89">
        <v>0</v>
      </c>
      <c r="S16" s="89">
        <v>0</v>
      </c>
      <c r="T16" s="89">
        <v>0.98031582799999994</v>
      </c>
      <c r="U16" s="89">
        <v>0</v>
      </c>
      <c r="V16" s="89">
        <v>0</v>
      </c>
      <c r="W16" s="89">
        <v>0.98896172199999999</v>
      </c>
      <c r="X16" s="89">
        <v>0</v>
      </c>
      <c r="Y16" s="90">
        <v>0</v>
      </c>
    </row>
    <row r="17" spans="1:25">
      <c r="A17" s="85" t="s">
        <v>56</v>
      </c>
      <c r="B17" s="92">
        <v>2.2564019399999999</v>
      </c>
      <c r="C17" s="92">
        <v>0</v>
      </c>
      <c r="D17" s="89">
        <v>0</v>
      </c>
      <c r="E17" s="92">
        <v>2.2959894360000002</v>
      </c>
      <c r="F17" s="92">
        <v>0</v>
      </c>
      <c r="G17" s="89">
        <v>0</v>
      </c>
      <c r="H17" s="92">
        <v>2.4611213119999999</v>
      </c>
      <c r="I17" s="92">
        <v>0</v>
      </c>
      <c r="J17" s="89">
        <v>0</v>
      </c>
      <c r="K17" s="92">
        <v>2.2854676519999999</v>
      </c>
      <c r="L17" s="92">
        <v>0</v>
      </c>
      <c r="M17" s="89">
        <v>0</v>
      </c>
      <c r="N17" s="92">
        <v>0</v>
      </c>
      <c r="O17" s="92">
        <v>0</v>
      </c>
      <c r="P17" s="89">
        <v>0</v>
      </c>
      <c r="Q17" s="92">
        <v>0</v>
      </c>
      <c r="R17" s="92">
        <v>0</v>
      </c>
      <c r="S17" s="89">
        <v>0</v>
      </c>
      <c r="T17" s="92">
        <v>2.2813548159999999</v>
      </c>
      <c r="U17" s="92">
        <v>0</v>
      </c>
      <c r="V17" s="89">
        <v>0</v>
      </c>
      <c r="W17" s="92">
        <v>2.2959894360000002</v>
      </c>
      <c r="X17" s="92">
        <v>0</v>
      </c>
      <c r="Y17" s="90">
        <v>0</v>
      </c>
    </row>
    <row r="18" spans="1:25">
      <c r="A18" s="85" t="s">
        <v>98</v>
      </c>
      <c r="B18" s="92">
        <v>2.2540119160000001</v>
      </c>
      <c r="C18" s="92">
        <v>0</v>
      </c>
      <c r="D18" s="89">
        <v>0</v>
      </c>
      <c r="E18" s="92">
        <v>2.288464464</v>
      </c>
      <c r="F18" s="92">
        <v>0</v>
      </c>
      <c r="G18" s="89">
        <v>0</v>
      </c>
      <c r="H18" s="92">
        <v>2.4461261240000001</v>
      </c>
      <c r="I18" s="92">
        <v>0</v>
      </c>
      <c r="J18" s="89">
        <v>0</v>
      </c>
      <c r="K18" s="92">
        <v>2.2742439719999998</v>
      </c>
      <c r="L18" s="92">
        <v>0</v>
      </c>
      <c r="M18" s="89">
        <v>0</v>
      </c>
      <c r="N18" s="92">
        <v>0</v>
      </c>
      <c r="O18" s="92">
        <v>0</v>
      </c>
      <c r="P18" s="89">
        <v>0</v>
      </c>
      <c r="Q18" s="92">
        <v>0</v>
      </c>
      <c r="R18" s="92">
        <v>0</v>
      </c>
      <c r="S18" s="89">
        <v>0</v>
      </c>
      <c r="T18" s="92">
        <v>2.2686778919999999</v>
      </c>
      <c r="U18" s="92">
        <v>0</v>
      </c>
      <c r="V18" s="89">
        <v>0</v>
      </c>
      <c r="W18" s="92">
        <v>2.288464464</v>
      </c>
      <c r="X18" s="92">
        <v>0</v>
      </c>
      <c r="Y18" s="90">
        <v>0</v>
      </c>
    </row>
    <row r="19" spans="1:25">
      <c r="A19" s="85" t="s">
        <v>99</v>
      </c>
      <c r="B19" s="92">
        <v>21.717346596999999</v>
      </c>
      <c r="C19" s="92">
        <v>0</v>
      </c>
      <c r="D19" s="89">
        <v>0</v>
      </c>
      <c r="E19" s="92">
        <v>21.428013028999999</v>
      </c>
      <c r="F19" s="92">
        <v>0</v>
      </c>
      <c r="G19" s="89">
        <v>0</v>
      </c>
      <c r="H19" s="92">
        <v>23.064670541000002</v>
      </c>
      <c r="I19" s="92">
        <v>0</v>
      </c>
      <c r="J19" s="89">
        <v>0</v>
      </c>
      <c r="K19" s="92">
        <v>26.984729491</v>
      </c>
      <c r="L19" s="92">
        <v>0</v>
      </c>
      <c r="M19" s="89">
        <v>0</v>
      </c>
      <c r="N19" s="92">
        <v>0</v>
      </c>
      <c r="O19" s="92">
        <v>0</v>
      </c>
      <c r="P19" s="89">
        <v>0</v>
      </c>
      <c r="Q19" s="92">
        <v>0</v>
      </c>
      <c r="R19" s="92">
        <v>0</v>
      </c>
      <c r="S19" s="89">
        <v>0</v>
      </c>
      <c r="T19" s="92">
        <v>30.626274552000002</v>
      </c>
      <c r="U19" s="92">
        <v>0</v>
      </c>
      <c r="V19" s="89">
        <v>0</v>
      </c>
      <c r="W19" s="92">
        <v>21.428013028999999</v>
      </c>
      <c r="X19" s="92">
        <v>0</v>
      </c>
      <c r="Y19" s="90">
        <v>0</v>
      </c>
    </row>
    <row r="20" spans="1:25">
      <c r="A20" s="85" t="s">
        <v>100</v>
      </c>
      <c r="B20" s="88">
        <v>16363.2</v>
      </c>
      <c r="C20" s="88">
        <v>0</v>
      </c>
      <c r="D20" s="89">
        <v>0</v>
      </c>
      <c r="E20" s="88">
        <v>52964.1</v>
      </c>
      <c r="F20" s="88">
        <v>0</v>
      </c>
      <c r="G20" s="89">
        <v>0</v>
      </c>
      <c r="H20" s="88">
        <v>117358.8</v>
      </c>
      <c r="I20" s="88">
        <v>0</v>
      </c>
      <c r="J20" s="89">
        <v>0</v>
      </c>
      <c r="K20" s="88">
        <v>907709.88</v>
      </c>
      <c r="L20" s="88">
        <v>0</v>
      </c>
      <c r="M20" s="89">
        <v>0</v>
      </c>
      <c r="N20" s="88">
        <v>0</v>
      </c>
      <c r="O20" s="88">
        <v>0</v>
      </c>
      <c r="P20" s="89">
        <v>0</v>
      </c>
      <c r="Q20" s="88">
        <v>0</v>
      </c>
      <c r="R20" s="88">
        <v>0</v>
      </c>
      <c r="S20" s="89">
        <v>0</v>
      </c>
      <c r="T20" s="88">
        <v>854745.78</v>
      </c>
      <c r="U20" s="88">
        <v>0</v>
      </c>
      <c r="V20" s="89">
        <v>0</v>
      </c>
      <c r="W20" s="88">
        <v>52964.1</v>
      </c>
      <c r="X20" s="88">
        <v>0</v>
      </c>
      <c r="Y20" s="90">
        <v>0</v>
      </c>
    </row>
    <row r="21" spans="1:25">
      <c r="A21" s="85" t="s">
        <v>101</v>
      </c>
      <c r="B21" s="88">
        <v>10215.799999999999</v>
      </c>
      <c r="C21" s="88">
        <v>0</v>
      </c>
      <c r="D21" s="89">
        <v>0</v>
      </c>
      <c r="E21" s="88">
        <v>33055.410000000003</v>
      </c>
      <c r="F21" s="88">
        <v>0</v>
      </c>
      <c r="G21" s="89">
        <v>0</v>
      </c>
      <c r="H21" s="88">
        <v>73188.91</v>
      </c>
      <c r="I21" s="88">
        <v>0</v>
      </c>
      <c r="J21" s="89">
        <v>0</v>
      </c>
      <c r="K21" s="88">
        <v>566420.82999999996</v>
      </c>
      <c r="L21" s="88">
        <v>0</v>
      </c>
      <c r="M21" s="89">
        <v>0</v>
      </c>
      <c r="N21" s="88">
        <v>0</v>
      </c>
      <c r="O21" s="88">
        <v>0</v>
      </c>
      <c r="P21" s="89">
        <v>0</v>
      </c>
      <c r="Q21" s="88">
        <v>0</v>
      </c>
      <c r="R21" s="88">
        <v>0</v>
      </c>
      <c r="S21" s="89">
        <v>0</v>
      </c>
      <c r="T21" s="88">
        <v>533365.42000000004</v>
      </c>
      <c r="U21" s="88">
        <v>0</v>
      </c>
      <c r="V21" s="89">
        <v>0</v>
      </c>
      <c r="W21" s="88">
        <v>33055.410000000003</v>
      </c>
      <c r="X21" s="88">
        <v>0</v>
      </c>
      <c r="Y21" s="90">
        <v>0</v>
      </c>
    </row>
    <row r="22" spans="1:25">
      <c r="A22" s="146" t="s">
        <v>102</v>
      </c>
      <c r="Y22" s="86"/>
    </row>
    <row r="23" spans="1:25">
      <c r="A23" s="85" t="s">
        <v>103</v>
      </c>
      <c r="B23" s="88">
        <v>14010.24</v>
      </c>
      <c r="C23" s="88">
        <v>0</v>
      </c>
      <c r="D23" s="89">
        <v>0</v>
      </c>
      <c r="E23" s="88">
        <v>44949.52</v>
      </c>
      <c r="F23" s="88">
        <v>0</v>
      </c>
      <c r="G23" s="89">
        <v>0</v>
      </c>
      <c r="H23" s="88">
        <v>145933.35999999999</v>
      </c>
      <c r="I23" s="88">
        <v>0</v>
      </c>
      <c r="J23" s="89">
        <v>0</v>
      </c>
      <c r="K23" s="88">
        <v>645319.93999999994</v>
      </c>
      <c r="L23" s="88">
        <v>0</v>
      </c>
      <c r="M23" s="89">
        <v>0</v>
      </c>
      <c r="N23" s="88">
        <v>0</v>
      </c>
      <c r="O23" s="88">
        <v>0</v>
      </c>
      <c r="P23" s="89">
        <v>0</v>
      </c>
      <c r="Q23" s="88">
        <v>0</v>
      </c>
      <c r="R23" s="88">
        <v>0</v>
      </c>
      <c r="S23" s="89">
        <v>0</v>
      </c>
      <c r="T23" s="88">
        <v>600370.42000000004</v>
      </c>
      <c r="U23" s="88">
        <v>0</v>
      </c>
      <c r="V23" s="89">
        <v>0</v>
      </c>
      <c r="W23" s="88">
        <v>44949.52</v>
      </c>
      <c r="X23" s="88">
        <v>0</v>
      </c>
      <c r="Y23" s="90">
        <v>0</v>
      </c>
    </row>
    <row r="24" spans="1:25">
      <c r="A24" s="85" t="s">
        <v>104</v>
      </c>
      <c r="B24" s="92">
        <v>0</v>
      </c>
      <c r="C24" s="92">
        <v>0</v>
      </c>
      <c r="D24" s="89">
        <v>0</v>
      </c>
      <c r="E24" s="92">
        <v>0</v>
      </c>
      <c r="F24" s="92">
        <v>0</v>
      </c>
      <c r="G24" s="89">
        <v>0</v>
      </c>
      <c r="H24" s="92">
        <v>0</v>
      </c>
      <c r="I24" s="92">
        <v>0</v>
      </c>
      <c r="J24" s="89">
        <v>0</v>
      </c>
      <c r="K24" s="92">
        <v>0</v>
      </c>
      <c r="L24" s="92">
        <v>0</v>
      </c>
      <c r="M24" s="89">
        <v>0</v>
      </c>
      <c r="N24" s="92">
        <v>0</v>
      </c>
      <c r="O24" s="92">
        <v>0</v>
      </c>
      <c r="P24" s="89">
        <v>0</v>
      </c>
      <c r="Q24" s="92">
        <v>0</v>
      </c>
      <c r="R24" s="92">
        <v>0</v>
      </c>
      <c r="S24" s="89">
        <v>0</v>
      </c>
      <c r="T24" s="92">
        <v>0</v>
      </c>
      <c r="U24" s="92">
        <v>0</v>
      </c>
      <c r="V24" s="89">
        <v>0</v>
      </c>
      <c r="W24" s="92">
        <v>0</v>
      </c>
      <c r="X24" s="92">
        <v>0</v>
      </c>
      <c r="Y24" s="90">
        <v>0</v>
      </c>
    </row>
    <row r="25" spans="1:25">
      <c r="A25" s="85" t="s">
        <v>51</v>
      </c>
      <c r="B25" s="88">
        <v>0</v>
      </c>
      <c r="C25" s="88">
        <v>0</v>
      </c>
      <c r="D25" s="89">
        <v>0</v>
      </c>
      <c r="E25" s="88">
        <v>0</v>
      </c>
      <c r="F25" s="88">
        <v>0</v>
      </c>
      <c r="G25" s="89">
        <v>0</v>
      </c>
      <c r="H25" s="88">
        <v>0</v>
      </c>
      <c r="I25" s="88">
        <v>0</v>
      </c>
      <c r="J25" s="89">
        <v>0</v>
      </c>
      <c r="K25" s="88">
        <v>0</v>
      </c>
      <c r="L25" s="88">
        <v>0</v>
      </c>
      <c r="M25" s="89">
        <v>0</v>
      </c>
      <c r="N25" s="88">
        <v>0</v>
      </c>
      <c r="O25" s="88">
        <v>0</v>
      </c>
      <c r="P25" s="89">
        <v>0</v>
      </c>
      <c r="Q25" s="88">
        <v>0</v>
      </c>
      <c r="R25" s="88">
        <v>0</v>
      </c>
      <c r="S25" s="89">
        <v>0</v>
      </c>
      <c r="T25" s="88">
        <v>0</v>
      </c>
      <c r="U25" s="88">
        <v>0</v>
      </c>
      <c r="V25" s="89">
        <v>0</v>
      </c>
      <c r="W25" s="88">
        <v>0</v>
      </c>
      <c r="X25" s="88">
        <v>0</v>
      </c>
      <c r="Y25" s="90">
        <v>0</v>
      </c>
    </row>
    <row r="26" spans="1:25">
      <c r="A26" s="85" t="s">
        <v>52</v>
      </c>
      <c r="B26" s="88">
        <v>27334.560000000001</v>
      </c>
      <c r="C26" s="88">
        <v>0</v>
      </c>
      <c r="D26" s="89">
        <v>0</v>
      </c>
      <c r="E26" s="88">
        <v>21783.48</v>
      </c>
      <c r="F26" s="88">
        <v>0</v>
      </c>
      <c r="G26" s="89">
        <v>0</v>
      </c>
      <c r="H26" s="88">
        <v>87574.8</v>
      </c>
      <c r="I26" s="88">
        <v>0</v>
      </c>
      <c r="J26" s="89">
        <v>0</v>
      </c>
      <c r="K26" s="88">
        <v>57380.961428570998</v>
      </c>
      <c r="L26" s="88">
        <v>0</v>
      </c>
      <c r="M26" s="89">
        <v>0</v>
      </c>
      <c r="N26" s="88">
        <v>0</v>
      </c>
      <c r="O26" s="88">
        <v>0</v>
      </c>
      <c r="P26" s="89">
        <v>0</v>
      </c>
      <c r="Q26" s="88">
        <v>0</v>
      </c>
      <c r="R26" s="88">
        <v>0</v>
      </c>
      <c r="S26" s="89">
        <v>0</v>
      </c>
      <c r="T26" s="88">
        <v>116887.153846154</v>
      </c>
      <c r="U26" s="88">
        <v>0</v>
      </c>
      <c r="V26" s="89">
        <v>0</v>
      </c>
      <c r="W26" s="88">
        <v>21783.48</v>
      </c>
      <c r="X26" s="88">
        <v>0</v>
      </c>
      <c r="Y26" s="90">
        <v>0</v>
      </c>
    </row>
    <row r="27" spans="1:25">
      <c r="A27" s="85" t="s">
        <v>50</v>
      </c>
      <c r="B27" s="92">
        <v>0</v>
      </c>
      <c r="C27" s="92">
        <v>0</v>
      </c>
      <c r="D27" s="89">
        <v>0</v>
      </c>
      <c r="E27" s="92">
        <v>0</v>
      </c>
      <c r="F27" s="92">
        <v>0</v>
      </c>
      <c r="G27" s="89">
        <v>0</v>
      </c>
      <c r="H27" s="92">
        <v>0</v>
      </c>
      <c r="I27" s="92">
        <v>0</v>
      </c>
      <c r="J27" s="89">
        <v>0</v>
      </c>
      <c r="K27" s="92">
        <v>0</v>
      </c>
      <c r="L27" s="92">
        <v>0</v>
      </c>
      <c r="M27" s="89">
        <v>0</v>
      </c>
      <c r="N27" s="92">
        <v>0</v>
      </c>
      <c r="O27" s="92">
        <v>0</v>
      </c>
      <c r="P27" s="89">
        <v>0</v>
      </c>
      <c r="Q27" s="92">
        <v>0</v>
      </c>
      <c r="R27" s="92">
        <v>0</v>
      </c>
      <c r="S27" s="89">
        <v>0</v>
      </c>
      <c r="T27" s="92">
        <v>0</v>
      </c>
      <c r="U27" s="92">
        <v>0</v>
      </c>
      <c r="V27" s="89">
        <v>0</v>
      </c>
      <c r="W27" s="92">
        <v>0</v>
      </c>
      <c r="X27" s="92">
        <v>0</v>
      </c>
      <c r="Y27" s="90">
        <v>0</v>
      </c>
    </row>
    <row r="28" spans="1:25">
      <c r="A28" s="146" t="s">
        <v>105</v>
      </c>
      <c r="Y28" s="86"/>
    </row>
    <row r="29" spans="1:25">
      <c r="A29" s="85" t="s">
        <v>106</v>
      </c>
      <c r="B29" s="89">
        <v>0.37568446300000002</v>
      </c>
      <c r="C29" s="89">
        <v>0</v>
      </c>
      <c r="D29" s="89">
        <v>0</v>
      </c>
      <c r="E29" s="89">
        <v>0.375890273</v>
      </c>
      <c r="F29" s="89">
        <v>0</v>
      </c>
      <c r="G29" s="89">
        <v>0</v>
      </c>
      <c r="H29" s="89">
        <v>0.37636623800000002</v>
      </c>
      <c r="I29" s="89">
        <v>0</v>
      </c>
      <c r="J29" s="89">
        <v>0</v>
      </c>
      <c r="K29" s="89">
        <v>0.375989132</v>
      </c>
      <c r="L29" s="89">
        <v>0</v>
      </c>
      <c r="M29" s="89">
        <v>0</v>
      </c>
      <c r="N29" s="89">
        <v>0</v>
      </c>
      <c r="O29" s="89">
        <v>0</v>
      </c>
      <c r="P29" s="89">
        <v>0</v>
      </c>
      <c r="Q29" s="89">
        <v>0</v>
      </c>
      <c r="R29" s="89">
        <v>0</v>
      </c>
      <c r="S29" s="89">
        <v>0</v>
      </c>
      <c r="T29" s="89">
        <v>0.375995258</v>
      </c>
      <c r="U29" s="89">
        <v>0</v>
      </c>
      <c r="V29" s="89">
        <v>0</v>
      </c>
      <c r="W29" s="89">
        <v>0.375890273</v>
      </c>
      <c r="X29" s="89">
        <v>0</v>
      </c>
      <c r="Y29" s="90">
        <v>0</v>
      </c>
    </row>
    <row r="30" spans="1:25">
      <c r="A30" s="85" t="s">
        <v>57</v>
      </c>
      <c r="B30" s="89">
        <v>0.390493955</v>
      </c>
      <c r="C30" s="89">
        <v>0</v>
      </c>
      <c r="D30" s="89">
        <v>0</v>
      </c>
      <c r="E30" s="89">
        <v>0.367471414</v>
      </c>
      <c r="F30" s="89">
        <v>0</v>
      </c>
      <c r="G30" s="89">
        <v>0</v>
      </c>
      <c r="H30" s="89">
        <v>0.35926360400000001</v>
      </c>
      <c r="I30" s="89">
        <v>0</v>
      </c>
      <c r="J30" s="89">
        <v>0</v>
      </c>
      <c r="K30" s="89">
        <v>0.36122093999999999</v>
      </c>
      <c r="L30" s="89">
        <v>0</v>
      </c>
      <c r="M30" s="89">
        <v>0</v>
      </c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89">
        <v>0</v>
      </c>
      <c r="T30" s="89">
        <v>0.35871981200000003</v>
      </c>
      <c r="U30" s="89">
        <v>0</v>
      </c>
      <c r="V30" s="89">
        <v>0</v>
      </c>
      <c r="W30" s="89">
        <v>0.367471414</v>
      </c>
      <c r="X30" s="89">
        <v>0</v>
      </c>
      <c r="Y30" s="90">
        <v>0</v>
      </c>
    </row>
    <row r="31" spans="1:25">
      <c r="A31" s="85" t="s">
        <v>58</v>
      </c>
      <c r="B31" s="89">
        <v>0.39032389299999998</v>
      </c>
      <c r="C31" s="89">
        <v>0</v>
      </c>
      <c r="D31" s="89">
        <v>0</v>
      </c>
      <c r="E31" s="89">
        <v>0.36739961300000001</v>
      </c>
      <c r="F31" s="89">
        <v>0</v>
      </c>
      <c r="G31" s="89">
        <v>0</v>
      </c>
      <c r="H31" s="89">
        <v>0.35923950199999999</v>
      </c>
      <c r="I31" s="89">
        <v>0</v>
      </c>
      <c r="J31" s="89">
        <v>0</v>
      </c>
      <c r="K31" s="89">
        <v>0.36121358399999998</v>
      </c>
      <c r="L31" s="89">
        <v>0</v>
      </c>
      <c r="M31" s="89">
        <v>0</v>
      </c>
      <c r="N31" s="89">
        <v>0</v>
      </c>
      <c r="O31" s="89">
        <v>0</v>
      </c>
      <c r="P31" s="89">
        <v>0</v>
      </c>
      <c r="Q31" s="89">
        <v>0</v>
      </c>
      <c r="R31" s="89">
        <v>0</v>
      </c>
      <c r="S31" s="89">
        <v>0</v>
      </c>
      <c r="T31" s="89">
        <v>0.35871645200000002</v>
      </c>
      <c r="U31" s="89">
        <v>0</v>
      </c>
      <c r="V31" s="89">
        <v>0</v>
      </c>
      <c r="W31" s="89">
        <v>0.36739961300000001</v>
      </c>
      <c r="X31" s="89">
        <v>0</v>
      </c>
      <c r="Y31" s="90">
        <v>0</v>
      </c>
    </row>
    <row r="32" spans="1:25">
      <c r="A32" s="85" t="s">
        <v>59</v>
      </c>
      <c r="B32" s="88">
        <v>10447.397610321001</v>
      </c>
      <c r="C32" s="88">
        <v>0</v>
      </c>
      <c r="D32" s="89">
        <v>0</v>
      </c>
      <c r="E32" s="88">
        <v>30606.129237066001</v>
      </c>
      <c r="F32" s="88">
        <v>0</v>
      </c>
      <c r="G32" s="89">
        <v>0</v>
      </c>
      <c r="H32" s="88">
        <v>43574.954080905998</v>
      </c>
      <c r="I32" s="88">
        <v>0</v>
      </c>
      <c r="J32" s="89">
        <v>0</v>
      </c>
      <c r="K32" s="88">
        <v>106303.181932896</v>
      </c>
      <c r="L32" s="88">
        <v>0</v>
      </c>
      <c r="M32" s="89">
        <v>0</v>
      </c>
      <c r="N32" s="88">
        <v>0</v>
      </c>
      <c r="O32" s="88">
        <v>0</v>
      </c>
      <c r="P32" s="89">
        <v>0</v>
      </c>
      <c r="Q32" s="88">
        <v>0</v>
      </c>
      <c r="R32" s="88">
        <v>0</v>
      </c>
      <c r="S32" s="89">
        <v>0</v>
      </c>
      <c r="T32" s="88">
        <v>75685.508877025</v>
      </c>
      <c r="U32" s="88">
        <v>0</v>
      </c>
      <c r="V32" s="89">
        <v>0</v>
      </c>
      <c r="W32" s="88">
        <v>30606.129237066001</v>
      </c>
      <c r="X32" s="88">
        <v>0</v>
      </c>
      <c r="Y32" s="90">
        <v>0</v>
      </c>
    </row>
    <row r="33" spans="1:25">
      <c r="A33" s="85" t="s">
        <v>60</v>
      </c>
      <c r="B33" s="92">
        <v>1.414886066</v>
      </c>
      <c r="C33" s="92">
        <v>0</v>
      </c>
      <c r="D33" s="89">
        <v>0</v>
      </c>
      <c r="E33" s="92">
        <v>1.351172987</v>
      </c>
      <c r="F33" s="92">
        <v>0</v>
      </c>
      <c r="G33" s="89">
        <v>0</v>
      </c>
      <c r="H33" s="92">
        <v>1.437089367</v>
      </c>
      <c r="I33" s="92">
        <v>0</v>
      </c>
      <c r="J33" s="89">
        <v>0</v>
      </c>
      <c r="K33" s="92">
        <v>1.3456002010000001</v>
      </c>
      <c r="L33" s="92">
        <v>0</v>
      </c>
      <c r="M33" s="89">
        <v>0</v>
      </c>
      <c r="N33" s="92">
        <v>0</v>
      </c>
      <c r="O33" s="92">
        <v>0</v>
      </c>
      <c r="P33" s="89">
        <v>0</v>
      </c>
      <c r="Q33" s="92">
        <v>0</v>
      </c>
      <c r="R33" s="92">
        <v>0</v>
      </c>
      <c r="S33" s="89">
        <v>0</v>
      </c>
      <c r="T33" s="92">
        <v>1.3432349180000001</v>
      </c>
      <c r="U33" s="92">
        <v>0</v>
      </c>
      <c r="V33" s="89">
        <v>0</v>
      </c>
      <c r="W33" s="92">
        <v>1.351172987</v>
      </c>
      <c r="X33" s="92">
        <v>0</v>
      </c>
      <c r="Y33" s="90">
        <v>0</v>
      </c>
    </row>
    <row r="34" spans="1:25">
      <c r="A34" s="85" t="s">
        <v>107</v>
      </c>
      <c r="B34" s="88">
        <v>-634.91999999999996</v>
      </c>
      <c r="C34" s="88">
        <v>0</v>
      </c>
      <c r="D34" s="89">
        <v>0</v>
      </c>
      <c r="E34" s="88">
        <v>1123.73</v>
      </c>
      <c r="F34" s="88">
        <v>0</v>
      </c>
      <c r="G34" s="89">
        <v>0</v>
      </c>
      <c r="H34" s="88">
        <v>3326.49</v>
      </c>
      <c r="I34" s="88">
        <v>0</v>
      </c>
      <c r="J34" s="89">
        <v>0</v>
      </c>
      <c r="K34" s="88">
        <v>6964.94</v>
      </c>
      <c r="L34" s="88">
        <v>0</v>
      </c>
      <c r="M34" s="89">
        <v>0</v>
      </c>
      <c r="N34" s="88">
        <v>0</v>
      </c>
      <c r="O34" s="88">
        <v>0</v>
      </c>
      <c r="P34" s="89">
        <v>0</v>
      </c>
      <c r="Q34" s="88">
        <v>0</v>
      </c>
      <c r="R34" s="88">
        <v>0</v>
      </c>
      <c r="S34" s="89">
        <v>0</v>
      </c>
      <c r="T34" s="88">
        <v>5841.21</v>
      </c>
      <c r="U34" s="88">
        <v>0</v>
      </c>
      <c r="V34" s="89">
        <v>0</v>
      </c>
      <c r="W34" s="88">
        <v>1123.73</v>
      </c>
      <c r="X34" s="88">
        <v>0</v>
      </c>
      <c r="Y34" s="90">
        <v>0</v>
      </c>
    </row>
    <row r="35" spans="1:25">
      <c r="A35" s="85" t="s">
        <v>108</v>
      </c>
      <c r="B35" s="89">
        <v>-2.3721164999999999E-2</v>
      </c>
      <c r="C35" s="89">
        <v>0</v>
      </c>
      <c r="D35" s="89">
        <v>0</v>
      </c>
      <c r="E35" s="89">
        <v>1.3489388E-2</v>
      </c>
      <c r="F35" s="89">
        <v>0</v>
      </c>
      <c r="G35" s="89">
        <v>0</v>
      </c>
      <c r="H35" s="89">
        <v>2.7424161999999998E-2</v>
      </c>
      <c r="I35" s="89">
        <v>0</v>
      </c>
      <c r="J35" s="89">
        <v>0</v>
      </c>
      <c r="K35" s="89">
        <v>2.3666563000000002E-2</v>
      </c>
      <c r="L35" s="89">
        <v>0</v>
      </c>
      <c r="M35" s="89">
        <v>0</v>
      </c>
      <c r="N35" s="89">
        <v>0</v>
      </c>
      <c r="O35" s="89">
        <v>0</v>
      </c>
      <c r="P35" s="89">
        <v>0</v>
      </c>
      <c r="Q35" s="89">
        <v>0</v>
      </c>
      <c r="R35" s="89">
        <v>0</v>
      </c>
      <c r="S35" s="89">
        <v>0</v>
      </c>
      <c r="T35" s="89">
        <v>2.7684799E-2</v>
      </c>
      <c r="U35" s="89">
        <v>0</v>
      </c>
      <c r="V35" s="89">
        <v>0</v>
      </c>
      <c r="W35" s="89">
        <v>1.3489388E-2</v>
      </c>
      <c r="X35" s="89">
        <v>0</v>
      </c>
      <c r="Y35" s="90">
        <v>0</v>
      </c>
    </row>
    <row r="36" spans="1:25" ht="16.2" thickBot="1">
      <c r="A36" s="87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4"/>
    </row>
  </sheetData>
  <mergeCells count="16">
    <mergeCell ref="T1:V1"/>
    <mergeCell ref="W1:Y1"/>
    <mergeCell ref="B2:D2"/>
    <mergeCell ref="E2:G2"/>
    <mergeCell ref="H2:J2"/>
    <mergeCell ref="K2:M2"/>
    <mergeCell ref="N2:P2"/>
    <mergeCell ref="Q2:S2"/>
    <mergeCell ref="T2:V2"/>
    <mergeCell ref="W2:Y2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952D-4A03-EF49-8095-AC447C5C888B}">
  <sheetPr codeName="Sheet2">
    <tabColor rgb="FFFFFF00"/>
  </sheetPr>
  <dimension ref="A1:BH2589"/>
  <sheetViews>
    <sheetView showGridLines="0" topLeftCell="A2" zoomScale="85" zoomScaleNormal="85" workbookViewId="0">
      <pane xSplit="7" ySplit="1" topLeftCell="AS3" activePane="bottomRight" state="frozen"/>
      <selection activeCell="A2" sqref="A2"/>
      <selection pane="topRight" activeCell="H2" sqref="H2"/>
      <selection pane="bottomLeft" activeCell="A3" sqref="A3"/>
      <selection pane="bottomRight" activeCell="AW3" sqref="AW3:AW20"/>
    </sheetView>
  </sheetViews>
  <sheetFormatPr defaultColWidth="22.69921875" defaultRowHeight="15" customHeight="1" zeroHeight="1"/>
  <cols>
    <col min="1" max="1" width="13" style="8" customWidth="1"/>
    <col min="2" max="2" width="17.69921875" style="8" customWidth="1"/>
    <col min="3" max="4" width="17.19921875" style="8" customWidth="1"/>
    <col min="5" max="5" width="23.69921875" style="8" customWidth="1"/>
    <col min="6" max="6" width="2.19921875" style="8" hidden="1" customWidth="1"/>
    <col min="7" max="16384" width="22.69921875" style="8"/>
  </cols>
  <sheetData>
    <row r="1" spans="1:60" ht="70.95" hidden="1" customHeight="1">
      <c r="B1" s="1" t="s">
        <v>45</v>
      </c>
      <c r="H1" s="83">
        <v>3</v>
      </c>
      <c r="I1" s="83">
        <v>4</v>
      </c>
      <c r="J1" s="83">
        <v>5</v>
      </c>
      <c r="K1" s="83">
        <v>6</v>
      </c>
      <c r="L1" s="83">
        <v>7</v>
      </c>
      <c r="M1" s="83">
        <v>8</v>
      </c>
      <c r="N1" s="83">
        <v>9</v>
      </c>
      <c r="O1" s="83">
        <v>10</v>
      </c>
      <c r="P1" s="83">
        <v>11</v>
      </c>
      <c r="Q1" s="83">
        <v>12</v>
      </c>
      <c r="R1" s="83">
        <v>13</v>
      </c>
      <c r="S1" s="83">
        <v>14</v>
      </c>
      <c r="T1" s="83">
        <v>15</v>
      </c>
      <c r="U1" s="83">
        <v>16</v>
      </c>
      <c r="V1" s="83">
        <v>17</v>
      </c>
      <c r="W1" s="83">
        <v>18</v>
      </c>
      <c r="X1" s="83">
        <v>19</v>
      </c>
      <c r="Y1" s="83">
        <v>20</v>
      </c>
      <c r="Z1" s="83">
        <v>21</v>
      </c>
      <c r="AA1" s="83">
        <v>22</v>
      </c>
      <c r="AB1" s="83">
        <v>23</v>
      </c>
      <c r="AC1" s="83">
        <v>24</v>
      </c>
      <c r="AD1" s="83">
        <v>25</v>
      </c>
      <c r="AE1" s="83">
        <v>26</v>
      </c>
      <c r="AF1" s="83">
        <v>27</v>
      </c>
      <c r="AG1" s="83">
        <v>28</v>
      </c>
      <c r="AH1" s="83">
        <v>29</v>
      </c>
      <c r="AI1" s="83">
        <v>30</v>
      </c>
      <c r="AJ1" s="83">
        <v>31</v>
      </c>
      <c r="AK1" s="83">
        <v>32</v>
      </c>
      <c r="AL1" s="83">
        <v>33</v>
      </c>
      <c r="AM1" s="83">
        <v>34</v>
      </c>
      <c r="AN1" s="83">
        <v>35</v>
      </c>
      <c r="AO1" s="83">
        <v>36</v>
      </c>
      <c r="AP1" s="83">
        <v>37</v>
      </c>
      <c r="AQ1" s="83">
        <v>38</v>
      </c>
      <c r="AR1" s="83">
        <v>39</v>
      </c>
      <c r="AS1" s="83">
        <v>40</v>
      </c>
      <c r="AT1" s="83">
        <v>41</v>
      </c>
      <c r="AU1" s="83">
        <v>42</v>
      </c>
      <c r="AV1" s="83">
        <v>43</v>
      </c>
      <c r="AW1" s="83">
        <v>44</v>
      </c>
      <c r="AX1" s="83">
        <v>45</v>
      </c>
      <c r="AY1" s="83">
        <v>46</v>
      </c>
      <c r="AZ1" s="83">
        <v>47</v>
      </c>
      <c r="BA1" s="83">
        <v>48</v>
      </c>
      <c r="BB1" s="83">
        <v>49</v>
      </c>
      <c r="BC1" s="83">
        <v>50</v>
      </c>
      <c r="BD1" s="83">
        <v>51</v>
      </c>
      <c r="BE1" s="83">
        <v>52</v>
      </c>
      <c r="BF1" s="83">
        <v>53</v>
      </c>
      <c r="BG1" s="83">
        <v>54</v>
      </c>
    </row>
    <row r="2" spans="1:60" s="30" customFormat="1" ht="28.95" customHeight="1">
      <c r="A2" s="10"/>
      <c r="B2" s="41" t="s">
        <v>47</v>
      </c>
      <c r="C2" s="42" t="s">
        <v>3</v>
      </c>
      <c r="D2" s="42" t="s">
        <v>1</v>
      </c>
      <c r="E2" s="42" t="s">
        <v>2</v>
      </c>
      <c r="F2" s="42" t="s">
        <v>61</v>
      </c>
      <c r="G2" s="43" t="s">
        <v>46</v>
      </c>
      <c r="H2" s="44">
        <v>202501</v>
      </c>
      <c r="I2" s="44">
        <v>202502</v>
      </c>
      <c r="J2" s="44">
        <v>202503</v>
      </c>
      <c r="K2" s="44">
        <v>202504</v>
      </c>
      <c r="L2" s="44">
        <v>202505</v>
      </c>
      <c r="M2" s="44">
        <v>202506</v>
      </c>
      <c r="N2" s="44">
        <v>202507</v>
      </c>
      <c r="O2" s="44">
        <v>202508</v>
      </c>
      <c r="P2" s="44">
        <v>202509</v>
      </c>
      <c r="Q2" s="44">
        <v>202510</v>
      </c>
      <c r="R2" s="44">
        <v>202511</v>
      </c>
      <c r="S2" s="44">
        <v>202512</v>
      </c>
      <c r="T2" s="44">
        <v>202513</v>
      </c>
      <c r="U2" s="44">
        <v>202514</v>
      </c>
      <c r="V2" s="44">
        <v>202515</v>
      </c>
      <c r="W2" s="44">
        <v>202516</v>
      </c>
      <c r="X2" s="44">
        <v>202517</v>
      </c>
      <c r="Y2" s="44">
        <v>202518</v>
      </c>
      <c r="Z2" s="44">
        <v>202519</v>
      </c>
      <c r="AA2" s="44">
        <v>202520</v>
      </c>
      <c r="AB2" s="44">
        <v>202521</v>
      </c>
      <c r="AC2" s="44">
        <v>202522</v>
      </c>
      <c r="AD2" s="44">
        <v>202523</v>
      </c>
      <c r="AE2" s="44">
        <v>202524</v>
      </c>
      <c r="AF2" s="44">
        <v>202525</v>
      </c>
      <c r="AG2" s="44">
        <v>202526</v>
      </c>
      <c r="AH2" s="44">
        <v>202527</v>
      </c>
      <c r="AI2" s="44">
        <v>202528</v>
      </c>
      <c r="AJ2" s="44">
        <v>202529</v>
      </c>
      <c r="AK2" s="44">
        <v>202530</v>
      </c>
      <c r="AL2" s="44">
        <v>202531</v>
      </c>
      <c r="AM2" s="44">
        <v>202532</v>
      </c>
      <c r="AN2" s="44">
        <v>202533</v>
      </c>
      <c r="AO2" s="44">
        <v>202534</v>
      </c>
      <c r="AP2" s="44">
        <v>202535</v>
      </c>
      <c r="AQ2" s="44">
        <v>202536</v>
      </c>
      <c r="AR2" s="44">
        <v>202537</v>
      </c>
      <c r="AS2" s="44">
        <v>202538</v>
      </c>
      <c r="AT2" s="44">
        <v>202539</v>
      </c>
      <c r="AU2" s="44">
        <v>202540</v>
      </c>
      <c r="AV2" s="44">
        <v>202541</v>
      </c>
      <c r="AW2" s="44">
        <v>202542</v>
      </c>
      <c r="AX2" s="44">
        <v>202543</v>
      </c>
      <c r="AY2" s="44">
        <v>202544</v>
      </c>
      <c r="AZ2" s="44">
        <v>202545</v>
      </c>
      <c r="BA2" s="44">
        <v>202546</v>
      </c>
      <c r="BB2" s="44">
        <v>202547</v>
      </c>
      <c r="BC2" s="44">
        <v>202548</v>
      </c>
      <c r="BD2" s="44">
        <v>202549</v>
      </c>
      <c r="BE2" s="44">
        <v>202550</v>
      </c>
      <c r="BF2" s="44">
        <v>202551</v>
      </c>
      <c r="BG2" s="44">
        <v>202552</v>
      </c>
      <c r="BH2" s="29"/>
    </row>
    <row r="3" spans="1:60" ht="15.6">
      <c r="A3" s="50" t="str">
        <f t="shared" ref="A3:A20" si="0">CONCATENATE(D3,G3)</f>
        <v>677410826pos_sales_this_year</v>
      </c>
      <c r="B3" s="62">
        <v>2</v>
      </c>
      <c r="C3" s="62" t="s">
        <v>296</v>
      </c>
      <c r="D3" s="62">
        <v>677410826</v>
      </c>
      <c r="E3" s="62" t="s">
        <v>295</v>
      </c>
      <c r="F3" s="45" t="s">
        <v>66</v>
      </c>
      <c r="G3" s="36" t="s">
        <v>276</v>
      </c>
      <c r="H3" s="37">
        <f>VLOOKUP($A3,'Last Week Data'!$E:$BF,H$1,0)</f>
        <v>0</v>
      </c>
      <c r="I3" s="37">
        <f>VLOOKUP($A3,'Last Week Data'!$E:$BF,I$1,0)</f>
        <v>0</v>
      </c>
      <c r="J3" s="37">
        <f>VLOOKUP($A3,'Last Week Data'!$E:$BF,J$1,0)</f>
        <v>0</v>
      </c>
      <c r="K3" s="37">
        <f>VLOOKUP($A3,'Last Week Data'!$E:$BF,K$1,0)</f>
        <v>0</v>
      </c>
      <c r="L3" s="37">
        <f>VLOOKUP($A3,'Last Week Data'!$E:$BF,L$1,0)</f>
        <v>0</v>
      </c>
      <c r="M3" s="37">
        <f>VLOOKUP($A3,'Last Week Data'!$E:$BF,M$1,0)</f>
        <v>0</v>
      </c>
      <c r="N3" s="37">
        <f>VLOOKUP($A3,'Last Week Data'!$E:$BF,N$1,0)</f>
        <v>0</v>
      </c>
      <c r="O3" s="37">
        <f>VLOOKUP($A3,'Last Week Data'!$E:$BF,O$1,0)</f>
        <v>0</v>
      </c>
      <c r="P3" s="37">
        <f>VLOOKUP($A3,'Last Week Data'!$E:$BF,P$1,0)</f>
        <v>0</v>
      </c>
      <c r="Q3" s="37">
        <f>VLOOKUP($A3,'Last Week Data'!$E:$BF,Q$1,0)</f>
        <v>0</v>
      </c>
      <c r="R3" s="37">
        <f>VLOOKUP($A3,'Last Week Data'!$E:$BF,R$1,0)</f>
        <v>0</v>
      </c>
      <c r="S3" s="37">
        <f>VLOOKUP($A3,'Last Week Data'!$E:$BF,S$1,0)</f>
        <v>0</v>
      </c>
      <c r="T3" s="37">
        <f>VLOOKUP($A3,'Last Week Data'!$E:$BF,T$1,0)</f>
        <v>0</v>
      </c>
      <c r="U3" s="37">
        <f>VLOOKUP($A3,'Last Week Data'!$E:$BF,U$1,0)</f>
        <v>0</v>
      </c>
      <c r="V3" s="37">
        <f>VLOOKUP($A3,'Last Week Data'!$E:$BF,V$1,0)</f>
        <v>0</v>
      </c>
      <c r="W3" s="37">
        <f>VLOOKUP($A3,'Last Week Data'!$E:$BF,W$1,0)</f>
        <v>0</v>
      </c>
      <c r="X3" s="37">
        <f>VLOOKUP($A3,'Last Week Data'!$E:$BF,X$1,0)</f>
        <v>0</v>
      </c>
      <c r="Y3" s="37">
        <f>VLOOKUP($A3,'Last Week Data'!$E:$BF,Y$1,0)</f>
        <v>0</v>
      </c>
      <c r="Z3" s="37">
        <f>VLOOKUP($A3,'Last Week Data'!$E:$BF,Z$1,0)</f>
        <v>0</v>
      </c>
      <c r="AA3" s="37">
        <f>VLOOKUP($A3,'Last Week Data'!$E:$BF,AA$1,0)</f>
        <v>0</v>
      </c>
      <c r="AB3" s="37">
        <f>VLOOKUP($A3,'Last Week Data'!$E:$BF,AB$1,0)</f>
        <v>0</v>
      </c>
      <c r="AC3" s="37">
        <f>VLOOKUP($A3,'Last Week Data'!$E:$BF,AC$1,0)</f>
        <v>0</v>
      </c>
      <c r="AD3" s="37">
        <f>VLOOKUP($A3,'Last Week Data'!$E:$BF,AD$1,0)</f>
        <v>0</v>
      </c>
      <c r="AE3" s="37">
        <f>VLOOKUP($A3,'Last Week Data'!$E:$BF,AE$1,0)</f>
        <v>0</v>
      </c>
      <c r="AF3" s="37">
        <f>VLOOKUP($A3,'Last Week Data'!$E:$BF,AF$1,0)</f>
        <v>0</v>
      </c>
      <c r="AG3" s="37">
        <f>VLOOKUP($A3,'Last Week Data'!$E:$BF,AG$1,0)</f>
        <v>0</v>
      </c>
      <c r="AH3" s="37">
        <f>VLOOKUP($A3,'Last Week Data'!$E:$BF,AH$1,0)</f>
        <v>0</v>
      </c>
      <c r="AI3" s="37">
        <f>VLOOKUP($A3,'Last Week Data'!$E:$BF,AI$1,0)</f>
        <v>0</v>
      </c>
      <c r="AJ3" s="37">
        <f>VLOOKUP($A3,'Last Week Data'!$E:$BF,AJ$1,0)</f>
        <v>0</v>
      </c>
      <c r="AK3" s="37">
        <f>VLOOKUP($A3,'Last Week Data'!$E:$BF,AK$1,0)</f>
        <v>0</v>
      </c>
      <c r="AL3" s="37">
        <f>VLOOKUP($A3,'Last Week Data'!$E:$BF,AL$1,0)</f>
        <v>1201.8</v>
      </c>
      <c r="AM3" s="37">
        <f>VLOOKUP($A3,'Last Week Data'!$E:$BF,AM$1,0)</f>
        <v>4479.4399999999996</v>
      </c>
      <c r="AN3" s="37">
        <f>VLOOKUP($A3,'Last Week Data'!$E:$BF,AN$1,0)</f>
        <v>13158.52</v>
      </c>
      <c r="AO3" s="37">
        <f>VLOOKUP($A3,'Last Week Data'!$E:$BF,AO$1,0)</f>
        <v>16305.82</v>
      </c>
      <c r="AP3" s="37">
        <f>VLOOKUP($A3,'Last Week Data'!$E:$BF,AP$1,0)</f>
        <v>21142.82</v>
      </c>
      <c r="AQ3" s="37">
        <f>VLOOKUP($A3,'Last Week Data'!$E:$BF,AQ$1,0)</f>
        <v>19385.12</v>
      </c>
      <c r="AR3" s="37">
        <f>VLOOKUP($A3,'Last Week Data'!$E:$BF,AR$1,0)</f>
        <v>21669.02</v>
      </c>
      <c r="AS3" s="37">
        <f>VLOOKUP($A3,'Last Week Data'!$E:$BF,AS$1,0)</f>
        <v>19839.36</v>
      </c>
      <c r="AT3" s="37">
        <f>VLOOKUP($A3,'Last Week Data'!$E:$BF,AT$1,0)</f>
        <v>19075.03</v>
      </c>
      <c r="AU3" s="37">
        <f>VLOOKUP($A3,'Last Week Data'!$E:$BF,AU$1,0)</f>
        <v>18340.68</v>
      </c>
      <c r="AV3" s="37">
        <f>VLOOKUP($A3,'Last Week Data'!$E:$BF,AV$1,0)</f>
        <v>17270.02</v>
      </c>
      <c r="AW3" s="37">
        <f>VLOOKUP($A3,'Last Week Data'!$E:$BF,AW$1,0)</f>
        <v>18722.27</v>
      </c>
      <c r="AX3" s="37">
        <f>VLOOKUP($A3,'Last Week Data'!$E:$BF,AX$1,0)</f>
        <v>0</v>
      </c>
      <c r="AY3" s="37">
        <f>VLOOKUP($A3,'Last Week Data'!$E:$BF,AY$1,0)</f>
        <v>0</v>
      </c>
      <c r="AZ3" s="37">
        <f>VLOOKUP($A3,'Last Week Data'!$E:$BF,AZ$1,0)</f>
        <v>0</v>
      </c>
      <c r="BA3" s="37">
        <f>VLOOKUP($A3,'Last Week Data'!$E:$BF,BA$1,0)</f>
        <v>0</v>
      </c>
      <c r="BB3" s="37">
        <f>VLOOKUP($A3,'Last Week Data'!$E:$BF,BB$1,0)</f>
        <v>0</v>
      </c>
      <c r="BC3" s="37">
        <f>VLOOKUP($A3,'Last Week Data'!$E:$BF,BC$1,0)</f>
        <v>0</v>
      </c>
      <c r="BD3" s="37">
        <f>VLOOKUP($A3,'Last Week Data'!$E:$BF,BD$1,0)</f>
        <v>0</v>
      </c>
      <c r="BE3" s="37">
        <f>VLOOKUP($A3,'Last Week Data'!$E:$BF,BE$1,0)</f>
        <v>0</v>
      </c>
      <c r="BF3" s="37">
        <f>VLOOKUP($A3,'Last Week Data'!$E:$BF,BF$1,0)</f>
        <v>0</v>
      </c>
      <c r="BG3" s="37">
        <f>VLOOKUP($A3,'Last Week Data'!$E:$BF,BG$1,0)</f>
        <v>0</v>
      </c>
      <c r="BH3"/>
    </row>
    <row r="4" spans="1:60" ht="15.6">
      <c r="A4" s="50" t="str">
        <f t="shared" si="0"/>
        <v>677410826pos_quantity_this_year</v>
      </c>
      <c r="B4" s="60">
        <v>2</v>
      </c>
      <c r="C4" s="60" t="s">
        <v>296</v>
      </c>
      <c r="D4" s="60">
        <v>677410826</v>
      </c>
      <c r="E4" s="60" t="s">
        <v>295</v>
      </c>
      <c r="F4" s="46" t="s">
        <v>67</v>
      </c>
      <c r="G4" s="38" t="s">
        <v>277</v>
      </c>
      <c r="H4" s="49">
        <f>VLOOKUP($A4,'Last Week Data'!$E$3:$BF$17924,H$1,0)</f>
        <v>0</v>
      </c>
      <c r="I4" s="49">
        <f>VLOOKUP($A4,'Last Week Data'!$E$3:$BF$17924,I$1,0)</f>
        <v>0</v>
      </c>
      <c r="J4" s="49">
        <f>VLOOKUP($A4,'Last Week Data'!$E$3:$BF$17924,J$1,0)</f>
        <v>0</v>
      </c>
      <c r="K4" s="49">
        <f>VLOOKUP($A4,'Last Week Data'!$E$3:$BF$17924,K$1,0)</f>
        <v>0</v>
      </c>
      <c r="L4" s="49">
        <f>VLOOKUP($A4,'Last Week Data'!$E$3:$BF$17924,L$1,0)</f>
        <v>0</v>
      </c>
      <c r="M4" s="49">
        <f>VLOOKUP($A4,'Last Week Data'!$E$3:$BF$17924,M$1,0)</f>
        <v>0</v>
      </c>
      <c r="N4" s="49">
        <f>VLOOKUP($A4,'Last Week Data'!$E$3:$BF$17924,N$1,0)</f>
        <v>0</v>
      </c>
      <c r="O4" s="49">
        <f>VLOOKUP($A4,'Last Week Data'!$E$3:$BF$17924,O$1,0)</f>
        <v>0</v>
      </c>
      <c r="P4" s="49">
        <f>VLOOKUP($A4,'Last Week Data'!$E$3:$BF$17924,P$1,0)</f>
        <v>0</v>
      </c>
      <c r="Q4" s="49">
        <f>VLOOKUP($A4,'Last Week Data'!$E$3:$BF$17924,Q$1,0)</f>
        <v>0</v>
      </c>
      <c r="R4" s="49">
        <f>VLOOKUP($A4,'Last Week Data'!$E$3:$BF$17924,R$1,0)</f>
        <v>0</v>
      </c>
      <c r="S4" s="49">
        <f>VLOOKUP($A4,'Last Week Data'!$E$3:$BF$17924,S$1,0)</f>
        <v>0</v>
      </c>
      <c r="T4" s="49">
        <f>VLOOKUP($A4,'Last Week Data'!$E$3:$BF$17924,T$1,0)</f>
        <v>0</v>
      </c>
      <c r="U4" s="49">
        <f>VLOOKUP($A4,'Last Week Data'!$E$3:$BF$17924,U$1,0)</f>
        <v>0</v>
      </c>
      <c r="V4" s="49">
        <f>VLOOKUP($A4,'Last Week Data'!$E$3:$BF$17924,V$1,0)</f>
        <v>0</v>
      </c>
      <c r="W4" s="49">
        <f>VLOOKUP($A4,'Last Week Data'!$E$3:$BF$17924,W$1,0)</f>
        <v>0</v>
      </c>
      <c r="X4" s="49">
        <f>VLOOKUP($A4,'Last Week Data'!$E$3:$BF$17924,X$1,0)</f>
        <v>0</v>
      </c>
      <c r="Y4" s="49">
        <f>VLOOKUP($A4,'Last Week Data'!$E$3:$BF$17924,Y$1,0)</f>
        <v>0</v>
      </c>
      <c r="Z4" s="49">
        <f>VLOOKUP($A4,'Last Week Data'!$E$3:$BF$17924,Z$1,0)</f>
        <v>0</v>
      </c>
      <c r="AA4" s="49">
        <f>VLOOKUP($A4,'Last Week Data'!$E$3:$BF$17924,AA$1,0)</f>
        <v>0</v>
      </c>
      <c r="AB4" s="49">
        <f>VLOOKUP($A4,'Last Week Data'!$E$3:$BF$17924,AB$1,0)</f>
        <v>0</v>
      </c>
      <c r="AC4" s="49">
        <f>VLOOKUP($A4,'Last Week Data'!$E$3:$BF$17924,AC$1,0)</f>
        <v>0</v>
      </c>
      <c r="AD4" s="49">
        <f>VLOOKUP($A4,'Last Week Data'!$E$3:$BF$17924,AD$1,0)</f>
        <v>0</v>
      </c>
      <c r="AE4" s="49">
        <f>VLOOKUP($A4,'Last Week Data'!$E$3:$BF$17924,AE$1,0)</f>
        <v>0</v>
      </c>
      <c r="AF4" s="49">
        <f>VLOOKUP($A4,'Last Week Data'!$E$3:$BF$17924,AF$1,0)</f>
        <v>0</v>
      </c>
      <c r="AG4" s="49">
        <f>VLOOKUP($A4,'Last Week Data'!$E$3:$BF$17924,AG$1,0)</f>
        <v>0</v>
      </c>
      <c r="AH4" s="49">
        <f>VLOOKUP($A4,'Last Week Data'!$E$3:$BF$17924,AH$1,0)</f>
        <v>0</v>
      </c>
      <c r="AI4" s="49">
        <f>VLOOKUP($A4,'Last Week Data'!$E$3:$BF$17924,AI$1,0)</f>
        <v>0</v>
      </c>
      <c r="AJ4" s="49">
        <f>VLOOKUP($A4,'Last Week Data'!$E$3:$BF$17924,AJ$1,0)</f>
        <v>0</v>
      </c>
      <c r="AK4" s="49">
        <f>VLOOKUP($A4,'Last Week Data'!$E$3:$BF$17924,AK$1,0)</f>
        <v>0</v>
      </c>
      <c r="AL4" s="49">
        <f>VLOOKUP($A4,'Last Week Data'!$E$3:$BF$17924,AL$1,0)</f>
        <v>34</v>
      </c>
      <c r="AM4" s="49">
        <f>VLOOKUP($A4,'Last Week Data'!$E$3:$BF$17924,AM$1,0)</f>
        <v>118</v>
      </c>
      <c r="AN4" s="49">
        <f>VLOOKUP($A4,'Last Week Data'!$E$3:$BF$17924,AN$1,0)</f>
        <v>341</v>
      </c>
      <c r="AO4" s="49">
        <f>VLOOKUP($A4,'Last Week Data'!$E$3:$BF$17924,AO$1,0)</f>
        <v>419</v>
      </c>
      <c r="AP4" s="49">
        <f>VLOOKUP($A4,'Last Week Data'!$E$3:$BF$17924,AP$1,0)</f>
        <v>543</v>
      </c>
      <c r="AQ4" s="49">
        <f>VLOOKUP($A4,'Last Week Data'!$E$3:$BF$17924,AQ$1,0)</f>
        <v>499</v>
      </c>
      <c r="AR4" s="49">
        <f>VLOOKUP($A4,'Last Week Data'!$E$3:$BF$17924,AR$1,0)</f>
        <v>557</v>
      </c>
      <c r="AS4" s="49">
        <f>VLOOKUP($A4,'Last Week Data'!$E$3:$BF$17924,AS$1,0)</f>
        <v>516</v>
      </c>
      <c r="AT4" s="49">
        <f>VLOOKUP($A4,'Last Week Data'!$E$3:$BF$17924,AT$1,0)</f>
        <v>491</v>
      </c>
      <c r="AU4" s="49">
        <f>VLOOKUP($A4,'Last Week Data'!$E$3:$BF$17924,AU$1,0)</f>
        <v>473</v>
      </c>
      <c r="AV4" s="49">
        <f>VLOOKUP($A4,'Last Week Data'!$E$3:$BF$17924,AV$1,0)</f>
        <v>445</v>
      </c>
      <c r="AW4" s="49">
        <f>VLOOKUP($A4,'Last Week Data'!$E$3:$BF$17924,AW$1,0)</f>
        <v>481</v>
      </c>
      <c r="AX4" s="49">
        <f>VLOOKUP($A4,'Last Week Data'!$E$3:$BF$17924,AX$1,0)</f>
        <v>0</v>
      </c>
      <c r="AY4" s="49">
        <f>VLOOKUP($A4,'Last Week Data'!$E$3:$BF$17924,AY$1,0)</f>
        <v>0</v>
      </c>
      <c r="AZ4" s="49">
        <f>VLOOKUP($A4,'Last Week Data'!$E$3:$BF$17924,AZ$1,0)</f>
        <v>0</v>
      </c>
      <c r="BA4" s="49">
        <f>VLOOKUP($A4,'Last Week Data'!$E$3:$BF$17924,BA$1,0)</f>
        <v>0</v>
      </c>
      <c r="BB4" s="49">
        <f>VLOOKUP($A4,'Last Week Data'!$E$3:$BF$17924,BB$1,0)</f>
        <v>0</v>
      </c>
      <c r="BC4" s="49">
        <f>VLOOKUP($A4,'Last Week Data'!$E$3:$BF$17924,BC$1,0)</f>
        <v>0</v>
      </c>
      <c r="BD4" s="49">
        <f>VLOOKUP($A4,'Last Week Data'!$E$3:$BF$17924,BD$1,0)</f>
        <v>0</v>
      </c>
      <c r="BE4" s="49">
        <f>VLOOKUP($A4,'Last Week Data'!$E$3:$BF$17924,BE$1,0)</f>
        <v>0</v>
      </c>
      <c r="BF4" s="49">
        <f>VLOOKUP($A4,'Last Week Data'!$E$3:$BF$17924,BF$1,0)</f>
        <v>0</v>
      </c>
      <c r="BG4" s="49">
        <f>VLOOKUP($A4,'Last Week Data'!$E$3:$BF$17924,BG$1,0)</f>
        <v>0</v>
      </c>
      <c r="BH4"/>
    </row>
    <row r="5" spans="1:60" ht="15.6">
      <c r="A5" s="50" t="str">
        <f t="shared" si="0"/>
        <v>677410826POS Qty if Instock</v>
      </c>
      <c r="B5" s="60">
        <v>2</v>
      </c>
      <c r="C5" s="60" t="s">
        <v>296</v>
      </c>
      <c r="D5" s="60">
        <v>677410826</v>
      </c>
      <c r="E5" s="60" t="s">
        <v>295</v>
      </c>
      <c r="F5" s="46" t="s">
        <v>75</v>
      </c>
      <c r="G5" s="31" t="s">
        <v>72</v>
      </c>
      <c r="H5" s="39">
        <f t="shared" ref="H5" si="1">((1-H9)*H4)+H4</f>
        <v>0</v>
      </c>
      <c r="I5" s="39">
        <f t="shared" ref="I5:BG5" si="2">((1-I9)*I4)+I4</f>
        <v>0</v>
      </c>
      <c r="J5" s="39">
        <f t="shared" si="2"/>
        <v>0</v>
      </c>
      <c r="K5" s="39">
        <f t="shared" si="2"/>
        <v>0</v>
      </c>
      <c r="L5" s="39">
        <f t="shared" si="2"/>
        <v>0</v>
      </c>
      <c r="M5" s="39">
        <f t="shared" si="2"/>
        <v>0</v>
      </c>
      <c r="N5" s="39">
        <f t="shared" si="2"/>
        <v>0</v>
      </c>
      <c r="O5" s="39">
        <f t="shared" si="2"/>
        <v>0</v>
      </c>
      <c r="P5" s="39">
        <f t="shared" si="2"/>
        <v>0</v>
      </c>
      <c r="Q5" s="39">
        <f t="shared" si="2"/>
        <v>0</v>
      </c>
      <c r="R5" s="39">
        <f t="shared" si="2"/>
        <v>0</v>
      </c>
      <c r="S5" s="39">
        <f t="shared" si="2"/>
        <v>0</v>
      </c>
      <c r="T5" s="39">
        <f t="shared" si="2"/>
        <v>0</v>
      </c>
      <c r="U5" s="39">
        <f t="shared" si="2"/>
        <v>0</v>
      </c>
      <c r="V5" s="39">
        <f t="shared" si="2"/>
        <v>0</v>
      </c>
      <c r="W5" s="39">
        <f t="shared" si="2"/>
        <v>0</v>
      </c>
      <c r="X5" s="39">
        <f t="shared" si="2"/>
        <v>0</v>
      </c>
      <c r="Y5" s="39">
        <f t="shared" si="2"/>
        <v>0</v>
      </c>
      <c r="Z5" s="39">
        <f t="shared" si="2"/>
        <v>0</v>
      </c>
      <c r="AA5" s="39">
        <f t="shared" si="2"/>
        <v>0</v>
      </c>
      <c r="AB5" s="39">
        <f t="shared" si="2"/>
        <v>0</v>
      </c>
      <c r="AC5" s="39">
        <f t="shared" si="2"/>
        <v>0</v>
      </c>
      <c r="AD5" s="39">
        <f t="shared" si="2"/>
        <v>0</v>
      </c>
      <c r="AE5" s="39">
        <f t="shared" si="2"/>
        <v>0</v>
      </c>
      <c r="AF5" s="39">
        <f t="shared" si="2"/>
        <v>0</v>
      </c>
      <c r="AG5" s="39">
        <f t="shared" si="2"/>
        <v>0</v>
      </c>
      <c r="AH5" s="39">
        <f t="shared" si="2"/>
        <v>0</v>
      </c>
      <c r="AI5" s="39">
        <f t="shared" si="2"/>
        <v>0</v>
      </c>
      <c r="AJ5" s="39">
        <f t="shared" si="2"/>
        <v>0</v>
      </c>
      <c r="AK5" s="39">
        <f t="shared" si="2"/>
        <v>0</v>
      </c>
      <c r="AL5" s="39">
        <f t="shared" si="2"/>
        <v>68</v>
      </c>
      <c r="AM5" s="39">
        <f t="shared" si="2"/>
        <v>236</v>
      </c>
      <c r="AN5" s="39">
        <f t="shared" si="2"/>
        <v>351.91200000000003</v>
      </c>
      <c r="AO5" s="39">
        <f t="shared" si="2"/>
        <v>429.51690000000002</v>
      </c>
      <c r="AP5" s="39">
        <f t="shared" si="2"/>
        <v>550.92779999999993</v>
      </c>
      <c r="AQ5" s="39">
        <f t="shared" si="2"/>
        <v>504.53890000000001</v>
      </c>
      <c r="AR5" s="39">
        <f t="shared" si="2"/>
        <v>571.03639999999996</v>
      </c>
      <c r="AS5" s="39">
        <f t="shared" si="2"/>
        <v>525.49440000000004</v>
      </c>
      <c r="AT5" s="39">
        <f t="shared" si="2"/>
        <v>497.33390000000003</v>
      </c>
      <c r="AU5" s="39">
        <f t="shared" si="2"/>
        <v>479.10169999999999</v>
      </c>
      <c r="AV5" s="39">
        <f t="shared" si="2"/>
        <v>450.16200000000003</v>
      </c>
      <c r="AW5" s="39">
        <f t="shared" si="2"/>
        <v>486.57960000000003</v>
      </c>
      <c r="AX5" s="39">
        <f t="shared" si="2"/>
        <v>0</v>
      </c>
      <c r="AY5" s="39">
        <f t="shared" si="2"/>
        <v>0</v>
      </c>
      <c r="AZ5" s="39">
        <f t="shared" si="2"/>
        <v>0</v>
      </c>
      <c r="BA5" s="39">
        <f t="shared" si="2"/>
        <v>0</v>
      </c>
      <c r="BB5" s="39">
        <f t="shared" si="2"/>
        <v>0</v>
      </c>
      <c r="BC5" s="39">
        <f t="shared" si="2"/>
        <v>0</v>
      </c>
      <c r="BD5" s="39">
        <f t="shared" si="2"/>
        <v>0</v>
      </c>
      <c r="BE5" s="39">
        <f t="shared" si="2"/>
        <v>0</v>
      </c>
      <c r="BF5" s="39">
        <f t="shared" si="2"/>
        <v>0</v>
      </c>
      <c r="BG5" s="39">
        <f t="shared" si="2"/>
        <v>0</v>
      </c>
      <c r="BH5"/>
    </row>
    <row r="6" spans="1:60" ht="15.6">
      <c r="A6" s="50" t="str">
        <f t="shared" si="0"/>
        <v>677410826Units per Store per Week (w/zeros)</v>
      </c>
      <c r="B6" s="60">
        <v>2</v>
      </c>
      <c r="C6" s="60" t="s">
        <v>296</v>
      </c>
      <c r="D6" s="60">
        <v>677410826</v>
      </c>
      <c r="E6" s="60" t="s">
        <v>295</v>
      </c>
      <c r="F6" s="46" t="s">
        <v>68</v>
      </c>
      <c r="G6" s="40" t="s">
        <v>63</v>
      </c>
      <c r="H6" s="63">
        <f t="shared" ref="H6" si="3">IFERROR(H4/H8,0)</f>
        <v>0</v>
      </c>
      <c r="I6" s="63">
        <f t="shared" ref="I6:BG6" si="4">IFERROR(I4/I8,0)</f>
        <v>0</v>
      </c>
      <c r="J6" s="63">
        <f t="shared" si="4"/>
        <v>0</v>
      </c>
      <c r="K6" s="63">
        <f t="shared" si="4"/>
        <v>0</v>
      </c>
      <c r="L6" s="63">
        <f t="shared" si="4"/>
        <v>0</v>
      </c>
      <c r="M6" s="63">
        <f t="shared" si="4"/>
        <v>0</v>
      </c>
      <c r="N6" s="63">
        <f t="shared" si="4"/>
        <v>0</v>
      </c>
      <c r="O6" s="63">
        <f t="shared" si="4"/>
        <v>0</v>
      </c>
      <c r="P6" s="63">
        <f t="shared" si="4"/>
        <v>0</v>
      </c>
      <c r="Q6" s="63">
        <f t="shared" si="4"/>
        <v>0</v>
      </c>
      <c r="R6" s="63">
        <f t="shared" si="4"/>
        <v>0</v>
      </c>
      <c r="S6" s="63">
        <f t="shared" si="4"/>
        <v>0</v>
      </c>
      <c r="T6" s="63">
        <f t="shared" si="4"/>
        <v>0</v>
      </c>
      <c r="U6" s="63">
        <f t="shared" si="4"/>
        <v>0</v>
      </c>
      <c r="V6" s="63">
        <f t="shared" si="4"/>
        <v>0</v>
      </c>
      <c r="W6" s="63">
        <f t="shared" si="4"/>
        <v>0</v>
      </c>
      <c r="X6" s="63">
        <f t="shared" si="4"/>
        <v>0</v>
      </c>
      <c r="Y6" s="63">
        <f t="shared" si="4"/>
        <v>0</v>
      </c>
      <c r="Z6" s="63">
        <f t="shared" si="4"/>
        <v>0</v>
      </c>
      <c r="AA6" s="63">
        <f t="shared" si="4"/>
        <v>0</v>
      </c>
      <c r="AB6" s="63">
        <f t="shared" si="4"/>
        <v>0</v>
      </c>
      <c r="AC6" s="63">
        <f t="shared" si="4"/>
        <v>0</v>
      </c>
      <c r="AD6" s="63">
        <f t="shared" si="4"/>
        <v>0</v>
      </c>
      <c r="AE6" s="63">
        <f t="shared" si="4"/>
        <v>0</v>
      </c>
      <c r="AF6" s="63">
        <f t="shared" si="4"/>
        <v>0</v>
      </c>
      <c r="AG6" s="63">
        <f t="shared" si="4"/>
        <v>0</v>
      </c>
      <c r="AH6" s="63">
        <f t="shared" si="4"/>
        <v>0</v>
      </c>
      <c r="AI6" s="63">
        <f t="shared" si="4"/>
        <v>0</v>
      </c>
      <c r="AJ6" s="63">
        <f t="shared" si="4"/>
        <v>0</v>
      </c>
      <c r="AK6" s="63">
        <f t="shared" si="4"/>
        <v>0</v>
      </c>
      <c r="AL6" s="63">
        <f t="shared" si="4"/>
        <v>2.3627519110493399E-2</v>
      </c>
      <c r="AM6" s="63">
        <f t="shared" si="4"/>
        <v>8.1944444444444445E-2</v>
      </c>
      <c r="AN6" s="63">
        <f t="shared" si="4"/>
        <v>0.23680555555555555</v>
      </c>
      <c r="AO6" s="63">
        <f t="shared" si="4"/>
        <v>0.29077029840388618</v>
      </c>
      <c r="AP6" s="63">
        <f t="shared" si="4"/>
        <v>0.37656033287101248</v>
      </c>
      <c r="AQ6" s="63">
        <f t="shared" si="4"/>
        <v>0.33876442634080106</v>
      </c>
      <c r="AR6" s="63">
        <f t="shared" si="4"/>
        <v>0.37788331071913162</v>
      </c>
      <c r="AS6" s="63">
        <f t="shared" si="4"/>
        <v>0.35030549898167007</v>
      </c>
      <c r="AT6" s="63">
        <f t="shared" si="4"/>
        <v>0.33333333333333331</v>
      </c>
      <c r="AU6" s="63">
        <f t="shared" si="4"/>
        <v>0.32133152173913043</v>
      </c>
      <c r="AV6" s="63">
        <f t="shared" si="4"/>
        <v>0.30210454854039376</v>
      </c>
      <c r="AW6" s="63">
        <f t="shared" si="4"/>
        <v>0.32676630434782611</v>
      </c>
      <c r="AX6" s="63">
        <f t="shared" si="4"/>
        <v>0</v>
      </c>
      <c r="AY6" s="63">
        <f t="shared" si="4"/>
        <v>0</v>
      </c>
      <c r="AZ6" s="63">
        <f t="shared" si="4"/>
        <v>0</v>
      </c>
      <c r="BA6" s="63">
        <f t="shared" si="4"/>
        <v>0</v>
      </c>
      <c r="BB6" s="63">
        <f t="shared" si="4"/>
        <v>0</v>
      </c>
      <c r="BC6" s="63">
        <f t="shared" si="4"/>
        <v>0</v>
      </c>
      <c r="BD6" s="63">
        <f t="shared" si="4"/>
        <v>0</v>
      </c>
      <c r="BE6" s="63">
        <f t="shared" si="4"/>
        <v>0</v>
      </c>
      <c r="BF6" s="63">
        <f t="shared" si="4"/>
        <v>0</v>
      </c>
      <c r="BG6" s="63">
        <f t="shared" si="4"/>
        <v>0</v>
      </c>
      <c r="BH6"/>
    </row>
    <row r="7" spans="1:60" ht="15.6">
      <c r="A7" s="50" t="str">
        <f t="shared" si="0"/>
        <v>677410826Avg Price</v>
      </c>
      <c r="B7" s="60">
        <v>2</v>
      </c>
      <c r="C7" s="60" t="s">
        <v>296</v>
      </c>
      <c r="D7" s="60">
        <v>677410826</v>
      </c>
      <c r="E7" s="60" t="s">
        <v>295</v>
      </c>
      <c r="F7" s="46" t="s">
        <v>69</v>
      </c>
      <c r="G7" s="40" t="s">
        <v>49</v>
      </c>
      <c r="H7" s="47">
        <f t="shared" ref="H7" si="5">IFERROR(H3/H4,0)</f>
        <v>0</v>
      </c>
      <c r="I7" s="47">
        <f t="shared" ref="I7:BG7" si="6">IFERROR(I3/I4,0)</f>
        <v>0</v>
      </c>
      <c r="J7" s="47">
        <f t="shared" si="6"/>
        <v>0</v>
      </c>
      <c r="K7" s="47">
        <f t="shared" si="6"/>
        <v>0</v>
      </c>
      <c r="L7" s="47">
        <f t="shared" si="6"/>
        <v>0</v>
      </c>
      <c r="M7" s="47">
        <f t="shared" si="6"/>
        <v>0</v>
      </c>
      <c r="N7" s="47">
        <f t="shared" si="6"/>
        <v>0</v>
      </c>
      <c r="O7" s="47">
        <f t="shared" si="6"/>
        <v>0</v>
      </c>
      <c r="P7" s="47">
        <f t="shared" si="6"/>
        <v>0</v>
      </c>
      <c r="Q7" s="47">
        <f t="shared" si="6"/>
        <v>0</v>
      </c>
      <c r="R7" s="47">
        <f t="shared" si="6"/>
        <v>0</v>
      </c>
      <c r="S7" s="47">
        <f t="shared" si="6"/>
        <v>0</v>
      </c>
      <c r="T7" s="47">
        <f t="shared" si="6"/>
        <v>0</v>
      </c>
      <c r="U7" s="47">
        <f t="shared" si="6"/>
        <v>0</v>
      </c>
      <c r="V7" s="47">
        <f t="shared" si="6"/>
        <v>0</v>
      </c>
      <c r="W7" s="47">
        <f t="shared" si="6"/>
        <v>0</v>
      </c>
      <c r="X7" s="47">
        <f t="shared" si="6"/>
        <v>0</v>
      </c>
      <c r="Y7" s="47">
        <f t="shared" si="6"/>
        <v>0</v>
      </c>
      <c r="Z7" s="47">
        <f t="shared" si="6"/>
        <v>0</v>
      </c>
      <c r="AA7" s="47">
        <f t="shared" si="6"/>
        <v>0</v>
      </c>
      <c r="AB7" s="47">
        <f t="shared" si="6"/>
        <v>0</v>
      </c>
      <c r="AC7" s="47">
        <f t="shared" si="6"/>
        <v>0</v>
      </c>
      <c r="AD7" s="47">
        <f t="shared" si="6"/>
        <v>0</v>
      </c>
      <c r="AE7" s="47">
        <f t="shared" si="6"/>
        <v>0</v>
      </c>
      <c r="AF7" s="47">
        <f t="shared" si="6"/>
        <v>0</v>
      </c>
      <c r="AG7" s="47">
        <f t="shared" si="6"/>
        <v>0</v>
      </c>
      <c r="AH7" s="47">
        <f t="shared" si="6"/>
        <v>0</v>
      </c>
      <c r="AI7" s="47">
        <f t="shared" si="6"/>
        <v>0</v>
      </c>
      <c r="AJ7" s="47">
        <f t="shared" si="6"/>
        <v>0</v>
      </c>
      <c r="AK7" s="47">
        <f t="shared" si="6"/>
        <v>0</v>
      </c>
      <c r="AL7" s="47">
        <f t="shared" si="6"/>
        <v>35.347058823529409</v>
      </c>
      <c r="AM7" s="47">
        <f t="shared" si="6"/>
        <v>37.961355932203389</v>
      </c>
      <c r="AN7" s="47">
        <f t="shared" si="6"/>
        <v>38.588035190615834</v>
      </c>
      <c r="AO7" s="47">
        <f t="shared" si="6"/>
        <v>38.916038186157515</v>
      </c>
      <c r="AP7" s="47">
        <f t="shared" si="6"/>
        <v>38.93705340699816</v>
      </c>
      <c r="AQ7" s="47">
        <f t="shared" si="6"/>
        <v>38.847935871743488</v>
      </c>
      <c r="AR7" s="47">
        <f t="shared" si="6"/>
        <v>38.903087971274687</v>
      </c>
      <c r="AS7" s="47">
        <f t="shared" si="6"/>
        <v>38.448372093023259</v>
      </c>
      <c r="AT7" s="47">
        <f t="shared" si="6"/>
        <v>38.849348268839101</v>
      </c>
      <c r="AU7" s="47">
        <f t="shared" si="6"/>
        <v>38.775221987315014</v>
      </c>
      <c r="AV7" s="47">
        <f t="shared" si="6"/>
        <v>38.809033707865169</v>
      </c>
      <c r="AW7" s="47">
        <f t="shared" si="6"/>
        <v>38.923638253638252</v>
      </c>
      <c r="AX7" s="47">
        <f t="shared" si="6"/>
        <v>0</v>
      </c>
      <c r="AY7" s="47">
        <f t="shared" si="6"/>
        <v>0</v>
      </c>
      <c r="AZ7" s="47">
        <f t="shared" si="6"/>
        <v>0</v>
      </c>
      <c r="BA7" s="47">
        <f t="shared" si="6"/>
        <v>0</v>
      </c>
      <c r="BB7" s="47">
        <f t="shared" si="6"/>
        <v>0</v>
      </c>
      <c r="BC7" s="47">
        <f t="shared" si="6"/>
        <v>0</v>
      </c>
      <c r="BD7" s="47">
        <f t="shared" si="6"/>
        <v>0</v>
      </c>
      <c r="BE7" s="47">
        <f t="shared" si="6"/>
        <v>0</v>
      </c>
      <c r="BF7" s="47">
        <f t="shared" si="6"/>
        <v>0</v>
      </c>
      <c r="BG7" s="47">
        <f t="shared" si="6"/>
        <v>0</v>
      </c>
      <c r="BH7"/>
    </row>
    <row r="8" spans="1:60" ht="15.6">
      <c r="A8" s="50" t="str">
        <f t="shared" si="0"/>
        <v>677410826traited_store_count_this_year</v>
      </c>
      <c r="B8" s="60">
        <v>2</v>
      </c>
      <c r="C8" s="60" t="s">
        <v>296</v>
      </c>
      <c r="D8" s="60">
        <v>677410826</v>
      </c>
      <c r="E8" s="60" t="s">
        <v>295</v>
      </c>
      <c r="F8" s="46" t="s">
        <v>70</v>
      </c>
      <c r="G8" s="40" t="s">
        <v>125</v>
      </c>
      <c r="H8" s="24">
        <f>VLOOKUP($A8,'Last Week Data'!$E$3:$BF$17924,H$1,0)</f>
        <v>0</v>
      </c>
      <c r="I8" s="24">
        <f>VLOOKUP($A8,'Last Week Data'!$E$3:$BF$17924,I$1,0)</f>
        <v>0</v>
      </c>
      <c r="J8" s="24">
        <f>VLOOKUP($A8,'Last Week Data'!$E$3:$BF$17924,J$1,0)</f>
        <v>0</v>
      </c>
      <c r="K8" s="24">
        <f>VLOOKUP($A8,'Last Week Data'!$E$3:$BF$17924,K$1,0)</f>
        <v>0</v>
      </c>
      <c r="L8" s="24">
        <f>VLOOKUP($A8,'Last Week Data'!$E$3:$BF$17924,L$1,0)</f>
        <v>0</v>
      </c>
      <c r="M8" s="24">
        <f>VLOOKUP($A8,'Last Week Data'!$E$3:$BF$17924,M$1,0)</f>
        <v>0</v>
      </c>
      <c r="N8" s="24">
        <f>VLOOKUP($A8,'Last Week Data'!$E$3:$BF$17924,N$1,0)</f>
        <v>0</v>
      </c>
      <c r="O8" s="24">
        <f>VLOOKUP($A8,'Last Week Data'!$E$3:$BF$17924,O$1,0)</f>
        <v>0</v>
      </c>
      <c r="P8" s="24">
        <f>VLOOKUP($A8,'Last Week Data'!$E$3:$BF$17924,P$1,0)</f>
        <v>0</v>
      </c>
      <c r="Q8" s="24">
        <f>VLOOKUP($A8,'Last Week Data'!$E$3:$BF$17924,Q$1,0)</f>
        <v>0</v>
      </c>
      <c r="R8" s="24">
        <f>VLOOKUP($A8,'Last Week Data'!$E$3:$BF$17924,R$1,0)</f>
        <v>0</v>
      </c>
      <c r="S8" s="24">
        <f>VLOOKUP($A8,'Last Week Data'!$E$3:$BF$17924,S$1,0)</f>
        <v>0</v>
      </c>
      <c r="T8" s="24">
        <f>VLOOKUP($A8,'Last Week Data'!$E$3:$BF$17924,T$1,0)</f>
        <v>0</v>
      </c>
      <c r="U8" s="24">
        <f>VLOOKUP($A8,'Last Week Data'!$E$3:$BF$17924,U$1,0)</f>
        <v>0</v>
      </c>
      <c r="V8" s="24">
        <f>VLOOKUP($A8,'Last Week Data'!$E$3:$BF$17924,V$1,0)</f>
        <v>0</v>
      </c>
      <c r="W8" s="24">
        <f>VLOOKUP($A8,'Last Week Data'!$E$3:$BF$17924,W$1,0)</f>
        <v>0</v>
      </c>
      <c r="X8" s="24">
        <f>VLOOKUP($A8,'Last Week Data'!$E$3:$BF$17924,X$1,0)</f>
        <v>0</v>
      </c>
      <c r="Y8" s="24">
        <f>VLOOKUP($A8,'Last Week Data'!$E$3:$BF$17924,Y$1,0)</f>
        <v>0</v>
      </c>
      <c r="Z8" s="24">
        <f>VLOOKUP($A8,'Last Week Data'!$E$3:$BF$17924,Z$1,0)</f>
        <v>0</v>
      </c>
      <c r="AA8" s="24">
        <f>VLOOKUP($A8,'Last Week Data'!$E$3:$BF$17924,AA$1,0)</f>
        <v>0</v>
      </c>
      <c r="AB8" s="24">
        <f>VLOOKUP($A8,'Last Week Data'!$E$3:$BF$17924,AB$1,0)</f>
        <v>0</v>
      </c>
      <c r="AC8" s="24">
        <f>VLOOKUP($A8,'Last Week Data'!$E$3:$BF$17924,AC$1,0)</f>
        <v>0</v>
      </c>
      <c r="AD8" s="24">
        <f>VLOOKUP($A8,'Last Week Data'!$E$3:$BF$17924,AD$1,0)</f>
        <v>0</v>
      </c>
      <c r="AE8" s="24">
        <f>VLOOKUP($A8,'Last Week Data'!$E$3:$BF$17924,AE$1,0)</f>
        <v>0</v>
      </c>
      <c r="AF8" s="24">
        <f>VLOOKUP($A8,'Last Week Data'!$E$3:$BF$17924,AF$1,0)</f>
        <v>0</v>
      </c>
      <c r="AG8" s="24">
        <f>VLOOKUP($A8,'Last Week Data'!$E$3:$BF$17924,AG$1,0)</f>
        <v>0</v>
      </c>
      <c r="AH8" s="24">
        <f>VLOOKUP($A8,'Last Week Data'!$E$3:$BF$17924,AH$1,0)</f>
        <v>0</v>
      </c>
      <c r="AI8" s="24">
        <f>VLOOKUP($A8,'Last Week Data'!$E$3:$BF$17924,AI$1,0)</f>
        <v>0</v>
      </c>
      <c r="AJ8" s="24">
        <f>VLOOKUP($A8,'Last Week Data'!$E$3:$BF$17924,AJ$1,0)</f>
        <v>0</v>
      </c>
      <c r="AK8" s="24">
        <f>VLOOKUP($A8,'Last Week Data'!$E$3:$BF$17924,AK$1,0)</f>
        <v>0</v>
      </c>
      <c r="AL8" s="24">
        <f>VLOOKUP($A8,'Last Week Data'!$E$3:$BF$17924,AL$1,0)</f>
        <v>1439</v>
      </c>
      <c r="AM8" s="24">
        <f>VLOOKUP($A8,'Last Week Data'!$E$3:$BF$17924,AM$1,0)</f>
        <v>1440</v>
      </c>
      <c r="AN8" s="24">
        <f>VLOOKUP($A8,'Last Week Data'!$E$3:$BF$17924,AN$1,0)</f>
        <v>1440</v>
      </c>
      <c r="AO8" s="24">
        <f>VLOOKUP($A8,'Last Week Data'!$E$3:$BF$17924,AO$1,0)</f>
        <v>1441</v>
      </c>
      <c r="AP8" s="24">
        <f>VLOOKUP($A8,'Last Week Data'!$E$3:$BF$17924,AP$1,0)</f>
        <v>1442</v>
      </c>
      <c r="AQ8" s="24">
        <f>VLOOKUP($A8,'Last Week Data'!$E$3:$BF$17924,AQ$1,0)</f>
        <v>1473</v>
      </c>
      <c r="AR8" s="24">
        <f>VLOOKUP($A8,'Last Week Data'!$E$3:$BF$17924,AR$1,0)</f>
        <v>1474</v>
      </c>
      <c r="AS8" s="24">
        <f>VLOOKUP($A8,'Last Week Data'!$E$3:$BF$17924,AS$1,0)</f>
        <v>1473</v>
      </c>
      <c r="AT8" s="24">
        <f>VLOOKUP($A8,'Last Week Data'!$E$3:$BF$17924,AT$1,0)</f>
        <v>1473</v>
      </c>
      <c r="AU8" s="24">
        <f>VLOOKUP($A8,'Last Week Data'!$E$3:$BF$17924,AU$1,0)</f>
        <v>1472</v>
      </c>
      <c r="AV8" s="24">
        <f>VLOOKUP($A8,'Last Week Data'!$E$3:$BF$17924,AV$1,0)</f>
        <v>1473</v>
      </c>
      <c r="AW8" s="24">
        <f>VLOOKUP($A8,'Last Week Data'!$E$3:$BF$17924,AW$1,0)</f>
        <v>1472</v>
      </c>
      <c r="AX8" s="24">
        <f>VLOOKUP($A8,'Last Week Data'!$E$3:$BF$17924,AX$1,0)</f>
        <v>0</v>
      </c>
      <c r="AY8" s="24">
        <f>VLOOKUP($A8,'Last Week Data'!$E$3:$BF$17924,AY$1,0)</f>
        <v>0</v>
      </c>
      <c r="AZ8" s="24">
        <f>VLOOKUP($A8,'Last Week Data'!$E$3:$BF$17924,AZ$1,0)</f>
        <v>0</v>
      </c>
      <c r="BA8" s="24">
        <f>VLOOKUP($A8,'Last Week Data'!$E$3:$BF$17924,BA$1,0)</f>
        <v>0</v>
      </c>
      <c r="BB8" s="24">
        <f>VLOOKUP($A8,'Last Week Data'!$E$3:$BF$17924,BB$1,0)</f>
        <v>0</v>
      </c>
      <c r="BC8" s="24">
        <f>VLOOKUP($A8,'Last Week Data'!$E$3:$BF$17924,BC$1,0)</f>
        <v>0</v>
      </c>
      <c r="BD8" s="24">
        <f>VLOOKUP($A8,'Last Week Data'!$E$3:$BF$17924,BD$1,0)</f>
        <v>0</v>
      </c>
      <c r="BE8" s="24">
        <f>VLOOKUP($A8,'Last Week Data'!$E$3:$BF$17924,BE$1,0)</f>
        <v>0</v>
      </c>
      <c r="BF8" s="24">
        <f>VLOOKUP($A8,'Last Week Data'!$E$3:$BF$17924,BF$1,0)</f>
        <v>0</v>
      </c>
      <c r="BG8" s="24">
        <f>VLOOKUP($A8,'Last Week Data'!$E$3:$BF$17924,BG$1,0)</f>
        <v>0</v>
      </c>
      <c r="BH8"/>
    </row>
    <row r="9" spans="1:60" ht="15.6">
      <c r="A9" s="50" t="str">
        <f t="shared" si="0"/>
        <v>677410826repl_instock_percentage_this_year_eop</v>
      </c>
      <c r="B9" s="60">
        <v>2</v>
      </c>
      <c r="C9" s="60" t="s">
        <v>296</v>
      </c>
      <c r="D9" s="60">
        <v>677410826</v>
      </c>
      <c r="E9" s="60" t="s">
        <v>295</v>
      </c>
      <c r="F9" s="46" t="s">
        <v>79</v>
      </c>
      <c r="G9" s="40" t="s">
        <v>124</v>
      </c>
      <c r="H9" s="48">
        <f>VLOOKUP($A9,'Last Week Data'!$E$3:$BF$17924,H$1,0)</f>
        <v>0</v>
      </c>
      <c r="I9" s="48">
        <f>VLOOKUP($A9,'Last Week Data'!$E$3:$BF$17924,I$1,0)</f>
        <v>0</v>
      </c>
      <c r="J9" s="48">
        <f>VLOOKUP($A9,'Last Week Data'!$E$3:$BF$17924,J$1,0)</f>
        <v>0</v>
      </c>
      <c r="K9" s="48">
        <f>VLOOKUP($A9,'Last Week Data'!$E$3:$BF$17924,K$1,0)</f>
        <v>0</v>
      </c>
      <c r="L9" s="48">
        <f>VLOOKUP($A9,'Last Week Data'!$E$3:$BF$17924,L$1,0)</f>
        <v>0</v>
      </c>
      <c r="M9" s="48">
        <f>VLOOKUP($A9,'Last Week Data'!$E$3:$BF$17924,M$1,0)</f>
        <v>0</v>
      </c>
      <c r="N9" s="48">
        <f>VLOOKUP($A9,'Last Week Data'!$E$3:$BF$17924,N$1,0)</f>
        <v>0</v>
      </c>
      <c r="O9" s="48">
        <f>VLOOKUP($A9,'Last Week Data'!$E$3:$BF$17924,O$1,0)</f>
        <v>0</v>
      </c>
      <c r="P9" s="48">
        <f>VLOOKUP($A9,'Last Week Data'!$E$3:$BF$17924,P$1,0)</f>
        <v>0</v>
      </c>
      <c r="Q9" s="48">
        <f>VLOOKUP($A9,'Last Week Data'!$E$3:$BF$17924,Q$1,0)</f>
        <v>0</v>
      </c>
      <c r="R9" s="48">
        <f>VLOOKUP($A9,'Last Week Data'!$E$3:$BF$17924,R$1,0)</f>
        <v>0</v>
      </c>
      <c r="S9" s="48">
        <f>VLOOKUP($A9,'Last Week Data'!$E$3:$BF$17924,S$1,0)</f>
        <v>0</v>
      </c>
      <c r="T9" s="48">
        <f>VLOOKUP($A9,'Last Week Data'!$E$3:$BF$17924,T$1,0)</f>
        <v>0</v>
      </c>
      <c r="U9" s="48">
        <f>VLOOKUP($A9,'Last Week Data'!$E$3:$BF$17924,U$1,0)</f>
        <v>0</v>
      </c>
      <c r="V9" s="48">
        <f>VLOOKUP($A9,'Last Week Data'!$E$3:$BF$17924,V$1,0)</f>
        <v>0</v>
      </c>
      <c r="W9" s="48">
        <f>VLOOKUP($A9,'Last Week Data'!$E$3:$BF$17924,W$1,0)</f>
        <v>0</v>
      </c>
      <c r="X9" s="48">
        <f>VLOOKUP($A9,'Last Week Data'!$E$3:$BF$17924,X$1,0)</f>
        <v>0</v>
      </c>
      <c r="Y9" s="48">
        <f>VLOOKUP($A9,'Last Week Data'!$E$3:$BF$17924,Y$1,0)</f>
        <v>0</v>
      </c>
      <c r="Z9" s="48">
        <f>VLOOKUP($A9,'Last Week Data'!$E$3:$BF$17924,Z$1,0)</f>
        <v>0</v>
      </c>
      <c r="AA9" s="48">
        <f>VLOOKUP($A9,'Last Week Data'!$E$3:$BF$17924,AA$1,0)</f>
        <v>0</v>
      </c>
      <c r="AB9" s="48">
        <f>VLOOKUP($A9,'Last Week Data'!$E$3:$BF$17924,AB$1,0)</f>
        <v>0</v>
      </c>
      <c r="AC9" s="48">
        <f>VLOOKUP($A9,'Last Week Data'!$E$3:$BF$17924,AC$1,0)</f>
        <v>0</v>
      </c>
      <c r="AD9" s="48">
        <f>VLOOKUP($A9,'Last Week Data'!$E$3:$BF$17924,AD$1,0)</f>
        <v>0</v>
      </c>
      <c r="AE9" s="48">
        <f>VLOOKUP($A9,'Last Week Data'!$E$3:$BF$17924,AE$1,0)</f>
        <v>0</v>
      </c>
      <c r="AF9" s="48">
        <f>VLOOKUP($A9,'Last Week Data'!$E$3:$BF$17924,AF$1,0)</f>
        <v>0</v>
      </c>
      <c r="AG9" s="48">
        <f>VLOOKUP($A9,'Last Week Data'!$E$3:$BF$17924,AG$1,0)</f>
        <v>0</v>
      </c>
      <c r="AH9" s="48">
        <f>VLOOKUP($A9,'Last Week Data'!$E$3:$BF$17924,AH$1,0)</f>
        <v>0</v>
      </c>
      <c r="AI9" s="48">
        <f>VLOOKUP($A9,'Last Week Data'!$E$3:$BF$17924,AI$1,0)</f>
        <v>0</v>
      </c>
      <c r="AJ9" s="48">
        <f>VLOOKUP($A9,'Last Week Data'!$E$3:$BF$17924,AJ$1,0)</f>
        <v>0</v>
      </c>
      <c r="AK9" s="48">
        <f>VLOOKUP($A9,'Last Week Data'!$E$3:$BF$17924,AK$1,0)</f>
        <v>0</v>
      </c>
      <c r="AL9" s="48">
        <f>VLOOKUP($A9,'Last Week Data'!$E$3:$BF$17924,AL$1,0)</f>
        <v>0</v>
      </c>
      <c r="AM9" s="48">
        <f>VLOOKUP($A9,'Last Week Data'!$E$3:$BF$17924,AM$1,0)</f>
        <v>0</v>
      </c>
      <c r="AN9" s="48">
        <f>VLOOKUP($A9,'Last Week Data'!$E$3:$BF$17924,AN$1,0)</f>
        <v>0.96799999999999997</v>
      </c>
      <c r="AO9" s="48">
        <f>VLOOKUP($A9,'Last Week Data'!$E$3:$BF$17924,AO$1,0)</f>
        <v>0.97489999999999999</v>
      </c>
      <c r="AP9" s="48">
        <f>VLOOKUP($A9,'Last Week Data'!$E$3:$BF$17924,AP$1,0)</f>
        <v>0.98540000000000005</v>
      </c>
      <c r="AQ9" s="48">
        <f>VLOOKUP($A9,'Last Week Data'!$E$3:$BF$17924,AQ$1,0)</f>
        <v>0.9889</v>
      </c>
      <c r="AR9" s="48">
        <f>VLOOKUP($A9,'Last Week Data'!$E$3:$BF$17924,AR$1,0)</f>
        <v>0.9748</v>
      </c>
      <c r="AS9" s="48">
        <f>VLOOKUP($A9,'Last Week Data'!$E$3:$BF$17924,AS$1,0)</f>
        <v>0.98160000000000003</v>
      </c>
      <c r="AT9" s="48">
        <f>VLOOKUP($A9,'Last Week Data'!$E$3:$BF$17924,AT$1,0)</f>
        <v>0.98709999999999998</v>
      </c>
      <c r="AU9" s="48">
        <f>VLOOKUP($A9,'Last Week Data'!$E$3:$BF$17924,AU$1,0)</f>
        <v>0.98709999999999998</v>
      </c>
      <c r="AV9" s="48">
        <f>VLOOKUP($A9,'Last Week Data'!$E$3:$BF$17924,AV$1,0)</f>
        <v>0.98839999999999995</v>
      </c>
      <c r="AW9" s="48">
        <f>VLOOKUP($A9,'Last Week Data'!$E$3:$BF$17924,AW$1,0)</f>
        <v>0.98839999999999995</v>
      </c>
      <c r="AX9" s="48">
        <f>VLOOKUP($A9,'Last Week Data'!$E$3:$BF$17924,AX$1,0)</f>
        <v>0</v>
      </c>
      <c r="AY9" s="48">
        <f>VLOOKUP($A9,'Last Week Data'!$E$3:$BF$17924,AY$1,0)</f>
        <v>0</v>
      </c>
      <c r="AZ9" s="48">
        <f>VLOOKUP($A9,'Last Week Data'!$E$3:$BF$17924,AZ$1,0)</f>
        <v>0</v>
      </c>
      <c r="BA9" s="48">
        <f>VLOOKUP($A9,'Last Week Data'!$E$3:$BF$17924,BA$1,0)</f>
        <v>0</v>
      </c>
      <c r="BB9" s="48">
        <f>VLOOKUP($A9,'Last Week Data'!$E$3:$BF$17924,BB$1,0)</f>
        <v>0</v>
      </c>
      <c r="BC9" s="48">
        <f>VLOOKUP($A9,'Last Week Data'!$E$3:$BF$17924,BC$1,0)</f>
        <v>0</v>
      </c>
      <c r="BD9" s="48">
        <f>VLOOKUP($A9,'Last Week Data'!$E$3:$BF$17924,BD$1,0)</f>
        <v>0</v>
      </c>
      <c r="BE9" s="48">
        <f>VLOOKUP($A9,'Last Week Data'!$E$3:$BF$17924,BE$1,0)</f>
        <v>0</v>
      </c>
      <c r="BF9" s="48">
        <f>VLOOKUP($A9,'Last Week Data'!$E$3:$BF$17924,BF$1,0)</f>
        <v>0</v>
      </c>
      <c r="BG9" s="48">
        <f>VLOOKUP($A9,'Last Week Data'!$E$3:$BF$17924,BG$1,0)</f>
        <v>0</v>
      </c>
      <c r="BH9"/>
    </row>
    <row r="10" spans="1:60" ht="15.6">
      <c r="A10" s="50" t="str">
        <f t="shared" si="0"/>
        <v>677410826Forecast</v>
      </c>
      <c r="B10" s="60">
        <v>2</v>
      </c>
      <c r="C10" s="60" t="s">
        <v>296</v>
      </c>
      <c r="D10" s="60">
        <v>677410826</v>
      </c>
      <c r="E10" s="60" t="s">
        <v>295</v>
      </c>
      <c r="F10" s="46" t="s">
        <v>76</v>
      </c>
      <c r="G10" s="32" t="s">
        <v>73</v>
      </c>
      <c r="H10" s="33">
        <f>_xlfn.IFNA(VLOOKUP($D10,'Luminate Forecast'!$U:$BV,'Luminate Forecast'!V$19,0),0)</f>
        <v>1160.3800000000001</v>
      </c>
      <c r="I10" s="33">
        <f>_xlfn.IFNA(VLOOKUP($D10,'Luminate Forecast'!$U:$BV,'Luminate Forecast'!W$19,0),0)</f>
        <v>1331.27</v>
      </c>
      <c r="J10" s="33">
        <f>_xlfn.IFNA(VLOOKUP($D10,'Luminate Forecast'!$U:$BV,'Luminate Forecast'!X$19,0),0)</f>
        <v>1603.65</v>
      </c>
      <c r="K10" s="33">
        <f>_xlfn.IFNA(VLOOKUP($D10,'Luminate Forecast'!$U:$BV,'Luminate Forecast'!Y$19,0),0)</f>
        <v>1828.2199999999998</v>
      </c>
      <c r="L10" s="33">
        <f>_xlfn.IFNA(VLOOKUP($D10,'Luminate Forecast'!$U:$BV,'Luminate Forecast'!Z$19,0),0)</f>
        <v>1830.35</v>
      </c>
      <c r="M10" s="33">
        <f>_xlfn.IFNA(VLOOKUP($D10,'Luminate Forecast'!$U:$BV,'Luminate Forecast'!AA$19,0),0)</f>
        <v>1625.9099999999999</v>
      </c>
      <c r="N10" s="33">
        <f>_xlfn.IFNA(VLOOKUP($D10,'Luminate Forecast'!$U:$BV,'Luminate Forecast'!AB$19,0),0)</f>
        <v>1605.65</v>
      </c>
      <c r="O10" s="33">
        <f>_xlfn.IFNA(VLOOKUP($D10,'Luminate Forecast'!$U:$BV,'Luminate Forecast'!AC$19,0),0)</f>
        <v>1579.0900000000001</v>
      </c>
      <c r="P10" s="33">
        <f>_xlfn.IFNA(VLOOKUP($D10,'Luminate Forecast'!$U:$BV,'Luminate Forecast'!AD$19,0),0)</f>
        <v>1562.92</v>
      </c>
      <c r="Q10" s="33">
        <f>_xlfn.IFNA(VLOOKUP($D10,'Luminate Forecast'!$U:$BV,'Luminate Forecast'!AE$19,0),0)</f>
        <v>1492.85</v>
      </c>
      <c r="R10" s="33">
        <f>_xlfn.IFNA(VLOOKUP($D10,'Luminate Forecast'!$U:$BV,'Luminate Forecast'!AF$19,0),0)</f>
        <v>1460.1799999999998</v>
      </c>
      <c r="S10" s="33">
        <f>_xlfn.IFNA(VLOOKUP($D10,'Luminate Forecast'!$U:$BV,'Luminate Forecast'!AG$19,0),0)</f>
        <v>1371.42</v>
      </c>
      <c r="T10" s="33">
        <f>_xlfn.IFNA(VLOOKUP($D10,'Luminate Forecast'!$U:$BV,'Luminate Forecast'!AH$19,0),0)</f>
        <v>1411.15</v>
      </c>
      <c r="U10" s="33">
        <f>_xlfn.IFNA(VLOOKUP($D10,'Luminate Forecast'!$U:$BV,'Luminate Forecast'!AI$19,0),0)</f>
        <v>1314.38</v>
      </c>
      <c r="V10" s="33">
        <f>_xlfn.IFNA(VLOOKUP($D10,'Luminate Forecast'!$U:$BV,'Luminate Forecast'!AJ$19,0),0)</f>
        <v>1286.22</v>
      </c>
      <c r="W10" s="33">
        <f>_xlfn.IFNA(VLOOKUP($D10,'Luminate Forecast'!$U:$BV,'Luminate Forecast'!AK$19,0),0)</f>
        <v>1277.6500000000001</v>
      </c>
      <c r="X10" s="33">
        <f>_xlfn.IFNA(VLOOKUP($D10,'Luminate Forecast'!$U:$BV,'Luminate Forecast'!AL$19,0),0)</f>
        <v>1240.1199999999999</v>
      </c>
      <c r="Y10" s="33">
        <f>_xlfn.IFNA(VLOOKUP($D10,'Luminate Forecast'!$U:$BV,'Luminate Forecast'!AM$19,0),0)</f>
        <v>1338.88</v>
      </c>
      <c r="Z10" s="33">
        <f>_xlfn.IFNA(VLOOKUP($D10,'Luminate Forecast'!$U:$BV,'Luminate Forecast'!AN$19,0),0)</f>
        <v>1306.26</v>
      </c>
      <c r="AA10" s="33">
        <f>_xlfn.IFNA(VLOOKUP($D10,'Luminate Forecast'!$U:$BV,'Luminate Forecast'!AO$19,0),0)</f>
        <v>1358.6100000000001</v>
      </c>
      <c r="AB10" s="33">
        <f>_xlfn.IFNA(VLOOKUP($D10,'Luminate Forecast'!$U:$BV,'Luminate Forecast'!AP$19,0),0)</f>
        <v>1358.6100000000001</v>
      </c>
      <c r="AC10" s="33">
        <f>_xlfn.IFNA(VLOOKUP($D10,'Luminate Forecast'!$U:$BV,'Luminate Forecast'!AQ$19,0),0)</f>
        <v>1304.0999999999999</v>
      </c>
      <c r="AD10" s="33">
        <f>_xlfn.IFNA(VLOOKUP($D10,'Luminate Forecast'!$U:$BV,'Luminate Forecast'!AR$19,0),0)</f>
        <v>1299.8900000000001</v>
      </c>
      <c r="AE10" s="33">
        <f>_xlfn.IFNA(VLOOKUP($D10,'Luminate Forecast'!$U:$BV,'Luminate Forecast'!AS$19,0),0)</f>
        <v>1300.6199999999999</v>
      </c>
      <c r="AF10" s="33">
        <f>_xlfn.IFNA(VLOOKUP($D10,'Luminate Forecast'!$U:$BV,'Luminate Forecast'!AT$19,0),0)</f>
        <v>1296.68</v>
      </c>
      <c r="AG10" s="33">
        <f>_xlfn.IFNA(VLOOKUP($D10,'Luminate Forecast'!$U:$BV,'Luminate Forecast'!AU$19,0),0)</f>
        <v>1337.52</v>
      </c>
      <c r="AH10" s="33">
        <f>_xlfn.IFNA(VLOOKUP($D10,'Luminate Forecast'!$U:$BV,'Luminate Forecast'!AV$19,0),0)</f>
        <v>1330.4099999999999</v>
      </c>
      <c r="AI10" s="33">
        <f>_xlfn.IFNA(VLOOKUP($D10,'Luminate Forecast'!$U:$BV,'Luminate Forecast'!AW$19,0),0)</f>
        <v>1374.86</v>
      </c>
      <c r="AJ10" s="33">
        <f>_xlfn.IFNA(VLOOKUP($D10,'Luminate Forecast'!$U:$BV,'Luminate Forecast'!AX$19,0),0)</f>
        <v>1356.8400000000001</v>
      </c>
      <c r="AK10" s="33">
        <f>_xlfn.IFNA(VLOOKUP($D10,'Luminate Forecast'!$U:$BV,'Luminate Forecast'!AY$19,0),0)</f>
        <v>1319.98</v>
      </c>
      <c r="AL10" s="33">
        <f>_xlfn.IFNA(VLOOKUP($D10,'Luminate Forecast'!$U:$BV,'Luminate Forecast'!AZ$19,0),0)</f>
        <v>1245.1100000000001</v>
      </c>
      <c r="AM10" s="33">
        <f>_xlfn.IFNA(VLOOKUP($D10,'Luminate Forecast'!$U:$BV,'Luminate Forecast'!BA$19,0),0)</f>
        <v>1348.54</v>
      </c>
      <c r="AN10" s="33">
        <f>_xlfn.IFNA(VLOOKUP($D10,'Luminate Forecast'!$U:$BV,'Luminate Forecast'!BB$19,0),0)</f>
        <v>1472.72</v>
      </c>
      <c r="AO10" s="33">
        <f>_xlfn.IFNA(VLOOKUP($D10,'Luminate Forecast'!$U:$BV,'Luminate Forecast'!BC$19,0),0)</f>
        <v>1395.82</v>
      </c>
      <c r="AP10" s="33">
        <f>_xlfn.IFNA(VLOOKUP($D10,'Luminate Forecast'!$U:$BV,'Luminate Forecast'!BD$19,0),0)</f>
        <v>1533.55</v>
      </c>
      <c r="AQ10" s="33">
        <f>_xlfn.IFNA(VLOOKUP($D10,'Luminate Forecast'!$U:$BV,'Luminate Forecast'!BE$19,0),0)</f>
        <v>1390.35</v>
      </c>
      <c r="AR10" s="33">
        <f>_xlfn.IFNA(VLOOKUP($D10,'Luminate Forecast'!$U:$BV,'Luminate Forecast'!BF$19,0),0)</f>
        <v>1423.7800000000002</v>
      </c>
      <c r="AS10" s="33">
        <f>_xlfn.IFNA(VLOOKUP($D10,'Luminate Forecast'!$U:$BV,'Luminate Forecast'!BG$19,0),0)</f>
        <v>1433.92</v>
      </c>
      <c r="AT10" s="33">
        <f>_xlfn.IFNA(VLOOKUP($D10,'Luminate Forecast'!$U:$BV,'Luminate Forecast'!BH$19,0),0)</f>
        <v>1473.25</v>
      </c>
      <c r="AU10" s="33">
        <f>_xlfn.IFNA(VLOOKUP($D10,'Luminate Forecast'!$U:$BV,'Luminate Forecast'!BI$19,0),0)</f>
        <v>1498.24</v>
      </c>
      <c r="AV10" s="33">
        <f>_xlfn.IFNA(VLOOKUP($D10,'Luminate Forecast'!$U:$BV,'Luminate Forecast'!BJ$19,0),0)</f>
        <v>1504.8400000000001</v>
      </c>
      <c r="AW10" s="33">
        <f>_xlfn.IFNA(VLOOKUP($D10,'Luminate Forecast'!$U:$BV,'Luminate Forecast'!BK$19,0),0)</f>
        <v>1408.22</v>
      </c>
      <c r="AX10" s="33">
        <f>_xlfn.IFNA(VLOOKUP($D10,'Luminate Forecast'!$U:$BV,'Luminate Forecast'!BL$19,0),0)</f>
        <v>1243.53</v>
      </c>
      <c r="AY10" s="33">
        <f>_xlfn.IFNA(VLOOKUP($D10,'Luminate Forecast'!$U:$BV,'Luminate Forecast'!BM$19,0),0)</f>
        <v>1543.8600000000001</v>
      </c>
      <c r="AZ10" s="33">
        <f>_xlfn.IFNA(VLOOKUP($D10,'Luminate Forecast'!$U:$BV,'Luminate Forecast'!BN$19,0),0)</f>
        <v>1700.1399999999999</v>
      </c>
      <c r="BA10" s="33">
        <f>_xlfn.IFNA(VLOOKUP($D10,'Luminate Forecast'!$U:$BV,'Luminate Forecast'!BO$19,0),0)</f>
        <v>2214.56</v>
      </c>
      <c r="BB10" s="33">
        <f>_xlfn.IFNA(VLOOKUP($D10,'Luminate Forecast'!$U:$BV,'Luminate Forecast'!BP$19,0),0)</f>
        <v>2203.16</v>
      </c>
      <c r="BC10" s="33">
        <f>_xlfn.IFNA(VLOOKUP($D10,'Luminate Forecast'!$U:$BV,'Luminate Forecast'!BQ$19,0),0)</f>
        <v>1531.5300000000002</v>
      </c>
      <c r="BD10" s="33">
        <f>_xlfn.IFNA(VLOOKUP($D10,'Luminate Forecast'!$U:$BV,'Luminate Forecast'!BR$19,0),0)</f>
        <v>1450.65</v>
      </c>
      <c r="BE10" s="33">
        <f>_xlfn.IFNA(VLOOKUP($D10,'Luminate Forecast'!$U:$BV,'Luminate Forecast'!BS$19,0),0)</f>
        <v>1287.48</v>
      </c>
      <c r="BF10" s="33">
        <f>_xlfn.IFNA(VLOOKUP($D10,'Luminate Forecast'!$U:$BV,'Luminate Forecast'!BT$19,0),0)</f>
        <v>1043.52</v>
      </c>
      <c r="BG10" s="33">
        <f>_xlfn.IFNA(VLOOKUP($D10,'Luminate Forecast'!$U:$BV,'Luminate Forecast'!BU$19,0),0)</f>
        <v>1175.73</v>
      </c>
      <c r="BH10"/>
    </row>
    <row r="11" spans="1:60" ht="15.6">
      <c r="A11" s="50" t="str">
        <f t="shared" si="0"/>
        <v>677410826Variance</v>
      </c>
      <c r="B11" s="61">
        <v>2</v>
      </c>
      <c r="C11" s="61" t="s">
        <v>296</v>
      </c>
      <c r="D11" s="61">
        <v>677410826</v>
      </c>
      <c r="E11" s="61" t="s">
        <v>295</v>
      </c>
      <c r="F11" s="34" t="s">
        <v>77</v>
      </c>
      <c r="G11" s="35" t="s">
        <v>74</v>
      </c>
      <c r="H11" s="52">
        <f t="shared" ref="H11" si="7">IF(H10&gt;0,H4/H10,0)</f>
        <v>0</v>
      </c>
      <c r="I11" s="52">
        <f t="shared" ref="I11:BG11" si="8">IF(I10&gt;0,I4/I10,0)</f>
        <v>0</v>
      </c>
      <c r="J11" s="52">
        <f t="shared" si="8"/>
        <v>0</v>
      </c>
      <c r="K11" s="52">
        <f t="shared" si="8"/>
        <v>0</v>
      </c>
      <c r="L11" s="52">
        <f t="shared" si="8"/>
        <v>0</v>
      </c>
      <c r="M11" s="52">
        <f t="shared" si="8"/>
        <v>0</v>
      </c>
      <c r="N11" s="52">
        <f t="shared" si="8"/>
        <v>0</v>
      </c>
      <c r="O11" s="52">
        <f t="shared" si="8"/>
        <v>0</v>
      </c>
      <c r="P11" s="52">
        <f t="shared" si="8"/>
        <v>0</v>
      </c>
      <c r="Q11" s="52">
        <f t="shared" si="8"/>
        <v>0</v>
      </c>
      <c r="R11" s="52">
        <f t="shared" si="8"/>
        <v>0</v>
      </c>
      <c r="S11" s="52">
        <f t="shared" si="8"/>
        <v>0</v>
      </c>
      <c r="T11" s="52">
        <f t="shared" si="8"/>
        <v>0</v>
      </c>
      <c r="U11" s="52">
        <f t="shared" si="8"/>
        <v>0</v>
      </c>
      <c r="V11" s="52">
        <f t="shared" si="8"/>
        <v>0</v>
      </c>
      <c r="W11" s="52">
        <f t="shared" si="8"/>
        <v>0</v>
      </c>
      <c r="X11" s="52">
        <f t="shared" si="8"/>
        <v>0</v>
      </c>
      <c r="Y11" s="52">
        <f t="shared" si="8"/>
        <v>0</v>
      </c>
      <c r="Z11" s="52">
        <f t="shared" si="8"/>
        <v>0</v>
      </c>
      <c r="AA11" s="52">
        <f t="shared" si="8"/>
        <v>0</v>
      </c>
      <c r="AB11" s="52">
        <f t="shared" si="8"/>
        <v>0</v>
      </c>
      <c r="AC11" s="52">
        <f t="shared" si="8"/>
        <v>0</v>
      </c>
      <c r="AD11" s="52">
        <f t="shared" si="8"/>
        <v>0</v>
      </c>
      <c r="AE11" s="52">
        <f t="shared" si="8"/>
        <v>0</v>
      </c>
      <c r="AF11" s="52">
        <f t="shared" si="8"/>
        <v>0</v>
      </c>
      <c r="AG11" s="52">
        <f t="shared" si="8"/>
        <v>0</v>
      </c>
      <c r="AH11" s="52">
        <f t="shared" si="8"/>
        <v>0</v>
      </c>
      <c r="AI11" s="52">
        <f t="shared" si="8"/>
        <v>0</v>
      </c>
      <c r="AJ11" s="52">
        <f t="shared" si="8"/>
        <v>0</v>
      </c>
      <c r="AK11" s="52">
        <f t="shared" si="8"/>
        <v>0</v>
      </c>
      <c r="AL11" s="52">
        <f t="shared" si="8"/>
        <v>2.7306824296648487E-2</v>
      </c>
      <c r="AM11" s="52">
        <f t="shared" si="8"/>
        <v>8.7502039242439975E-2</v>
      </c>
      <c r="AN11" s="52">
        <f t="shared" si="8"/>
        <v>0.23154435330544842</v>
      </c>
      <c r="AO11" s="52">
        <f t="shared" si="8"/>
        <v>0.30018197188749268</v>
      </c>
      <c r="AP11" s="52">
        <f t="shared" si="8"/>
        <v>0.35408040168237098</v>
      </c>
      <c r="AQ11" s="52">
        <f t="shared" si="8"/>
        <v>0.35890243463876004</v>
      </c>
      <c r="AR11" s="52">
        <f t="shared" si="8"/>
        <v>0.39121212546882239</v>
      </c>
      <c r="AS11" s="52">
        <f t="shared" si="8"/>
        <v>0.35985271144833741</v>
      </c>
      <c r="AT11" s="52">
        <f t="shared" si="8"/>
        <v>0.33327676904802306</v>
      </c>
      <c r="AU11" s="52">
        <f t="shared" si="8"/>
        <v>0.3157037590773174</v>
      </c>
      <c r="AV11" s="52">
        <f t="shared" si="8"/>
        <v>0.2957125009967837</v>
      </c>
      <c r="AW11" s="52">
        <f t="shared" si="8"/>
        <v>0.34156594850236466</v>
      </c>
      <c r="AX11" s="52">
        <f t="shared" si="8"/>
        <v>0</v>
      </c>
      <c r="AY11" s="52">
        <f t="shared" si="8"/>
        <v>0</v>
      </c>
      <c r="AZ11" s="52">
        <f t="shared" si="8"/>
        <v>0</v>
      </c>
      <c r="BA11" s="52">
        <f t="shared" si="8"/>
        <v>0</v>
      </c>
      <c r="BB11" s="52">
        <f t="shared" si="8"/>
        <v>0</v>
      </c>
      <c r="BC11" s="52">
        <f t="shared" si="8"/>
        <v>0</v>
      </c>
      <c r="BD11" s="52">
        <f t="shared" si="8"/>
        <v>0</v>
      </c>
      <c r="BE11" s="52">
        <f t="shared" si="8"/>
        <v>0</v>
      </c>
      <c r="BF11" s="52">
        <f t="shared" si="8"/>
        <v>0</v>
      </c>
      <c r="BG11" s="52">
        <f t="shared" si="8"/>
        <v>0</v>
      </c>
      <c r="BH11"/>
    </row>
    <row r="12" spans="1:60" ht="15.6">
      <c r="A12" s="50" t="str">
        <f t="shared" si="0"/>
        <v>677536463pos_sales_this_year</v>
      </c>
      <c r="B12" s="62">
        <v>2</v>
      </c>
      <c r="C12" s="62" t="s">
        <v>304</v>
      </c>
      <c r="D12" s="62">
        <v>677536463</v>
      </c>
      <c r="E12" s="62" t="s">
        <v>303</v>
      </c>
      <c r="F12" s="45" t="s">
        <v>66</v>
      </c>
      <c r="G12" s="36" t="s">
        <v>276</v>
      </c>
      <c r="H12" s="37">
        <f>VLOOKUP($A12,'Last Week Data'!$E:$BF,H$1,0)</f>
        <v>0</v>
      </c>
      <c r="I12" s="37">
        <f>VLOOKUP($A12,'Last Week Data'!$E:$BF,I$1,0)</f>
        <v>0</v>
      </c>
      <c r="J12" s="37">
        <f>VLOOKUP($A12,'Last Week Data'!$E:$BF,J$1,0)</f>
        <v>0</v>
      </c>
      <c r="K12" s="37">
        <f>VLOOKUP($A12,'Last Week Data'!$E:$BF,K$1,0)</f>
        <v>0</v>
      </c>
      <c r="L12" s="37">
        <f>VLOOKUP($A12,'Last Week Data'!$E:$BF,L$1,0)</f>
        <v>0</v>
      </c>
      <c r="M12" s="37">
        <f>VLOOKUP($A12,'Last Week Data'!$E:$BF,M$1,0)</f>
        <v>0</v>
      </c>
      <c r="N12" s="37">
        <f>VLOOKUP($A12,'Last Week Data'!$E:$BF,N$1,0)</f>
        <v>0</v>
      </c>
      <c r="O12" s="37">
        <f>VLOOKUP($A12,'Last Week Data'!$E:$BF,O$1,0)</f>
        <v>0</v>
      </c>
      <c r="P12" s="37">
        <f>VLOOKUP($A12,'Last Week Data'!$E:$BF,P$1,0)</f>
        <v>0</v>
      </c>
      <c r="Q12" s="37">
        <f>VLOOKUP($A12,'Last Week Data'!$E:$BF,Q$1,0)</f>
        <v>0</v>
      </c>
      <c r="R12" s="37">
        <f>VLOOKUP($A12,'Last Week Data'!$E:$BF,R$1,0)</f>
        <v>0</v>
      </c>
      <c r="S12" s="37">
        <f>VLOOKUP($A12,'Last Week Data'!$E:$BF,S$1,0)</f>
        <v>0</v>
      </c>
      <c r="T12" s="37">
        <f>VLOOKUP($A12,'Last Week Data'!$E:$BF,T$1,0)</f>
        <v>0</v>
      </c>
      <c r="U12" s="37">
        <f>VLOOKUP($A12,'Last Week Data'!$E:$BF,U$1,0)</f>
        <v>0</v>
      </c>
      <c r="V12" s="37">
        <f>VLOOKUP($A12,'Last Week Data'!$E:$BF,V$1,0)</f>
        <v>0</v>
      </c>
      <c r="W12" s="37">
        <f>VLOOKUP($A12,'Last Week Data'!$E:$BF,W$1,0)</f>
        <v>0</v>
      </c>
      <c r="X12" s="37">
        <f>VLOOKUP($A12,'Last Week Data'!$E:$BF,X$1,0)</f>
        <v>0</v>
      </c>
      <c r="Y12" s="37">
        <f>VLOOKUP($A12,'Last Week Data'!$E:$BF,Y$1,0)</f>
        <v>0</v>
      </c>
      <c r="Z12" s="37">
        <f>VLOOKUP($A12,'Last Week Data'!$E:$BF,Z$1,0)</f>
        <v>0</v>
      </c>
      <c r="AA12" s="37">
        <f>VLOOKUP($A12,'Last Week Data'!$E:$BF,AA$1,0)</f>
        <v>0</v>
      </c>
      <c r="AB12" s="37">
        <f>VLOOKUP($A12,'Last Week Data'!$E:$BF,AB$1,0)</f>
        <v>0</v>
      </c>
      <c r="AC12" s="37">
        <f>VLOOKUP($A12,'Last Week Data'!$E:$BF,AC$1,0)</f>
        <v>0</v>
      </c>
      <c r="AD12" s="37">
        <f>VLOOKUP($A12,'Last Week Data'!$E:$BF,AD$1,0)</f>
        <v>0</v>
      </c>
      <c r="AE12" s="37">
        <f>VLOOKUP($A12,'Last Week Data'!$E:$BF,AE$1,0)</f>
        <v>0</v>
      </c>
      <c r="AF12" s="37">
        <f>VLOOKUP($A12,'Last Week Data'!$E:$BF,AF$1,0)</f>
        <v>0</v>
      </c>
      <c r="AG12" s="37">
        <f>VLOOKUP($A12,'Last Week Data'!$E:$BF,AG$1,0)</f>
        <v>0</v>
      </c>
      <c r="AH12" s="37">
        <f>VLOOKUP($A12,'Last Week Data'!$E:$BF,AH$1,0)</f>
        <v>0</v>
      </c>
      <c r="AI12" s="37">
        <f>VLOOKUP($A12,'Last Week Data'!$E:$BF,AI$1,0)</f>
        <v>0</v>
      </c>
      <c r="AJ12" s="37">
        <f>VLOOKUP($A12,'Last Week Data'!$E:$BF,AJ$1,0)</f>
        <v>0</v>
      </c>
      <c r="AK12" s="37">
        <f>VLOOKUP($A12,'Last Week Data'!$E:$BF,AK$1,0)</f>
        <v>38.96</v>
      </c>
      <c r="AL12" s="37">
        <f>VLOOKUP($A12,'Last Week Data'!$E:$BF,AL$1,0)</f>
        <v>515.52</v>
      </c>
      <c r="AM12" s="37">
        <f>VLOOKUP($A12,'Last Week Data'!$E:$BF,AM$1,0)</f>
        <v>4181.8</v>
      </c>
      <c r="AN12" s="37">
        <f>VLOOKUP($A12,'Last Week Data'!$E:$BF,AN$1,0)</f>
        <v>8581.23</v>
      </c>
      <c r="AO12" s="37">
        <f>VLOOKUP($A12,'Last Week Data'!$E:$BF,AO$1,0)</f>
        <v>9183.64</v>
      </c>
      <c r="AP12" s="37">
        <f>VLOOKUP($A12,'Last Week Data'!$E:$BF,AP$1,0)</f>
        <v>10902.46</v>
      </c>
      <c r="AQ12" s="37">
        <f>VLOOKUP($A12,'Last Week Data'!$E:$BF,AQ$1,0)</f>
        <v>10968.39</v>
      </c>
      <c r="AR12" s="37">
        <f>VLOOKUP($A12,'Last Week Data'!$E:$BF,AR$1,0)</f>
        <v>10175.64</v>
      </c>
      <c r="AS12" s="37">
        <f>VLOOKUP($A12,'Last Week Data'!$E:$BF,AS$1,0)</f>
        <v>10822.96</v>
      </c>
      <c r="AT12" s="37">
        <f>VLOOKUP($A12,'Last Week Data'!$E:$BF,AT$1,0)</f>
        <v>9362.26</v>
      </c>
      <c r="AU12" s="37">
        <f>VLOOKUP($A12,'Last Week Data'!$E:$BF,AU$1,0)</f>
        <v>10406.82</v>
      </c>
      <c r="AV12" s="37">
        <f>VLOOKUP($A12,'Last Week Data'!$E:$BF,AV$1,0)</f>
        <v>10521.25</v>
      </c>
      <c r="AW12" s="37">
        <f>VLOOKUP($A12,'Last Week Data'!$E:$BF,AW$1,0)</f>
        <v>8043.7</v>
      </c>
      <c r="AX12" s="37">
        <f>VLOOKUP($A12,'Last Week Data'!$E:$BF,AX$1,0)</f>
        <v>0</v>
      </c>
      <c r="AY12" s="37">
        <f>VLOOKUP($A12,'Last Week Data'!$E:$BF,AY$1,0)</f>
        <v>0</v>
      </c>
      <c r="AZ12" s="37">
        <f>VLOOKUP($A12,'Last Week Data'!$E:$BF,AZ$1,0)</f>
        <v>0</v>
      </c>
      <c r="BA12" s="37">
        <f>VLOOKUP($A12,'Last Week Data'!$E:$BF,BA$1,0)</f>
        <v>0</v>
      </c>
      <c r="BB12" s="37">
        <f>VLOOKUP($A12,'Last Week Data'!$E:$BF,BB$1,0)</f>
        <v>0</v>
      </c>
      <c r="BC12" s="37">
        <f>VLOOKUP($A12,'Last Week Data'!$E:$BF,BC$1,0)</f>
        <v>0</v>
      </c>
      <c r="BD12" s="37">
        <f>VLOOKUP($A12,'Last Week Data'!$E:$BF,BD$1,0)</f>
        <v>0</v>
      </c>
      <c r="BE12" s="37">
        <f>VLOOKUP($A12,'Last Week Data'!$E:$BF,BE$1,0)</f>
        <v>0</v>
      </c>
      <c r="BF12" s="37">
        <f>VLOOKUP($A12,'Last Week Data'!$E:$BF,BF$1,0)</f>
        <v>0</v>
      </c>
      <c r="BG12" s="37">
        <f>VLOOKUP($A12,'Last Week Data'!$E:$BF,BG$1,0)</f>
        <v>0</v>
      </c>
      <c r="BH12"/>
    </row>
    <row r="13" spans="1:60" ht="15.6">
      <c r="A13" s="50" t="str">
        <f t="shared" si="0"/>
        <v>677536463pos_quantity_this_year</v>
      </c>
      <c r="B13" s="60">
        <v>2</v>
      </c>
      <c r="C13" s="60" t="s">
        <v>304</v>
      </c>
      <c r="D13" s="60">
        <v>677536463</v>
      </c>
      <c r="E13" s="60" t="s">
        <v>303</v>
      </c>
      <c r="F13" s="46" t="s">
        <v>67</v>
      </c>
      <c r="G13" s="38" t="s">
        <v>277</v>
      </c>
      <c r="H13" s="49">
        <f>VLOOKUP($A13,'Last Week Data'!$E$3:$BF$17924,H$1,0)</f>
        <v>0</v>
      </c>
      <c r="I13" s="49">
        <f>VLOOKUP($A13,'Last Week Data'!$E$3:$BF$17924,I$1,0)</f>
        <v>0</v>
      </c>
      <c r="J13" s="49">
        <f>VLOOKUP($A13,'Last Week Data'!$E$3:$BF$17924,J$1,0)</f>
        <v>0</v>
      </c>
      <c r="K13" s="49">
        <f>VLOOKUP($A13,'Last Week Data'!$E$3:$BF$17924,K$1,0)</f>
        <v>0</v>
      </c>
      <c r="L13" s="49">
        <f>VLOOKUP($A13,'Last Week Data'!$E$3:$BF$17924,L$1,0)</f>
        <v>0</v>
      </c>
      <c r="M13" s="49">
        <f>VLOOKUP($A13,'Last Week Data'!$E$3:$BF$17924,M$1,0)</f>
        <v>0</v>
      </c>
      <c r="N13" s="49">
        <f>VLOOKUP($A13,'Last Week Data'!$E$3:$BF$17924,N$1,0)</f>
        <v>0</v>
      </c>
      <c r="O13" s="49">
        <f>VLOOKUP($A13,'Last Week Data'!$E$3:$BF$17924,O$1,0)</f>
        <v>0</v>
      </c>
      <c r="P13" s="49">
        <f>VLOOKUP($A13,'Last Week Data'!$E$3:$BF$17924,P$1,0)</f>
        <v>0</v>
      </c>
      <c r="Q13" s="49">
        <f>VLOOKUP($A13,'Last Week Data'!$E$3:$BF$17924,Q$1,0)</f>
        <v>0</v>
      </c>
      <c r="R13" s="49">
        <f>VLOOKUP($A13,'Last Week Data'!$E$3:$BF$17924,R$1,0)</f>
        <v>0</v>
      </c>
      <c r="S13" s="49">
        <f>VLOOKUP($A13,'Last Week Data'!$E$3:$BF$17924,S$1,0)</f>
        <v>0</v>
      </c>
      <c r="T13" s="49">
        <f>VLOOKUP($A13,'Last Week Data'!$E$3:$BF$17924,T$1,0)</f>
        <v>0</v>
      </c>
      <c r="U13" s="49">
        <f>VLOOKUP($A13,'Last Week Data'!$E$3:$BF$17924,U$1,0)</f>
        <v>0</v>
      </c>
      <c r="V13" s="49">
        <f>VLOOKUP($A13,'Last Week Data'!$E$3:$BF$17924,V$1,0)</f>
        <v>0</v>
      </c>
      <c r="W13" s="49">
        <f>VLOOKUP($A13,'Last Week Data'!$E$3:$BF$17924,W$1,0)</f>
        <v>0</v>
      </c>
      <c r="X13" s="49">
        <f>VLOOKUP($A13,'Last Week Data'!$E$3:$BF$17924,X$1,0)</f>
        <v>0</v>
      </c>
      <c r="Y13" s="49">
        <f>VLOOKUP($A13,'Last Week Data'!$E$3:$BF$17924,Y$1,0)</f>
        <v>0</v>
      </c>
      <c r="Z13" s="49">
        <f>VLOOKUP($A13,'Last Week Data'!$E$3:$BF$17924,Z$1,0)</f>
        <v>0</v>
      </c>
      <c r="AA13" s="49">
        <f>VLOOKUP($A13,'Last Week Data'!$E$3:$BF$17924,AA$1,0)</f>
        <v>0</v>
      </c>
      <c r="AB13" s="49">
        <f>VLOOKUP($A13,'Last Week Data'!$E$3:$BF$17924,AB$1,0)</f>
        <v>0</v>
      </c>
      <c r="AC13" s="49">
        <f>VLOOKUP($A13,'Last Week Data'!$E$3:$BF$17924,AC$1,0)</f>
        <v>0</v>
      </c>
      <c r="AD13" s="49">
        <f>VLOOKUP($A13,'Last Week Data'!$E$3:$BF$17924,AD$1,0)</f>
        <v>0</v>
      </c>
      <c r="AE13" s="49">
        <f>VLOOKUP($A13,'Last Week Data'!$E$3:$BF$17924,AE$1,0)</f>
        <v>0</v>
      </c>
      <c r="AF13" s="49">
        <f>VLOOKUP($A13,'Last Week Data'!$E$3:$BF$17924,AF$1,0)</f>
        <v>0</v>
      </c>
      <c r="AG13" s="49">
        <f>VLOOKUP($A13,'Last Week Data'!$E$3:$BF$17924,AG$1,0)</f>
        <v>0</v>
      </c>
      <c r="AH13" s="49">
        <f>VLOOKUP($A13,'Last Week Data'!$E$3:$BF$17924,AH$1,0)</f>
        <v>0</v>
      </c>
      <c r="AI13" s="49">
        <f>VLOOKUP($A13,'Last Week Data'!$E$3:$BF$17924,AI$1,0)</f>
        <v>0</v>
      </c>
      <c r="AJ13" s="49">
        <f>VLOOKUP($A13,'Last Week Data'!$E$3:$BF$17924,AJ$1,0)</f>
        <v>0</v>
      </c>
      <c r="AK13" s="49">
        <f>VLOOKUP($A13,'Last Week Data'!$E$3:$BF$17924,AK$1,0)</f>
        <v>1</v>
      </c>
      <c r="AL13" s="49">
        <f>VLOOKUP($A13,'Last Week Data'!$E$3:$BF$17924,AL$1,0)</f>
        <v>14</v>
      </c>
      <c r="AM13" s="49">
        <f>VLOOKUP($A13,'Last Week Data'!$E$3:$BF$17924,AM$1,0)</f>
        <v>108</v>
      </c>
      <c r="AN13" s="49">
        <f>VLOOKUP($A13,'Last Week Data'!$E$3:$BF$17924,AN$1,0)</f>
        <v>223</v>
      </c>
      <c r="AO13" s="49">
        <f>VLOOKUP($A13,'Last Week Data'!$E$3:$BF$17924,AO$1,0)</f>
        <v>236</v>
      </c>
      <c r="AP13" s="49">
        <f>VLOOKUP($A13,'Last Week Data'!$E$3:$BF$17924,AP$1,0)</f>
        <v>281</v>
      </c>
      <c r="AQ13" s="49">
        <f>VLOOKUP($A13,'Last Week Data'!$E$3:$BF$17924,AQ$1,0)</f>
        <v>283</v>
      </c>
      <c r="AR13" s="49">
        <f>VLOOKUP($A13,'Last Week Data'!$E$3:$BF$17924,AR$1,0)</f>
        <v>263</v>
      </c>
      <c r="AS13" s="49">
        <f>VLOOKUP($A13,'Last Week Data'!$E$3:$BF$17924,AS$1,0)</f>
        <v>281</v>
      </c>
      <c r="AT13" s="49">
        <f>VLOOKUP($A13,'Last Week Data'!$E$3:$BF$17924,AT$1,0)</f>
        <v>242</v>
      </c>
      <c r="AU13" s="49">
        <f>VLOOKUP($A13,'Last Week Data'!$E$3:$BF$17924,AU$1,0)</f>
        <v>268</v>
      </c>
      <c r="AV13" s="49">
        <f>VLOOKUP($A13,'Last Week Data'!$E$3:$BF$17924,AV$1,0)</f>
        <v>271</v>
      </c>
      <c r="AW13" s="49">
        <f>VLOOKUP($A13,'Last Week Data'!$E$3:$BF$17924,AW$1,0)</f>
        <v>206</v>
      </c>
      <c r="AX13" s="49">
        <f>VLOOKUP($A13,'Last Week Data'!$E$3:$BF$17924,AX$1,0)</f>
        <v>0</v>
      </c>
      <c r="AY13" s="49">
        <f>VLOOKUP($A13,'Last Week Data'!$E$3:$BF$17924,AY$1,0)</f>
        <v>0</v>
      </c>
      <c r="AZ13" s="49">
        <f>VLOOKUP($A13,'Last Week Data'!$E$3:$BF$17924,AZ$1,0)</f>
        <v>0</v>
      </c>
      <c r="BA13" s="49">
        <f>VLOOKUP($A13,'Last Week Data'!$E$3:$BF$17924,BA$1,0)</f>
        <v>0</v>
      </c>
      <c r="BB13" s="49">
        <f>VLOOKUP($A13,'Last Week Data'!$E$3:$BF$17924,BB$1,0)</f>
        <v>0</v>
      </c>
      <c r="BC13" s="49">
        <f>VLOOKUP($A13,'Last Week Data'!$E$3:$BF$17924,BC$1,0)</f>
        <v>0</v>
      </c>
      <c r="BD13" s="49">
        <f>VLOOKUP($A13,'Last Week Data'!$E$3:$BF$17924,BD$1,0)</f>
        <v>0</v>
      </c>
      <c r="BE13" s="49">
        <f>VLOOKUP($A13,'Last Week Data'!$E$3:$BF$17924,BE$1,0)</f>
        <v>0</v>
      </c>
      <c r="BF13" s="49">
        <f>VLOOKUP($A13,'Last Week Data'!$E$3:$BF$17924,BF$1,0)</f>
        <v>0</v>
      </c>
      <c r="BG13" s="49">
        <f>VLOOKUP($A13,'Last Week Data'!$E$3:$BF$17924,BG$1,0)</f>
        <v>0</v>
      </c>
      <c r="BH13"/>
    </row>
    <row r="14" spans="1:60" ht="15.6">
      <c r="A14" s="50" t="str">
        <f t="shared" si="0"/>
        <v>677536463POS Qty if Instock</v>
      </c>
      <c r="B14" s="60">
        <v>2</v>
      </c>
      <c r="C14" s="60" t="s">
        <v>304</v>
      </c>
      <c r="D14" s="60">
        <v>677536463</v>
      </c>
      <c r="E14" s="60" t="s">
        <v>303</v>
      </c>
      <c r="F14" s="46" t="s">
        <v>75</v>
      </c>
      <c r="G14" s="31" t="s">
        <v>72</v>
      </c>
      <c r="H14" s="39">
        <f t="shared" ref="H14:BG14" si="9">((1-H18)*H13)+H13</f>
        <v>0</v>
      </c>
      <c r="I14" s="39">
        <f t="shared" si="9"/>
        <v>0</v>
      </c>
      <c r="J14" s="39">
        <f t="shared" si="9"/>
        <v>0</v>
      </c>
      <c r="K14" s="39">
        <f t="shared" si="9"/>
        <v>0</v>
      </c>
      <c r="L14" s="39">
        <f t="shared" si="9"/>
        <v>0</v>
      </c>
      <c r="M14" s="39">
        <f t="shared" si="9"/>
        <v>0</v>
      </c>
      <c r="N14" s="39">
        <f t="shared" si="9"/>
        <v>0</v>
      </c>
      <c r="O14" s="39">
        <f t="shared" si="9"/>
        <v>0</v>
      </c>
      <c r="P14" s="39">
        <f t="shared" si="9"/>
        <v>0</v>
      </c>
      <c r="Q14" s="39">
        <f t="shared" si="9"/>
        <v>0</v>
      </c>
      <c r="R14" s="39">
        <f t="shared" si="9"/>
        <v>0</v>
      </c>
      <c r="S14" s="39">
        <f t="shared" si="9"/>
        <v>0</v>
      </c>
      <c r="T14" s="39">
        <f t="shared" si="9"/>
        <v>0</v>
      </c>
      <c r="U14" s="39">
        <f t="shared" si="9"/>
        <v>0</v>
      </c>
      <c r="V14" s="39">
        <f t="shared" si="9"/>
        <v>0</v>
      </c>
      <c r="W14" s="39">
        <f t="shared" si="9"/>
        <v>0</v>
      </c>
      <c r="X14" s="39">
        <f t="shared" si="9"/>
        <v>0</v>
      </c>
      <c r="Y14" s="39">
        <f t="shared" si="9"/>
        <v>0</v>
      </c>
      <c r="Z14" s="39">
        <f t="shared" si="9"/>
        <v>0</v>
      </c>
      <c r="AA14" s="39">
        <f t="shared" si="9"/>
        <v>0</v>
      </c>
      <c r="AB14" s="39">
        <f t="shared" si="9"/>
        <v>0</v>
      </c>
      <c r="AC14" s="39">
        <f t="shared" si="9"/>
        <v>0</v>
      </c>
      <c r="AD14" s="39">
        <f t="shared" si="9"/>
        <v>0</v>
      </c>
      <c r="AE14" s="39">
        <f t="shared" si="9"/>
        <v>0</v>
      </c>
      <c r="AF14" s="39">
        <f t="shared" si="9"/>
        <v>0</v>
      </c>
      <c r="AG14" s="39">
        <f t="shared" si="9"/>
        <v>0</v>
      </c>
      <c r="AH14" s="39">
        <f t="shared" si="9"/>
        <v>0</v>
      </c>
      <c r="AI14" s="39">
        <f t="shared" si="9"/>
        <v>0</v>
      </c>
      <c r="AJ14" s="39">
        <f t="shared" si="9"/>
        <v>0</v>
      </c>
      <c r="AK14" s="39">
        <f t="shared" si="9"/>
        <v>2</v>
      </c>
      <c r="AL14" s="39">
        <f t="shared" si="9"/>
        <v>28</v>
      </c>
      <c r="AM14" s="39">
        <f t="shared" si="9"/>
        <v>216</v>
      </c>
      <c r="AN14" s="39">
        <f t="shared" si="9"/>
        <v>231.51859999999999</v>
      </c>
      <c r="AO14" s="39">
        <f t="shared" si="9"/>
        <v>242.2304</v>
      </c>
      <c r="AP14" s="39">
        <f t="shared" si="9"/>
        <v>284.51249999999999</v>
      </c>
      <c r="AQ14" s="39">
        <f t="shared" si="9"/>
        <v>285.94319999999999</v>
      </c>
      <c r="AR14" s="39">
        <f t="shared" si="9"/>
        <v>269.62759999999997</v>
      </c>
      <c r="AS14" s="39">
        <f t="shared" si="9"/>
        <v>285.21500000000003</v>
      </c>
      <c r="AT14" s="39">
        <f t="shared" si="9"/>
        <v>244.4684</v>
      </c>
      <c r="AU14" s="39">
        <f t="shared" si="9"/>
        <v>270.3852</v>
      </c>
      <c r="AV14" s="39">
        <f t="shared" si="9"/>
        <v>273.5745</v>
      </c>
      <c r="AW14" s="39">
        <f t="shared" si="9"/>
        <v>209.0694</v>
      </c>
      <c r="AX14" s="39">
        <f t="shared" si="9"/>
        <v>0</v>
      </c>
      <c r="AY14" s="39">
        <f t="shared" si="9"/>
        <v>0</v>
      </c>
      <c r="AZ14" s="39">
        <f t="shared" si="9"/>
        <v>0</v>
      </c>
      <c r="BA14" s="39">
        <f t="shared" si="9"/>
        <v>0</v>
      </c>
      <c r="BB14" s="39">
        <f t="shared" si="9"/>
        <v>0</v>
      </c>
      <c r="BC14" s="39">
        <f t="shared" si="9"/>
        <v>0</v>
      </c>
      <c r="BD14" s="39">
        <f t="shared" si="9"/>
        <v>0</v>
      </c>
      <c r="BE14" s="39">
        <f t="shared" si="9"/>
        <v>0</v>
      </c>
      <c r="BF14" s="39">
        <f t="shared" si="9"/>
        <v>0</v>
      </c>
      <c r="BG14" s="39">
        <f t="shared" si="9"/>
        <v>0</v>
      </c>
      <c r="BH14"/>
    </row>
    <row r="15" spans="1:60" ht="15.6">
      <c r="A15" s="50" t="str">
        <f t="shared" si="0"/>
        <v>677536463Units per Store per Week (w/zeros)</v>
      </c>
      <c r="B15" s="60">
        <v>2</v>
      </c>
      <c r="C15" s="60" t="s">
        <v>304</v>
      </c>
      <c r="D15" s="60">
        <v>677536463</v>
      </c>
      <c r="E15" s="60" t="s">
        <v>303</v>
      </c>
      <c r="F15" s="46" t="s">
        <v>68</v>
      </c>
      <c r="G15" s="40" t="s">
        <v>63</v>
      </c>
      <c r="H15" s="63">
        <f t="shared" ref="H15:BG15" si="10">IFERROR(H13/H17,0)</f>
        <v>0</v>
      </c>
      <c r="I15" s="63">
        <f t="shared" si="10"/>
        <v>0</v>
      </c>
      <c r="J15" s="63">
        <f t="shared" si="10"/>
        <v>0</v>
      </c>
      <c r="K15" s="63">
        <f t="shared" si="10"/>
        <v>0</v>
      </c>
      <c r="L15" s="63">
        <f t="shared" si="10"/>
        <v>0</v>
      </c>
      <c r="M15" s="63">
        <f t="shared" si="10"/>
        <v>0</v>
      </c>
      <c r="N15" s="63">
        <f t="shared" si="10"/>
        <v>0</v>
      </c>
      <c r="O15" s="63">
        <f t="shared" si="10"/>
        <v>0</v>
      </c>
      <c r="P15" s="63">
        <f t="shared" si="10"/>
        <v>0</v>
      </c>
      <c r="Q15" s="63">
        <f t="shared" si="10"/>
        <v>0</v>
      </c>
      <c r="R15" s="63">
        <f t="shared" si="10"/>
        <v>0</v>
      </c>
      <c r="S15" s="63">
        <f t="shared" si="10"/>
        <v>0</v>
      </c>
      <c r="T15" s="63">
        <f t="shared" si="10"/>
        <v>0</v>
      </c>
      <c r="U15" s="63">
        <f t="shared" si="10"/>
        <v>0</v>
      </c>
      <c r="V15" s="63">
        <f t="shared" si="10"/>
        <v>0</v>
      </c>
      <c r="W15" s="63">
        <f t="shared" si="10"/>
        <v>0</v>
      </c>
      <c r="X15" s="63">
        <f t="shared" si="10"/>
        <v>0</v>
      </c>
      <c r="Y15" s="63">
        <f t="shared" si="10"/>
        <v>0</v>
      </c>
      <c r="Z15" s="63">
        <f t="shared" si="10"/>
        <v>0</v>
      </c>
      <c r="AA15" s="63">
        <f t="shared" si="10"/>
        <v>0</v>
      </c>
      <c r="AB15" s="63">
        <f t="shared" si="10"/>
        <v>0</v>
      </c>
      <c r="AC15" s="63">
        <f t="shared" si="10"/>
        <v>0</v>
      </c>
      <c r="AD15" s="63">
        <f t="shared" si="10"/>
        <v>0</v>
      </c>
      <c r="AE15" s="63">
        <f t="shared" si="10"/>
        <v>0</v>
      </c>
      <c r="AF15" s="63">
        <f t="shared" si="10"/>
        <v>0</v>
      </c>
      <c r="AG15" s="63">
        <f t="shared" si="10"/>
        <v>0</v>
      </c>
      <c r="AH15" s="63">
        <f t="shared" si="10"/>
        <v>0</v>
      </c>
      <c r="AI15" s="63">
        <f t="shared" si="10"/>
        <v>0</v>
      </c>
      <c r="AJ15" s="63">
        <f t="shared" si="10"/>
        <v>0</v>
      </c>
      <c r="AK15" s="63">
        <f t="shared" si="10"/>
        <v>0</v>
      </c>
      <c r="AL15" s="63">
        <f t="shared" si="10"/>
        <v>9.7222222222222224E-3</v>
      </c>
      <c r="AM15" s="63">
        <f t="shared" si="10"/>
        <v>7.4947952810548224E-2</v>
      </c>
      <c r="AN15" s="63">
        <f t="shared" si="10"/>
        <v>0.15475364330326163</v>
      </c>
      <c r="AO15" s="63">
        <f t="shared" si="10"/>
        <v>0.1636615811373093</v>
      </c>
      <c r="AP15" s="63">
        <f t="shared" si="10"/>
        <v>0.19473319473319473</v>
      </c>
      <c r="AQ15" s="63">
        <f t="shared" si="10"/>
        <v>0.1919945725915875</v>
      </c>
      <c r="AR15" s="63">
        <f t="shared" si="10"/>
        <v>0.1783050847457627</v>
      </c>
      <c r="AS15" s="63">
        <f t="shared" si="10"/>
        <v>0.19050847457627118</v>
      </c>
      <c r="AT15" s="63">
        <f t="shared" si="10"/>
        <v>0.16417910447761194</v>
      </c>
      <c r="AU15" s="63">
        <f t="shared" si="10"/>
        <v>0.18194161575016973</v>
      </c>
      <c r="AV15" s="63">
        <f t="shared" si="10"/>
        <v>0.18385345997286295</v>
      </c>
      <c r="AW15" s="63">
        <f t="shared" si="10"/>
        <v>0.13985064494229463</v>
      </c>
      <c r="AX15" s="63">
        <f t="shared" si="10"/>
        <v>0</v>
      </c>
      <c r="AY15" s="63">
        <f t="shared" si="10"/>
        <v>0</v>
      </c>
      <c r="AZ15" s="63">
        <f t="shared" si="10"/>
        <v>0</v>
      </c>
      <c r="BA15" s="63">
        <f t="shared" si="10"/>
        <v>0</v>
      </c>
      <c r="BB15" s="63">
        <f t="shared" si="10"/>
        <v>0</v>
      </c>
      <c r="BC15" s="63">
        <f t="shared" si="10"/>
        <v>0</v>
      </c>
      <c r="BD15" s="63">
        <f t="shared" si="10"/>
        <v>0</v>
      </c>
      <c r="BE15" s="63">
        <f t="shared" si="10"/>
        <v>0</v>
      </c>
      <c r="BF15" s="63">
        <f t="shared" si="10"/>
        <v>0</v>
      </c>
      <c r="BG15" s="63">
        <f t="shared" si="10"/>
        <v>0</v>
      </c>
      <c r="BH15"/>
    </row>
    <row r="16" spans="1:60" ht="15.6">
      <c r="A16" s="50" t="str">
        <f t="shared" si="0"/>
        <v>677536463Avg Price</v>
      </c>
      <c r="B16" s="60">
        <v>2</v>
      </c>
      <c r="C16" s="60" t="s">
        <v>304</v>
      </c>
      <c r="D16" s="60">
        <v>677536463</v>
      </c>
      <c r="E16" s="60" t="s">
        <v>303</v>
      </c>
      <c r="F16" s="46" t="s">
        <v>69</v>
      </c>
      <c r="G16" s="40" t="s">
        <v>49</v>
      </c>
      <c r="H16" s="47">
        <f t="shared" ref="H16:BG16" si="11">IFERROR(H12/H13,0)</f>
        <v>0</v>
      </c>
      <c r="I16" s="47">
        <f t="shared" si="11"/>
        <v>0</v>
      </c>
      <c r="J16" s="47">
        <f t="shared" si="11"/>
        <v>0</v>
      </c>
      <c r="K16" s="47">
        <f t="shared" si="11"/>
        <v>0</v>
      </c>
      <c r="L16" s="47">
        <f t="shared" si="11"/>
        <v>0</v>
      </c>
      <c r="M16" s="47">
        <f t="shared" si="11"/>
        <v>0</v>
      </c>
      <c r="N16" s="47">
        <f t="shared" si="11"/>
        <v>0</v>
      </c>
      <c r="O16" s="47">
        <f t="shared" si="11"/>
        <v>0</v>
      </c>
      <c r="P16" s="47">
        <f t="shared" si="11"/>
        <v>0</v>
      </c>
      <c r="Q16" s="47">
        <f t="shared" si="11"/>
        <v>0</v>
      </c>
      <c r="R16" s="47">
        <f t="shared" si="11"/>
        <v>0</v>
      </c>
      <c r="S16" s="47">
        <f t="shared" si="11"/>
        <v>0</v>
      </c>
      <c r="T16" s="47">
        <f t="shared" si="11"/>
        <v>0</v>
      </c>
      <c r="U16" s="47">
        <f t="shared" si="11"/>
        <v>0</v>
      </c>
      <c r="V16" s="47">
        <f t="shared" si="11"/>
        <v>0</v>
      </c>
      <c r="W16" s="47">
        <f t="shared" si="11"/>
        <v>0</v>
      </c>
      <c r="X16" s="47">
        <f t="shared" si="11"/>
        <v>0</v>
      </c>
      <c r="Y16" s="47">
        <f t="shared" si="11"/>
        <v>0</v>
      </c>
      <c r="Z16" s="47">
        <f t="shared" si="11"/>
        <v>0</v>
      </c>
      <c r="AA16" s="47">
        <f t="shared" si="11"/>
        <v>0</v>
      </c>
      <c r="AB16" s="47">
        <f t="shared" si="11"/>
        <v>0</v>
      </c>
      <c r="AC16" s="47">
        <f t="shared" si="11"/>
        <v>0</v>
      </c>
      <c r="AD16" s="47">
        <f t="shared" si="11"/>
        <v>0</v>
      </c>
      <c r="AE16" s="47">
        <f t="shared" si="11"/>
        <v>0</v>
      </c>
      <c r="AF16" s="47">
        <f t="shared" si="11"/>
        <v>0</v>
      </c>
      <c r="AG16" s="47">
        <f t="shared" si="11"/>
        <v>0</v>
      </c>
      <c r="AH16" s="47">
        <f t="shared" si="11"/>
        <v>0</v>
      </c>
      <c r="AI16" s="47">
        <f t="shared" si="11"/>
        <v>0</v>
      </c>
      <c r="AJ16" s="47">
        <f t="shared" si="11"/>
        <v>0</v>
      </c>
      <c r="AK16" s="47">
        <f t="shared" si="11"/>
        <v>38.96</v>
      </c>
      <c r="AL16" s="47">
        <f t="shared" si="11"/>
        <v>36.822857142857139</v>
      </c>
      <c r="AM16" s="47">
        <f t="shared" si="11"/>
        <v>38.720370370370375</v>
      </c>
      <c r="AN16" s="47">
        <f t="shared" si="11"/>
        <v>38.480852017937217</v>
      </c>
      <c r="AO16" s="47">
        <f t="shared" si="11"/>
        <v>38.913728813559317</v>
      </c>
      <c r="AP16" s="47">
        <f t="shared" si="11"/>
        <v>38.798790035587189</v>
      </c>
      <c r="AQ16" s="47">
        <f t="shared" si="11"/>
        <v>38.757561837455832</v>
      </c>
      <c r="AR16" s="47">
        <f t="shared" si="11"/>
        <v>38.6906463878327</v>
      </c>
      <c r="AS16" s="47">
        <f t="shared" si="11"/>
        <v>38.515871886120991</v>
      </c>
      <c r="AT16" s="47">
        <f t="shared" si="11"/>
        <v>38.687024793388431</v>
      </c>
      <c r="AU16" s="47">
        <f t="shared" si="11"/>
        <v>38.831417910447762</v>
      </c>
      <c r="AV16" s="47">
        <f t="shared" si="11"/>
        <v>38.823800738007378</v>
      </c>
      <c r="AW16" s="47">
        <f t="shared" si="11"/>
        <v>39.047087378640775</v>
      </c>
      <c r="AX16" s="47">
        <f t="shared" si="11"/>
        <v>0</v>
      </c>
      <c r="AY16" s="47">
        <f t="shared" si="11"/>
        <v>0</v>
      </c>
      <c r="AZ16" s="47">
        <f t="shared" si="11"/>
        <v>0</v>
      </c>
      <c r="BA16" s="47">
        <f t="shared" si="11"/>
        <v>0</v>
      </c>
      <c r="BB16" s="47">
        <f t="shared" si="11"/>
        <v>0</v>
      </c>
      <c r="BC16" s="47">
        <f t="shared" si="11"/>
        <v>0</v>
      </c>
      <c r="BD16" s="47">
        <f t="shared" si="11"/>
        <v>0</v>
      </c>
      <c r="BE16" s="47">
        <f t="shared" si="11"/>
        <v>0</v>
      </c>
      <c r="BF16" s="47">
        <f t="shared" si="11"/>
        <v>0</v>
      </c>
      <c r="BG16" s="47">
        <f t="shared" si="11"/>
        <v>0</v>
      </c>
      <c r="BH16"/>
    </row>
    <row r="17" spans="1:60" ht="15.6">
      <c r="A17" s="50" t="str">
        <f t="shared" si="0"/>
        <v>677536463traited_store_count_this_year</v>
      </c>
      <c r="B17" s="60">
        <v>2</v>
      </c>
      <c r="C17" s="60" t="s">
        <v>304</v>
      </c>
      <c r="D17" s="60">
        <v>677536463</v>
      </c>
      <c r="E17" s="60" t="s">
        <v>303</v>
      </c>
      <c r="F17" s="46" t="s">
        <v>70</v>
      </c>
      <c r="G17" s="40" t="s">
        <v>125</v>
      </c>
      <c r="H17" s="24">
        <f>VLOOKUP($A17,'Last Week Data'!$E$3:$BF$17924,H$1,0)</f>
        <v>0</v>
      </c>
      <c r="I17" s="24">
        <f>VLOOKUP($A17,'Last Week Data'!$E$3:$BF$17924,I$1,0)</f>
        <v>0</v>
      </c>
      <c r="J17" s="24">
        <f>VLOOKUP($A17,'Last Week Data'!$E$3:$BF$17924,J$1,0)</f>
        <v>0</v>
      </c>
      <c r="K17" s="24">
        <f>VLOOKUP($A17,'Last Week Data'!$E$3:$BF$17924,K$1,0)</f>
        <v>0</v>
      </c>
      <c r="L17" s="24">
        <f>VLOOKUP($A17,'Last Week Data'!$E$3:$BF$17924,L$1,0)</f>
        <v>0</v>
      </c>
      <c r="M17" s="24">
        <f>VLOOKUP($A17,'Last Week Data'!$E$3:$BF$17924,M$1,0)</f>
        <v>0</v>
      </c>
      <c r="N17" s="24">
        <f>VLOOKUP($A17,'Last Week Data'!$E$3:$BF$17924,N$1,0)</f>
        <v>0</v>
      </c>
      <c r="O17" s="24">
        <f>VLOOKUP($A17,'Last Week Data'!$E$3:$BF$17924,O$1,0)</f>
        <v>0</v>
      </c>
      <c r="P17" s="24">
        <f>VLOOKUP($A17,'Last Week Data'!$E$3:$BF$17924,P$1,0)</f>
        <v>0</v>
      </c>
      <c r="Q17" s="24">
        <f>VLOOKUP($A17,'Last Week Data'!$E$3:$BF$17924,Q$1,0)</f>
        <v>0</v>
      </c>
      <c r="R17" s="24">
        <f>VLOOKUP($A17,'Last Week Data'!$E$3:$BF$17924,R$1,0)</f>
        <v>0</v>
      </c>
      <c r="S17" s="24">
        <f>VLOOKUP($A17,'Last Week Data'!$E$3:$BF$17924,S$1,0)</f>
        <v>0</v>
      </c>
      <c r="T17" s="24">
        <f>VLOOKUP($A17,'Last Week Data'!$E$3:$BF$17924,T$1,0)</f>
        <v>0</v>
      </c>
      <c r="U17" s="24">
        <f>VLOOKUP($A17,'Last Week Data'!$E$3:$BF$17924,U$1,0)</f>
        <v>0</v>
      </c>
      <c r="V17" s="24">
        <f>VLOOKUP($A17,'Last Week Data'!$E$3:$BF$17924,V$1,0)</f>
        <v>0</v>
      </c>
      <c r="W17" s="24">
        <f>VLOOKUP($A17,'Last Week Data'!$E$3:$BF$17924,W$1,0)</f>
        <v>0</v>
      </c>
      <c r="X17" s="24">
        <f>VLOOKUP($A17,'Last Week Data'!$E$3:$BF$17924,X$1,0)</f>
        <v>0</v>
      </c>
      <c r="Y17" s="24">
        <f>VLOOKUP($A17,'Last Week Data'!$E$3:$BF$17924,Y$1,0)</f>
        <v>0</v>
      </c>
      <c r="Z17" s="24">
        <f>VLOOKUP($A17,'Last Week Data'!$E$3:$BF$17924,Z$1,0)</f>
        <v>0</v>
      </c>
      <c r="AA17" s="24">
        <f>VLOOKUP($A17,'Last Week Data'!$E$3:$BF$17924,AA$1,0)</f>
        <v>0</v>
      </c>
      <c r="AB17" s="24">
        <f>VLOOKUP($A17,'Last Week Data'!$E$3:$BF$17924,AB$1,0)</f>
        <v>0</v>
      </c>
      <c r="AC17" s="24">
        <f>VLOOKUP($A17,'Last Week Data'!$E$3:$BF$17924,AC$1,0)</f>
        <v>0</v>
      </c>
      <c r="AD17" s="24">
        <f>VLOOKUP($A17,'Last Week Data'!$E$3:$BF$17924,AD$1,0)</f>
        <v>0</v>
      </c>
      <c r="AE17" s="24">
        <f>VLOOKUP($A17,'Last Week Data'!$E$3:$BF$17924,AE$1,0)</f>
        <v>0</v>
      </c>
      <c r="AF17" s="24">
        <f>VLOOKUP($A17,'Last Week Data'!$E$3:$BF$17924,AF$1,0)</f>
        <v>0</v>
      </c>
      <c r="AG17" s="24">
        <f>VLOOKUP($A17,'Last Week Data'!$E$3:$BF$17924,AG$1,0)</f>
        <v>0</v>
      </c>
      <c r="AH17" s="24">
        <f>VLOOKUP($A17,'Last Week Data'!$E$3:$BF$17924,AH$1,0)</f>
        <v>0</v>
      </c>
      <c r="AI17" s="24">
        <f>VLOOKUP($A17,'Last Week Data'!$E$3:$BF$17924,AI$1,0)</f>
        <v>0</v>
      </c>
      <c r="AJ17" s="24">
        <f>VLOOKUP($A17,'Last Week Data'!$E$3:$BF$17924,AJ$1,0)</f>
        <v>0</v>
      </c>
      <c r="AK17" s="24">
        <f>VLOOKUP($A17,'Last Week Data'!$E$3:$BF$17924,AK$1,0)</f>
        <v>0</v>
      </c>
      <c r="AL17" s="24">
        <f>VLOOKUP($A17,'Last Week Data'!$E$3:$BF$17924,AL$1,0)</f>
        <v>1440</v>
      </c>
      <c r="AM17" s="24">
        <f>VLOOKUP($A17,'Last Week Data'!$E$3:$BF$17924,AM$1,0)</f>
        <v>1441</v>
      </c>
      <c r="AN17" s="24">
        <f>VLOOKUP($A17,'Last Week Data'!$E$3:$BF$17924,AN$1,0)</f>
        <v>1441</v>
      </c>
      <c r="AO17" s="24">
        <f>VLOOKUP($A17,'Last Week Data'!$E$3:$BF$17924,AO$1,0)</f>
        <v>1442</v>
      </c>
      <c r="AP17" s="24">
        <f>VLOOKUP($A17,'Last Week Data'!$E$3:$BF$17924,AP$1,0)</f>
        <v>1443</v>
      </c>
      <c r="AQ17" s="24">
        <f>VLOOKUP($A17,'Last Week Data'!$E$3:$BF$17924,AQ$1,0)</f>
        <v>1474</v>
      </c>
      <c r="AR17" s="24">
        <f>VLOOKUP($A17,'Last Week Data'!$E$3:$BF$17924,AR$1,0)</f>
        <v>1475</v>
      </c>
      <c r="AS17" s="24">
        <f>VLOOKUP($A17,'Last Week Data'!$E$3:$BF$17924,AS$1,0)</f>
        <v>1475</v>
      </c>
      <c r="AT17" s="24">
        <f>VLOOKUP($A17,'Last Week Data'!$E$3:$BF$17924,AT$1,0)</f>
        <v>1474</v>
      </c>
      <c r="AU17" s="24">
        <f>VLOOKUP($A17,'Last Week Data'!$E$3:$BF$17924,AU$1,0)</f>
        <v>1473</v>
      </c>
      <c r="AV17" s="24">
        <f>VLOOKUP($A17,'Last Week Data'!$E$3:$BF$17924,AV$1,0)</f>
        <v>1474</v>
      </c>
      <c r="AW17" s="24">
        <f>VLOOKUP($A17,'Last Week Data'!$E$3:$BF$17924,AW$1,0)</f>
        <v>1473</v>
      </c>
      <c r="AX17" s="24">
        <f>VLOOKUP($A17,'Last Week Data'!$E$3:$BF$17924,AX$1,0)</f>
        <v>0</v>
      </c>
      <c r="AY17" s="24">
        <f>VLOOKUP($A17,'Last Week Data'!$E$3:$BF$17924,AY$1,0)</f>
        <v>0</v>
      </c>
      <c r="AZ17" s="24">
        <f>VLOOKUP($A17,'Last Week Data'!$E$3:$BF$17924,AZ$1,0)</f>
        <v>0</v>
      </c>
      <c r="BA17" s="24">
        <f>VLOOKUP($A17,'Last Week Data'!$E$3:$BF$17924,BA$1,0)</f>
        <v>0</v>
      </c>
      <c r="BB17" s="24">
        <f>VLOOKUP($A17,'Last Week Data'!$E$3:$BF$17924,BB$1,0)</f>
        <v>0</v>
      </c>
      <c r="BC17" s="24">
        <f>VLOOKUP($A17,'Last Week Data'!$E$3:$BF$17924,BC$1,0)</f>
        <v>0</v>
      </c>
      <c r="BD17" s="24">
        <f>VLOOKUP($A17,'Last Week Data'!$E$3:$BF$17924,BD$1,0)</f>
        <v>0</v>
      </c>
      <c r="BE17" s="24">
        <f>VLOOKUP($A17,'Last Week Data'!$E$3:$BF$17924,BE$1,0)</f>
        <v>0</v>
      </c>
      <c r="BF17" s="24">
        <f>VLOOKUP($A17,'Last Week Data'!$E$3:$BF$17924,BF$1,0)</f>
        <v>0</v>
      </c>
      <c r="BG17" s="24">
        <f>VLOOKUP($A17,'Last Week Data'!$E$3:$BF$17924,BG$1,0)</f>
        <v>0</v>
      </c>
      <c r="BH17"/>
    </row>
    <row r="18" spans="1:60" ht="15.6">
      <c r="A18" s="50" t="str">
        <f t="shared" si="0"/>
        <v>677536463repl_instock_percentage_this_year_eop</v>
      </c>
      <c r="B18" s="60">
        <v>2</v>
      </c>
      <c r="C18" s="60" t="s">
        <v>304</v>
      </c>
      <c r="D18" s="60">
        <v>677536463</v>
      </c>
      <c r="E18" s="60" t="s">
        <v>303</v>
      </c>
      <c r="F18" s="46" t="s">
        <v>79</v>
      </c>
      <c r="G18" s="40" t="s">
        <v>124</v>
      </c>
      <c r="H18" s="48">
        <f>VLOOKUP($A18,'Last Week Data'!$E$3:$BF$17924,H$1,0)</f>
        <v>0</v>
      </c>
      <c r="I18" s="48">
        <f>VLOOKUP($A18,'Last Week Data'!$E$3:$BF$17924,I$1,0)</f>
        <v>0</v>
      </c>
      <c r="J18" s="48">
        <f>VLOOKUP($A18,'Last Week Data'!$E$3:$BF$17924,J$1,0)</f>
        <v>0</v>
      </c>
      <c r="K18" s="48">
        <f>VLOOKUP($A18,'Last Week Data'!$E$3:$BF$17924,K$1,0)</f>
        <v>0</v>
      </c>
      <c r="L18" s="48">
        <f>VLOOKUP($A18,'Last Week Data'!$E$3:$BF$17924,L$1,0)</f>
        <v>0</v>
      </c>
      <c r="M18" s="48">
        <f>VLOOKUP($A18,'Last Week Data'!$E$3:$BF$17924,M$1,0)</f>
        <v>0</v>
      </c>
      <c r="N18" s="48">
        <f>VLOOKUP($A18,'Last Week Data'!$E$3:$BF$17924,N$1,0)</f>
        <v>0</v>
      </c>
      <c r="O18" s="48">
        <f>VLOOKUP($A18,'Last Week Data'!$E$3:$BF$17924,O$1,0)</f>
        <v>0</v>
      </c>
      <c r="P18" s="48">
        <f>VLOOKUP($A18,'Last Week Data'!$E$3:$BF$17924,P$1,0)</f>
        <v>0</v>
      </c>
      <c r="Q18" s="48">
        <f>VLOOKUP($A18,'Last Week Data'!$E$3:$BF$17924,Q$1,0)</f>
        <v>0</v>
      </c>
      <c r="R18" s="48">
        <f>VLOOKUP($A18,'Last Week Data'!$E$3:$BF$17924,R$1,0)</f>
        <v>0</v>
      </c>
      <c r="S18" s="48">
        <f>VLOOKUP($A18,'Last Week Data'!$E$3:$BF$17924,S$1,0)</f>
        <v>0</v>
      </c>
      <c r="T18" s="48">
        <f>VLOOKUP($A18,'Last Week Data'!$E$3:$BF$17924,T$1,0)</f>
        <v>0</v>
      </c>
      <c r="U18" s="48">
        <f>VLOOKUP($A18,'Last Week Data'!$E$3:$BF$17924,U$1,0)</f>
        <v>0</v>
      </c>
      <c r="V18" s="48">
        <f>VLOOKUP($A18,'Last Week Data'!$E$3:$BF$17924,V$1,0)</f>
        <v>0</v>
      </c>
      <c r="W18" s="48">
        <f>VLOOKUP($A18,'Last Week Data'!$E$3:$BF$17924,W$1,0)</f>
        <v>0</v>
      </c>
      <c r="X18" s="48">
        <f>VLOOKUP($A18,'Last Week Data'!$E$3:$BF$17924,X$1,0)</f>
        <v>0</v>
      </c>
      <c r="Y18" s="48">
        <f>VLOOKUP($A18,'Last Week Data'!$E$3:$BF$17924,Y$1,0)</f>
        <v>0</v>
      </c>
      <c r="Z18" s="48">
        <f>VLOOKUP($A18,'Last Week Data'!$E$3:$BF$17924,Z$1,0)</f>
        <v>0</v>
      </c>
      <c r="AA18" s="48">
        <f>VLOOKUP($A18,'Last Week Data'!$E$3:$BF$17924,AA$1,0)</f>
        <v>0</v>
      </c>
      <c r="AB18" s="48">
        <f>VLOOKUP($A18,'Last Week Data'!$E$3:$BF$17924,AB$1,0)</f>
        <v>0</v>
      </c>
      <c r="AC18" s="48">
        <f>VLOOKUP($A18,'Last Week Data'!$E$3:$BF$17924,AC$1,0)</f>
        <v>0</v>
      </c>
      <c r="AD18" s="48">
        <f>VLOOKUP($A18,'Last Week Data'!$E$3:$BF$17924,AD$1,0)</f>
        <v>0</v>
      </c>
      <c r="AE18" s="48">
        <f>VLOOKUP($A18,'Last Week Data'!$E$3:$BF$17924,AE$1,0)</f>
        <v>0</v>
      </c>
      <c r="AF18" s="48">
        <f>VLOOKUP($A18,'Last Week Data'!$E$3:$BF$17924,AF$1,0)</f>
        <v>0</v>
      </c>
      <c r="AG18" s="48">
        <f>VLOOKUP($A18,'Last Week Data'!$E$3:$BF$17924,AG$1,0)</f>
        <v>0</v>
      </c>
      <c r="AH18" s="48">
        <f>VLOOKUP($A18,'Last Week Data'!$E$3:$BF$17924,AH$1,0)</f>
        <v>0</v>
      </c>
      <c r="AI18" s="48">
        <f>VLOOKUP($A18,'Last Week Data'!$E$3:$BF$17924,AI$1,0)</f>
        <v>0</v>
      </c>
      <c r="AJ18" s="48">
        <f>VLOOKUP($A18,'Last Week Data'!$E$3:$BF$17924,AJ$1,0)</f>
        <v>0</v>
      </c>
      <c r="AK18" s="48">
        <f>VLOOKUP($A18,'Last Week Data'!$E$3:$BF$17924,AK$1,0)</f>
        <v>0</v>
      </c>
      <c r="AL18" s="48">
        <f>VLOOKUP($A18,'Last Week Data'!$E$3:$BF$17924,AL$1,0)</f>
        <v>0</v>
      </c>
      <c r="AM18" s="48">
        <f>VLOOKUP($A18,'Last Week Data'!$E$3:$BF$17924,AM$1,0)</f>
        <v>0</v>
      </c>
      <c r="AN18" s="48">
        <f>VLOOKUP($A18,'Last Week Data'!$E$3:$BF$17924,AN$1,0)</f>
        <v>0.96179999999999999</v>
      </c>
      <c r="AO18" s="48">
        <f>VLOOKUP($A18,'Last Week Data'!$E$3:$BF$17924,AO$1,0)</f>
        <v>0.97360000000000002</v>
      </c>
      <c r="AP18" s="48">
        <f>VLOOKUP($A18,'Last Week Data'!$E$3:$BF$17924,AP$1,0)</f>
        <v>0.98750000000000004</v>
      </c>
      <c r="AQ18" s="48">
        <f>VLOOKUP($A18,'Last Week Data'!$E$3:$BF$17924,AQ$1,0)</f>
        <v>0.98960000000000004</v>
      </c>
      <c r="AR18" s="48">
        <f>VLOOKUP($A18,'Last Week Data'!$E$3:$BF$17924,AR$1,0)</f>
        <v>0.9748</v>
      </c>
      <c r="AS18" s="48">
        <f>VLOOKUP($A18,'Last Week Data'!$E$3:$BF$17924,AS$1,0)</f>
        <v>0.98499999999999999</v>
      </c>
      <c r="AT18" s="48">
        <f>VLOOKUP($A18,'Last Week Data'!$E$3:$BF$17924,AT$1,0)</f>
        <v>0.98980000000000001</v>
      </c>
      <c r="AU18" s="48">
        <f>VLOOKUP($A18,'Last Week Data'!$E$3:$BF$17924,AU$1,0)</f>
        <v>0.99109999999999998</v>
      </c>
      <c r="AV18" s="48">
        <f>VLOOKUP($A18,'Last Week Data'!$E$3:$BF$17924,AV$1,0)</f>
        <v>0.99050000000000005</v>
      </c>
      <c r="AW18" s="48">
        <f>VLOOKUP($A18,'Last Week Data'!$E$3:$BF$17924,AW$1,0)</f>
        <v>0.98509999999999998</v>
      </c>
      <c r="AX18" s="48">
        <f>VLOOKUP($A18,'Last Week Data'!$E$3:$BF$17924,AX$1,0)</f>
        <v>0</v>
      </c>
      <c r="AY18" s="48">
        <f>VLOOKUP($A18,'Last Week Data'!$E$3:$BF$17924,AY$1,0)</f>
        <v>0</v>
      </c>
      <c r="AZ18" s="48">
        <f>VLOOKUP($A18,'Last Week Data'!$E$3:$BF$17924,AZ$1,0)</f>
        <v>0</v>
      </c>
      <c r="BA18" s="48">
        <f>VLOOKUP($A18,'Last Week Data'!$E$3:$BF$17924,BA$1,0)</f>
        <v>0</v>
      </c>
      <c r="BB18" s="48">
        <f>VLOOKUP($A18,'Last Week Data'!$E$3:$BF$17924,BB$1,0)</f>
        <v>0</v>
      </c>
      <c r="BC18" s="48">
        <f>VLOOKUP($A18,'Last Week Data'!$E$3:$BF$17924,BC$1,0)</f>
        <v>0</v>
      </c>
      <c r="BD18" s="48">
        <f>VLOOKUP($A18,'Last Week Data'!$E$3:$BF$17924,BD$1,0)</f>
        <v>0</v>
      </c>
      <c r="BE18" s="48">
        <f>VLOOKUP($A18,'Last Week Data'!$E$3:$BF$17924,BE$1,0)</f>
        <v>0</v>
      </c>
      <c r="BF18" s="48">
        <f>VLOOKUP($A18,'Last Week Data'!$E$3:$BF$17924,BF$1,0)</f>
        <v>0</v>
      </c>
      <c r="BG18" s="48">
        <f>VLOOKUP($A18,'Last Week Data'!$E$3:$BF$17924,BG$1,0)</f>
        <v>0</v>
      </c>
      <c r="BH18"/>
    </row>
    <row r="19" spans="1:60" ht="15.6">
      <c r="A19" s="50" t="str">
        <f t="shared" si="0"/>
        <v>677536463Forecast</v>
      </c>
      <c r="B19" s="60">
        <v>2</v>
      </c>
      <c r="C19" s="60" t="s">
        <v>304</v>
      </c>
      <c r="D19" s="60">
        <v>677536463</v>
      </c>
      <c r="E19" s="60" t="s">
        <v>303</v>
      </c>
      <c r="F19" s="46" t="s">
        <v>76</v>
      </c>
      <c r="G19" s="32" t="s">
        <v>73</v>
      </c>
      <c r="H19" s="33">
        <f>_xlfn.IFNA(VLOOKUP($D19,'Luminate Forecast'!$U:$BV,'Luminate Forecast'!V$19,0),0)</f>
        <v>1071.8399999999999</v>
      </c>
      <c r="I19" s="33">
        <f>_xlfn.IFNA(VLOOKUP($D19,'Luminate Forecast'!$U:$BV,'Luminate Forecast'!W$19,0),0)</f>
        <v>1158.21</v>
      </c>
      <c r="J19" s="33">
        <f>_xlfn.IFNA(VLOOKUP($D19,'Luminate Forecast'!$U:$BV,'Luminate Forecast'!X$19,0),0)</f>
        <v>1462.58</v>
      </c>
      <c r="K19" s="33">
        <f>_xlfn.IFNA(VLOOKUP($D19,'Luminate Forecast'!$U:$BV,'Luminate Forecast'!Y$19,0),0)</f>
        <v>1863.85</v>
      </c>
      <c r="L19" s="33">
        <f>_xlfn.IFNA(VLOOKUP($D19,'Luminate Forecast'!$U:$BV,'Luminate Forecast'!Z$19,0),0)</f>
        <v>1753.79</v>
      </c>
      <c r="M19" s="33">
        <f>_xlfn.IFNA(VLOOKUP($D19,'Luminate Forecast'!$U:$BV,'Luminate Forecast'!AA$19,0),0)</f>
        <v>1625.82</v>
      </c>
      <c r="N19" s="33">
        <f>_xlfn.IFNA(VLOOKUP($D19,'Luminate Forecast'!$U:$BV,'Luminate Forecast'!AB$19,0),0)</f>
        <v>1635.4499999999998</v>
      </c>
      <c r="O19" s="33">
        <f>_xlfn.IFNA(VLOOKUP($D19,'Luminate Forecast'!$U:$BV,'Luminate Forecast'!AC$19,0),0)</f>
        <v>1644.69</v>
      </c>
      <c r="P19" s="33">
        <f>_xlfn.IFNA(VLOOKUP($D19,'Luminate Forecast'!$U:$BV,'Luminate Forecast'!AD$19,0),0)</f>
        <v>1585.7600000000002</v>
      </c>
      <c r="Q19" s="33">
        <f>_xlfn.IFNA(VLOOKUP($D19,'Luminate Forecast'!$U:$BV,'Luminate Forecast'!AE$19,0),0)</f>
        <v>1509.54</v>
      </c>
      <c r="R19" s="33">
        <f>_xlfn.IFNA(VLOOKUP($D19,'Luminate Forecast'!$U:$BV,'Luminate Forecast'!AF$19,0),0)</f>
        <v>1499.35</v>
      </c>
      <c r="S19" s="33">
        <f>_xlfn.IFNA(VLOOKUP($D19,'Luminate Forecast'!$U:$BV,'Luminate Forecast'!AG$19,0),0)</f>
        <v>1398.4099999999999</v>
      </c>
      <c r="T19" s="33">
        <f>_xlfn.IFNA(VLOOKUP($D19,'Luminate Forecast'!$U:$BV,'Luminate Forecast'!AH$19,0),0)</f>
        <v>1411.07</v>
      </c>
      <c r="U19" s="33">
        <f>_xlfn.IFNA(VLOOKUP($D19,'Luminate Forecast'!$U:$BV,'Luminate Forecast'!AI$19,0),0)</f>
        <v>1267.76</v>
      </c>
      <c r="V19" s="33">
        <f>_xlfn.IFNA(VLOOKUP($D19,'Luminate Forecast'!$U:$BV,'Luminate Forecast'!AJ$19,0),0)</f>
        <v>1234.27</v>
      </c>
      <c r="W19" s="33">
        <f>_xlfn.IFNA(VLOOKUP($D19,'Luminate Forecast'!$U:$BV,'Luminate Forecast'!AK$19,0),0)</f>
        <v>1166.51</v>
      </c>
      <c r="X19" s="33">
        <f>_xlfn.IFNA(VLOOKUP($D19,'Luminate Forecast'!$U:$BV,'Luminate Forecast'!AL$19,0),0)</f>
        <v>1084.74</v>
      </c>
      <c r="Y19" s="33">
        <f>_xlfn.IFNA(VLOOKUP($D19,'Luminate Forecast'!$U:$BV,'Luminate Forecast'!AM$19,0),0)</f>
        <v>1178.1300000000001</v>
      </c>
      <c r="Z19" s="33">
        <f>_xlfn.IFNA(VLOOKUP($D19,'Luminate Forecast'!$U:$BV,'Luminate Forecast'!AN$19,0),0)</f>
        <v>1205.8699999999999</v>
      </c>
      <c r="AA19" s="33">
        <f>_xlfn.IFNA(VLOOKUP($D19,'Luminate Forecast'!$U:$BV,'Luminate Forecast'!AO$19,0),0)</f>
        <v>1247.79</v>
      </c>
      <c r="AB19" s="33">
        <f>_xlfn.IFNA(VLOOKUP($D19,'Luminate Forecast'!$U:$BV,'Luminate Forecast'!AP$19,0),0)</f>
        <v>1247.79</v>
      </c>
      <c r="AC19" s="33">
        <f>_xlfn.IFNA(VLOOKUP($D19,'Luminate Forecast'!$U:$BV,'Luminate Forecast'!AQ$19,0),0)</f>
        <v>1212.74</v>
      </c>
      <c r="AD19" s="33">
        <f>_xlfn.IFNA(VLOOKUP($D19,'Luminate Forecast'!$U:$BV,'Luminate Forecast'!AR$19,0),0)</f>
        <v>1213.9000000000001</v>
      </c>
      <c r="AE19" s="33">
        <f>_xlfn.IFNA(VLOOKUP($D19,'Luminate Forecast'!$U:$BV,'Luminate Forecast'!AS$19,0),0)</f>
        <v>1201.97</v>
      </c>
      <c r="AF19" s="33">
        <f>_xlfn.IFNA(VLOOKUP($D19,'Luminate Forecast'!$U:$BV,'Luminate Forecast'!AT$19,0),0)</f>
        <v>1236.6399999999999</v>
      </c>
      <c r="AG19" s="33">
        <f>_xlfn.IFNA(VLOOKUP($D19,'Luminate Forecast'!$U:$BV,'Luminate Forecast'!AU$19,0),0)</f>
        <v>1338.51</v>
      </c>
      <c r="AH19" s="33">
        <f>_xlfn.IFNA(VLOOKUP($D19,'Luminate Forecast'!$U:$BV,'Luminate Forecast'!AV$19,0),0)</f>
        <v>1351.23</v>
      </c>
      <c r="AI19" s="33">
        <f>_xlfn.IFNA(VLOOKUP($D19,'Luminate Forecast'!$U:$BV,'Luminate Forecast'!AW$19,0),0)</f>
        <v>1481.69</v>
      </c>
      <c r="AJ19" s="33">
        <f>_xlfn.IFNA(VLOOKUP($D19,'Luminate Forecast'!$U:$BV,'Luminate Forecast'!AX$19,0),0)</f>
        <v>1338.06</v>
      </c>
      <c r="AK19" s="33">
        <f>_xlfn.IFNA(VLOOKUP($D19,'Luminate Forecast'!$U:$BV,'Luminate Forecast'!AY$19,0),0)</f>
        <v>1304.04</v>
      </c>
      <c r="AL19" s="33">
        <f>_xlfn.IFNA(VLOOKUP($D19,'Luminate Forecast'!$U:$BV,'Luminate Forecast'!AZ$19,0),0)</f>
        <v>1215.17</v>
      </c>
      <c r="AM19" s="33">
        <f>_xlfn.IFNA(VLOOKUP($D19,'Luminate Forecast'!$U:$BV,'Luminate Forecast'!BA$19,0),0)</f>
        <v>1325.2399999999998</v>
      </c>
      <c r="AN19" s="33">
        <f>_xlfn.IFNA(VLOOKUP($D19,'Luminate Forecast'!$U:$BV,'Luminate Forecast'!BB$19,0),0)</f>
        <v>1459.0900000000001</v>
      </c>
      <c r="AO19" s="33">
        <f>_xlfn.IFNA(VLOOKUP($D19,'Luminate Forecast'!$U:$BV,'Luminate Forecast'!BC$19,0),0)</f>
        <v>1541.03</v>
      </c>
      <c r="AP19" s="33">
        <f>_xlfn.IFNA(VLOOKUP($D19,'Luminate Forecast'!$U:$BV,'Luminate Forecast'!BD$19,0),0)</f>
        <v>1679.1399999999999</v>
      </c>
      <c r="AQ19" s="33">
        <f>_xlfn.IFNA(VLOOKUP($D19,'Luminate Forecast'!$U:$BV,'Luminate Forecast'!BE$19,0),0)</f>
        <v>1516.94</v>
      </c>
      <c r="AR19" s="33">
        <f>_xlfn.IFNA(VLOOKUP($D19,'Luminate Forecast'!$U:$BV,'Luminate Forecast'!BF$19,0),0)</f>
        <v>1494</v>
      </c>
      <c r="AS19" s="33">
        <f>_xlfn.IFNA(VLOOKUP($D19,'Luminate Forecast'!$U:$BV,'Luminate Forecast'!BG$19,0),0)</f>
        <v>1457.7800000000002</v>
      </c>
      <c r="AT19" s="33">
        <f>_xlfn.IFNA(VLOOKUP($D19,'Luminate Forecast'!$U:$BV,'Luminate Forecast'!BH$19,0),0)</f>
        <v>1573.19</v>
      </c>
      <c r="AU19" s="33">
        <f>_xlfn.IFNA(VLOOKUP($D19,'Luminate Forecast'!$U:$BV,'Luminate Forecast'!BI$19,0),0)</f>
        <v>1546.06</v>
      </c>
      <c r="AV19" s="33">
        <f>_xlfn.IFNA(VLOOKUP($D19,'Luminate Forecast'!$U:$BV,'Luminate Forecast'!BJ$19,0),0)</f>
        <v>1516.1</v>
      </c>
      <c r="AW19" s="33">
        <f>_xlfn.IFNA(VLOOKUP($D19,'Luminate Forecast'!$U:$BV,'Luminate Forecast'!BK$19,0),0)</f>
        <v>1459.3000000000002</v>
      </c>
      <c r="AX19" s="33">
        <f>_xlfn.IFNA(VLOOKUP($D19,'Luminate Forecast'!$U:$BV,'Luminate Forecast'!BL$19,0),0)</f>
        <v>1259.8899999999999</v>
      </c>
      <c r="AY19" s="33">
        <f>_xlfn.IFNA(VLOOKUP($D19,'Luminate Forecast'!$U:$BV,'Luminate Forecast'!BM$19,0),0)</f>
        <v>1640.42</v>
      </c>
      <c r="AZ19" s="33">
        <f>_xlfn.IFNA(VLOOKUP($D19,'Luminate Forecast'!$U:$BV,'Luminate Forecast'!BN$19,0),0)</f>
        <v>1860.19</v>
      </c>
      <c r="BA19" s="33">
        <f>_xlfn.IFNA(VLOOKUP($D19,'Luminate Forecast'!$U:$BV,'Luminate Forecast'!BO$19,0),0)</f>
        <v>2460.33</v>
      </c>
      <c r="BB19" s="33">
        <f>_xlfn.IFNA(VLOOKUP($D19,'Luminate Forecast'!$U:$BV,'Luminate Forecast'!BP$19,0),0)</f>
        <v>2534.4499999999998</v>
      </c>
      <c r="BC19" s="33">
        <f>_xlfn.IFNA(VLOOKUP($D19,'Luminate Forecast'!$U:$BV,'Luminate Forecast'!BQ$19,0),0)</f>
        <v>1546.37</v>
      </c>
      <c r="BD19" s="33">
        <f>_xlfn.IFNA(VLOOKUP($D19,'Luminate Forecast'!$U:$BV,'Luminate Forecast'!BR$19,0),0)</f>
        <v>1373.72</v>
      </c>
      <c r="BE19" s="33">
        <f>_xlfn.IFNA(VLOOKUP($D19,'Luminate Forecast'!$U:$BV,'Luminate Forecast'!BS$19,0),0)</f>
        <v>1274.33</v>
      </c>
      <c r="BF19" s="33">
        <f>_xlfn.IFNA(VLOOKUP($D19,'Luminate Forecast'!$U:$BV,'Luminate Forecast'!BT$19,0),0)</f>
        <v>1062.06</v>
      </c>
      <c r="BG19" s="33">
        <f>_xlfn.IFNA(VLOOKUP($D19,'Luminate Forecast'!$U:$BV,'Luminate Forecast'!BU$19,0),0)</f>
        <v>1113.8</v>
      </c>
      <c r="BH19"/>
    </row>
    <row r="20" spans="1:60" ht="15.6">
      <c r="A20" s="50" t="str">
        <f t="shared" si="0"/>
        <v>677536463Variance</v>
      </c>
      <c r="B20" s="61">
        <v>2</v>
      </c>
      <c r="C20" s="61" t="s">
        <v>304</v>
      </c>
      <c r="D20" s="61">
        <v>677536463</v>
      </c>
      <c r="E20" s="61" t="s">
        <v>303</v>
      </c>
      <c r="F20" s="34" t="s">
        <v>77</v>
      </c>
      <c r="G20" s="35" t="s">
        <v>74</v>
      </c>
      <c r="H20" s="52">
        <f t="shared" ref="H20:BG20" si="12">IF(H19&gt;0,H13/H19,0)</f>
        <v>0</v>
      </c>
      <c r="I20" s="52">
        <f t="shared" si="12"/>
        <v>0</v>
      </c>
      <c r="J20" s="52">
        <f t="shared" si="12"/>
        <v>0</v>
      </c>
      <c r="K20" s="52">
        <f t="shared" si="12"/>
        <v>0</v>
      </c>
      <c r="L20" s="52">
        <f t="shared" si="12"/>
        <v>0</v>
      </c>
      <c r="M20" s="52">
        <f t="shared" si="12"/>
        <v>0</v>
      </c>
      <c r="N20" s="52">
        <f t="shared" si="12"/>
        <v>0</v>
      </c>
      <c r="O20" s="52">
        <f t="shared" si="12"/>
        <v>0</v>
      </c>
      <c r="P20" s="52">
        <f t="shared" si="12"/>
        <v>0</v>
      </c>
      <c r="Q20" s="52">
        <f t="shared" si="12"/>
        <v>0</v>
      </c>
      <c r="R20" s="52">
        <f t="shared" si="12"/>
        <v>0</v>
      </c>
      <c r="S20" s="52">
        <f t="shared" si="12"/>
        <v>0</v>
      </c>
      <c r="T20" s="52">
        <f t="shared" si="12"/>
        <v>0</v>
      </c>
      <c r="U20" s="52">
        <f t="shared" si="12"/>
        <v>0</v>
      </c>
      <c r="V20" s="52">
        <f t="shared" si="12"/>
        <v>0</v>
      </c>
      <c r="W20" s="52">
        <f t="shared" si="12"/>
        <v>0</v>
      </c>
      <c r="X20" s="52">
        <f t="shared" si="12"/>
        <v>0</v>
      </c>
      <c r="Y20" s="52">
        <f t="shared" si="12"/>
        <v>0</v>
      </c>
      <c r="Z20" s="52">
        <f t="shared" si="12"/>
        <v>0</v>
      </c>
      <c r="AA20" s="52">
        <f t="shared" si="12"/>
        <v>0</v>
      </c>
      <c r="AB20" s="52">
        <f t="shared" si="12"/>
        <v>0</v>
      </c>
      <c r="AC20" s="52">
        <f t="shared" si="12"/>
        <v>0</v>
      </c>
      <c r="AD20" s="52">
        <f t="shared" si="12"/>
        <v>0</v>
      </c>
      <c r="AE20" s="52">
        <f t="shared" si="12"/>
        <v>0</v>
      </c>
      <c r="AF20" s="52">
        <f t="shared" si="12"/>
        <v>0</v>
      </c>
      <c r="AG20" s="52">
        <f t="shared" si="12"/>
        <v>0</v>
      </c>
      <c r="AH20" s="52">
        <f t="shared" si="12"/>
        <v>0</v>
      </c>
      <c r="AI20" s="52">
        <f t="shared" si="12"/>
        <v>0</v>
      </c>
      <c r="AJ20" s="52">
        <f t="shared" si="12"/>
        <v>0</v>
      </c>
      <c r="AK20" s="52">
        <f t="shared" si="12"/>
        <v>7.6684764271034629E-4</v>
      </c>
      <c r="AL20" s="52">
        <f t="shared" si="12"/>
        <v>1.1521021750043204E-2</v>
      </c>
      <c r="AM20" s="52">
        <f t="shared" si="12"/>
        <v>8.1494672663064815E-2</v>
      </c>
      <c r="AN20" s="52">
        <f t="shared" si="12"/>
        <v>0.15283498619002253</v>
      </c>
      <c r="AO20" s="52">
        <f t="shared" si="12"/>
        <v>0.15314432554849677</v>
      </c>
      <c r="AP20" s="52">
        <f t="shared" si="12"/>
        <v>0.1673475707802804</v>
      </c>
      <c r="AQ20" s="52">
        <f t="shared" si="12"/>
        <v>0.18655978482998667</v>
      </c>
      <c r="AR20" s="52">
        <f t="shared" si="12"/>
        <v>0.17603748326639893</v>
      </c>
      <c r="AS20" s="52">
        <f t="shared" si="12"/>
        <v>0.19275885250174921</v>
      </c>
      <c r="AT20" s="52">
        <f t="shared" si="12"/>
        <v>0.15382757327468391</v>
      </c>
      <c r="AU20" s="52">
        <f t="shared" si="12"/>
        <v>0.17334385470162866</v>
      </c>
      <c r="AV20" s="52">
        <f t="shared" si="12"/>
        <v>0.1787481036870919</v>
      </c>
      <c r="AW20" s="52">
        <f t="shared" si="12"/>
        <v>0.14116357157541284</v>
      </c>
      <c r="AX20" s="52">
        <f t="shared" si="12"/>
        <v>0</v>
      </c>
      <c r="AY20" s="52">
        <f t="shared" si="12"/>
        <v>0</v>
      </c>
      <c r="AZ20" s="52">
        <f t="shared" si="12"/>
        <v>0</v>
      </c>
      <c r="BA20" s="52">
        <f t="shared" si="12"/>
        <v>0</v>
      </c>
      <c r="BB20" s="52">
        <f t="shared" si="12"/>
        <v>0</v>
      </c>
      <c r="BC20" s="52">
        <f t="shared" si="12"/>
        <v>0</v>
      </c>
      <c r="BD20" s="52">
        <f t="shared" si="12"/>
        <v>0</v>
      </c>
      <c r="BE20" s="52">
        <f t="shared" si="12"/>
        <v>0</v>
      </c>
      <c r="BF20" s="52">
        <f t="shared" si="12"/>
        <v>0</v>
      </c>
      <c r="BG20" s="52">
        <f t="shared" si="12"/>
        <v>0</v>
      </c>
      <c r="BH20"/>
    </row>
    <row r="21" spans="1:60" ht="15.6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</row>
    <row r="22" spans="1:60" ht="15.6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</row>
    <row r="23" spans="1:60" ht="15.6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</row>
    <row r="24" spans="1:60" ht="15.6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</row>
    <row r="25" spans="1:60" ht="15.6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</row>
    <row r="26" spans="1:60" ht="15.6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</row>
    <row r="27" spans="1:60" ht="15.6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</row>
    <row r="28" spans="1:60" ht="15.6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</row>
    <row r="29" spans="1:60" ht="15.6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</row>
    <row r="30" spans="1:60" ht="15.6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</row>
    <row r="31" spans="1:60" ht="15.6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</row>
    <row r="32" spans="1:60" ht="15.6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</row>
    <row r="33" spans="2:60" ht="15.6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</row>
    <row r="34" spans="2:60" ht="15.6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</row>
    <row r="35" spans="2:60" ht="15.6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</row>
    <row r="36" spans="2:60" ht="15.6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</row>
    <row r="37" spans="2:60" ht="15.6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</row>
    <row r="38" spans="2:60" ht="15.6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</row>
    <row r="39" spans="2:60" ht="15.6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</row>
    <row r="40" spans="2:60" ht="15.6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</row>
    <row r="41" spans="2:60" ht="15.6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</row>
    <row r="42" spans="2:60" ht="15.6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</row>
    <row r="43" spans="2:60" ht="15.6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</row>
    <row r="44" spans="2:60" ht="15.6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</row>
    <row r="45" spans="2:60" ht="15.6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</row>
    <row r="46" spans="2:60" ht="15.6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</row>
    <row r="47" spans="2:60" ht="15.6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</row>
    <row r="48" spans="2:60" ht="15.6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</row>
    <row r="49" spans="2:60" ht="15.6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</row>
    <row r="50" spans="2:60" ht="15.6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</row>
    <row r="51" spans="2:60" ht="15.6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</row>
    <row r="52" spans="2:60" ht="15.6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</row>
    <row r="53" spans="2:60" ht="15.6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</row>
    <row r="54" spans="2:60" ht="15.6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</row>
    <row r="55" spans="2:60" ht="15.6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</row>
    <row r="56" spans="2:60" ht="15.6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</row>
    <row r="57" spans="2:60" ht="15.6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</row>
    <row r="58" spans="2:60" ht="15.6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</row>
    <row r="59" spans="2:60" ht="15.6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</row>
    <row r="60" spans="2:60" ht="15.6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</row>
    <row r="61" spans="2:60" ht="15.6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</row>
    <row r="62" spans="2:60" ht="15.6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</row>
    <row r="63" spans="2:60" ht="15.6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</row>
    <row r="64" spans="2:60" ht="15.6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</row>
    <row r="65" spans="2:60" ht="15.6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</row>
    <row r="66" spans="2:60" ht="15.6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</row>
    <row r="67" spans="2:60" ht="15.6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</row>
    <row r="68" spans="2:60" ht="15.6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</row>
    <row r="69" spans="2:60" ht="15.6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</row>
    <row r="70" spans="2:60" ht="15.6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</row>
    <row r="71" spans="2:60" ht="15.6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</row>
    <row r="72" spans="2:60" ht="15.6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</row>
    <row r="73" spans="2:60" ht="15.6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</row>
    <row r="74" spans="2:60" ht="15.6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</row>
    <row r="75" spans="2:60" ht="15.6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</row>
    <row r="76" spans="2:60" ht="15.6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</row>
    <row r="77" spans="2:60" ht="15.6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</row>
    <row r="78" spans="2:60" ht="15.6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</row>
    <row r="79" spans="2:60" ht="15.6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</row>
    <row r="80" spans="2:60" ht="15.6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</row>
    <row r="81" spans="2:60" ht="15.6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</row>
    <row r="82" spans="2:60" ht="15.6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</row>
    <row r="83" spans="2:60" ht="15.6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</row>
    <row r="84" spans="2:60" ht="15.6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</row>
    <row r="85" spans="2:60" ht="15.6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</row>
    <row r="86" spans="2:60" ht="15.6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</row>
    <row r="87" spans="2:60" ht="15.6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</row>
    <row r="88" spans="2:60" ht="15.6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</row>
    <row r="89" spans="2:60" ht="15.6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</row>
    <row r="90" spans="2:60" ht="15.6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</row>
    <row r="91" spans="2:60" ht="15.6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</row>
    <row r="92" spans="2:60" ht="15.6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</row>
    <row r="93" spans="2:60" ht="15.6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</row>
    <row r="94" spans="2:60" ht="15.6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</row>
    <row r="95" spans="2:60" ht="15.6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</row>
    <row r="96" spans="2:60" ht="15.6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</row>
    <row r="97" spans="2:60" ht="15.6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</row>
    <row r="98" spans="2:60" ht="15.6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</row>
    <row r="99" spans="2:60" ht="15.6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</row>
    <row r="100" spans="2:60" ht="15.6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</row>
    <row r="101" spans="2:60" ht="15.6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</row>
    <row r="102" spans="2:60" ht="15.6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</row>
    <row r="103" spans="2:60" ht="15.6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</row>
    <row r="104" spans="2:60" ht="15.6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</row>
    <row r="105" spans="2:60" ht="15.6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</row>
    <row r="106" spans="2:60" ht="15.6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</row>
    <row r="107" spans="2:60" ht="15.6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</row>
    <row r="108" spans="2:60" ht="15.6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</row>
    <row r="109" spans="2:60" ht="15.6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</row>
    <row r="110" spans="2:60" ht="15.6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</row>
    <row r="111" spans="2:60" ht="15.6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</row>
    <row r="112" spans="2:60" ht="15.6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</row>
    <row r="113" spans="2:60" ht="15.6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</row>
    <row r="114" spans="2:60" ht="15.6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</row>
    <row r="115" spans="2:60" ht="15.6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</row>
    <row r="116" spans="2:60" ht="15.6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</row>
    <row r="117" spans="2:60" ht="15.6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</row>
    <row r="118" spans="2:60" ht="15.6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</row>
    <row r="119" spans="2:60" ht="15.6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</row>
    <row r="120" spans="2:60" ht="15.6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</row>
    <row r="121" spans="2:60" ht="15.6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</row>
    <row r="122" spans="2:60" ht="15.6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</row>
    <row r="123" spans="2:60" ht="15.6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</row>
    <row r="124" spans="2:60" ht="15.6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</row>
    <row r="125" spans="2:60" ht="15.6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</row>
    <row r="126" spans="2:60" ht="15.6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</row>
    <row r="127" spans="2:60" ht="15.6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</row>
    <row r="128" spans="2:60" ht="15.6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</row>
    <row r="129" spans="2:60" ht="15.6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</row>
    <row r="130" spans="2:60" ht="15.6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</row>
    <row r="131" spans="2:60" ht="15.6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</row>
    <row r="132" spans="2:60" ht="15.6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</row>
    <row r="133" spans="2:60" ht="15.6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</row>
    <row r="134" spans="2:60" ht="15.6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</row>
    <row r="135" spans="2:60" ht="15.6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</row>
    <row r="136" spans="2:60" ht="15.6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</row>
    <row r="137" spans="2:60" ht="15.6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</row>
    <row r="138" spans="2:60" ht="15.6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</row>
    <row r="139" spans="2:60" ht="15.6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</row>
    <row r="140" spans="2:60" ht="15.6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</row>
    <row r="141" spans="2:60" ht="15.6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</row>
    <row r="142" spans="2:60" ht="15.6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</row>
    <row r="143" spans="2:60" ht="15.6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</row>
    <row r="144" spans="2:60" ht="15.6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</row>
    <row r="145" spans="2:60" ht="15.6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</row>
    <row r="146" spans="2:60" ht="15.6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</row>
    <row r="147" spans="2:60" ht="15.6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</row>
    <row r="148" spans="2:60" ht="15.6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</row>
    <row r="149" spans="2:60" ht="15.6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</row>
    <row r="150" spans="2:60" ht="15.6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</row>
    <row r="151" spans="2:60" ht="15.6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</row>
    <row r="152" spans="2:60" ht="15.6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</row>
    <row r="153" spans="2:60" ht="15.6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</row>
    <row r="154" spans="2:60" ht="15.6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</row>
    <row r="155" spans="2:60" ht="15.6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</row>
    <row r="156" spans="2:60" ht="15.6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</row>
    <row r="157" spans="2:60" ht="15.6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</row>
    <row r="158" spans="2:60" ht="15.6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</row>
    <row r="159" spans="2:60" ht="15.6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</row>
    <row r="160" spans="2:60" ht="15.6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</row>
    <row r="161" spans="2:60" ht="15.6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</row>
    <row r="162" spans="2:60" ht="15.6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</row>
    <row r="163" spans="2:60" ht="15.6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</row>
    <row r="164" spans="2:60" ht="15.6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</row>
    <row r="165" spans="2:60" ht="15.6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</row>
    <row r="166" spans="2:60" ht="15.6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</row>
    <row r="167" spans="2:60" ht="15.6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</row>
    <row r="168" spans="2:60" ht="15.6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</row>
    <row r="169" spans="2:60" ht="15.6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</row>
    <row r="170" spans="2:60" ht="15.6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</row>
    <row r="171" spans="2:60" ht="15.6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</row>
    <row r="172" spans="2:60" ht="15.6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</row>
    <row r="173" spans="2:60" ht="15.6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</row>
    <row r="174" spans="2:60" ht="15.6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</row>
    <row r="175" spans="2:60" ht="15.6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</row>
    <row r="176" spans="2:60" ht="15.6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</row>
    <row r="177" spans="2:60" ht="15.6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</row>
    <row r="178" spans="2:60" ht="15.6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</row>
    <row r="179" spans="2:60" ht="15.6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</row>
    <row r="180" spans="2:60" ht="15.6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</row>
    <row r="181" spans="2:60" ht="15.6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</row>
    <row r="182" spans="2:60" ht="15.6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</row>
    <row r="183" spans="2:60" ht="15.6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</row>
    <row r="184" spans="2:60" ht="15.6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</row>
    <row r="185" spans="2:60" ht="15.6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</row>
    <row r="186" spans="2:60" ht="15.6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</row>
    <row r="187" spans="2:60" ht="15.6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</row>
    <row r="188" spans="2:60" ht="15.6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</row>
    <row r="189" spans="2:60" ht="15.6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</row>
    <row r="190" spans="2:60" ht="15.6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</row>
    <row r="191" spans="2:60" ht="15.6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</row>
    <row r="192" spans="2:60" ht="15.6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</row>
    <row r="193" spans="2:60" ht="15.6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</row>
    <row r="194" spans="2:60" ht="15.6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</row>
    <row r="195" spans="2:60" ht="15.6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</row>
    <row r="196" spans="2:60" ht="15.6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</row>
    <row r="197" spans="2:60" ht="15.6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</row>
    <row r="198" spans="2:60" ht="15.6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</row>
    <row r="199" spans="2:60" ht="15.6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</row>
    <row r="200" spans="2:60" ht="15.6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</row>
    <row r="201" spans="2:60" ht="15.6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</row>
    <row r="202" spans="2:60" ht="15.6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</row>
    <row r="203" spans="2:60" ht="15.6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</row>
    <row r="204" spans="2:60" ht="15.6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</row>
    <row r="205" spans="2:60" ht="15.6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</row>
    <row r="206" spans="2:60" ht="15.6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</row>
    <row r="207" spans="2:60" ht="15.6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</row>
    <row r="208" spans="2:60" ht="15.6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</row>
    <row r="209" spans="2:60" ht="15.6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</row>
    <row r="210" spans="2:60" ht="15.6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</row>
    <row r="211" spans="2:60" ht="15.6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</row>
    <row r="212" spans="2:60" ht="15.6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</row>
    <row r="213" spans="2:60" ht="15.6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</row>
    <row r="214" spans="2:60" ht="15.6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</row>
    <row r="215" spans="2:60" ht="15.6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</row>
    <row r="216" spans="2:60" ht="15.6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</row>
    <row r="217" spans="2:60" ht="15.6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</row>
    <row r="218" spans="2:60" ht="15.6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</row>
    <row r="219" spans="2:60" ht="15.6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</row>
    <row r="220" spans="2:60" ht="15.6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</row>
    <row r="221" spans="2:60" ht="15.6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</row>
    <row r="222" spans="2:60" ht="15.6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</row>
    <row r="223" spans="2:60" ht="15.6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</row>
    <row r="224" spans="2:60" ht="15.6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</row>
    <row r="225" spans="2:60" ht="15.6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</row>
    <row r="226" spans="2:60" ht="15.6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</row>
    <row r="227" spans="2:60" ht="15.6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</row>
    <row r="228" spans="2:60" ht="15.6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</row>
    <row r="229" spans="2:60" ht="15.6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</row>
    <row r="230" spans="2:60" ht="15.6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</row>
    <row r="231" spans="2:60" ht="15.6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</row>
    <row r="232" spans="2:60" ht="15.6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</row>
    <row r="233" spans="2:60" ht="15.6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</row>
    <row r="234" spans="2:60" ht="15.6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</row>
    <row r="235" spans="2:60" ht="15.6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</row>
    <row r="236" spans="2:60" ht="15.6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</row>
    <row r="237" spans="2:60" ht="15.6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</row>
    <row r="238" spans="2:60" ht="15.6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</row>
    <row r="239" spans="2:60" ht="15.6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</row>
    <row r="240" spans="2:60" ht="15.6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</row>
    <row r="241" spans="2:60" ht="15.6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</row>
    <row r="242" spans="2:60" ht="15.6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</row>
    <row r="243" spans="2:60" ht="15.6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</row>
    <row r="244" spans="2:60" ht="15.6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</row>
    <row r="245" spans="2:60" ht="15.6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</row>
    <row r="246" spans="2:60" ht="15.6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</row>
    <row r="247" spans="2:60" ht="15.6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</row>
    <row r="248" spans="2:60" ht="15.6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</row>
    <row r="249" spans="2:60" ht="15.6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</row>
    <row r="250" spans="2:60" ht="15.6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</row>
    <row r="251" spans="2:60" ht="15.6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</row>
    <row r="252" spans="2:60" ht="15.6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</row>
    <row r="253" spans="2:60" ht="15.6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</row>
    <row r="254" spans="2:60" ht="15.6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</row>
    <row r="255" spans="2:60" ht="15.6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</row>
    <row r="256" spans="2:60" ht="15.6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</row>
    <row r="257" spans="2:60" ht="15.6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</row>
    <row r="258" spans="2:60" ht="15.6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</row>
    <row r="259" spans="2:60" ht="15.6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</row>
    <row r="260" spans="2:60" ht="15.6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</row>
    <row r="261" spans="2:60" ht="15.6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</row>
    <row r="262" spans="2:60" ht="15.6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</row>
    <row r="263" spans="2:60" ht="15.6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</row>
    <row r="264" spans="2:60" ht="15.6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</row>
    <row r="265" spans="2:60" ht="15.6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</row>
    <row r="266" spans="2:60" ht="15.6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</row>
    <row r="267" spans="2:60" ht="15.6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</row>
    <row r="268" spans="2:60" ht="15.6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</row>
    <row r="269" spans="2:60" ht="15.6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</row>
    <row r="270" spans="2:60" ht="15.6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</row>
    <row r="271" spans="2:60" ht="15.6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</row>
    <row r="272" spans="2:60" ht="15.6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</row>
    <row r="273" spans="2:60" ht="15.6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</row>
    <row r="274" spans="2:60" ht="15.6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</row>
    <row r="275" spans="2:60" ht="15.6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</row>
    <row r="276" spans="2:60" ht="15.6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</row>
    <row r="277" spans="2:60" ht="15.6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</row>
    <row r="278" spans="2:60" ht="15.6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</row>
    <row r="279" spans="2:60" ht="15.6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</row>
    <row r="280" spans="2:60" ht="15.6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</row>
    <row r="281" spans="2:60" ht="15.6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</row>
    <row r="282" spans="2:60" ht="15.6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</row>
    <row r="283" spans="2:60" ht="15.6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</row>
    <row r="284" spans="2:60" ht="15.6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</row>
    <row r="285" spans="2:60" ht="15.6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</row>
    <row r="286" spans="2:60" ht="15.6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</row>
    <row r="287" spans="2:60" ht="15.6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</row>
    <row r="288" spans="2:60" ht="15.6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</row>
    <row r="289" spans="2:60" ht="15.6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</row>
    <row r="290" spans="2:60" ht="15.6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</row>
    <row r="291" spans="2:60" ht="15.6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</row>
    <row r="292" spans="2:60" ht="15.6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</row>
    <row r="293" spans="2:60" ht="15.6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</row>
    <row r="294" spans="2:60" ht="15.6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</row>
    <row r="295" spans="2:60" ht="15.6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</row>
    <row r="296" spans="2:60" ht="15.6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</row>
    <row r="297" spans="2:60" ht="15.6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</row>
    <row r="298" spans="2:60" ht="15.6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</row>
    <row r="299" spans="2:60" ht="15.6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</row>
    <row r="300" spans="2:60" ht="15.6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</row>
    <row r="301" spans="2:60" ht="15.6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</row>
    <row r="302" spans="2:60" ht="15.6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</row>
    <row r="303" spans="2:60" ht="15.6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</row>
    <row r="304" spans="2:60" ht="15.6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</row>
    <row r="305" spans="2:60" ht="15.6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</row>
    <row r="306" spans="2:60" ht="15.6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</row>
    <row r="307" spans="2:60" ht="15.6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</row>
    <row r="308" spans="2:60" ht="15.6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</row>
    <row r="309" spans="2:60" ht="15.6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</row>
    <row r="310" spans="2:60" ht="15.6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</row>
    <row r="311" spans="2:60" ht="15.6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</row>
    <row r="312" spans="2:60" ht="15.6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</row>
    <row r="313" spans="2:60" ht="15.6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</row>
    <row r="314" spans="2:60" ht="15.6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</row>
    <row r="315" spans="2:60" ht="15.6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</row>
    <row r="316" spans="2:60" ht="15.6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</row>
    <row r="317" spans="2:60" ht="15.6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</row>
    <row r="318" spans="2:60" ht="15.6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</row>
    <row r="319" spans="2:60" ht="15.6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</row>
    <row r="320" spans="2:60" ht="15.6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</row>
    <row r="321" spans="2:60" ht="15.6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</row>
    <row r="322" spans="2:60" ht="15.6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</row>
    <row r="323" spans="2:60" ht="15.6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</row>
    <row r="324" spans="2:60" ht="15.6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</row>
    <row r="325" spans="2:60" ht="15.6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</row>
    <row r="326" spans="2:60" ht="15.6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</row>
    <row r="327" spans="2:60" ht="15.6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</row>
    <row r="328" spans="2:60" ht="15.6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</row>
    <row r="329" spans="2:60" ht="15.6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</row>
    <row r="330" spans="2:60" ht="15.6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</row>
    <row r="331" spans="2:60" ht="15.6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</row>
    <row r="332" spans="2:60" ht="15.6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</row>
    <row r="333" spans="2:60" ht="15.6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</row>
    <row r="334" spans="2:60" ht="15.6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</row>
    <row r="335" spans="2:60" ht="15.6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</row>
    <row r="336" spans="2:60" ht="15.6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</row>
    <row r="337" spans="2:60" ht="15.6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</row>
    <row r="338" spans="2:60" ht="15.6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</row>
    <row r="339" spans="2:60" ht="15.6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</row>
    <row r="340" spans="2:60" ht="15.6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</row>
    <row r="341" spans="2:60" ht="15.6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</row>
    <row r="342" spans="2:60" ht="15.6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</row>
    <row r="343" spans="2:60" ht="15.6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</row>
    <row r="344" spans="2:60" ht="15.6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</row>
    <row r="345" spans="2:60" ht="15.6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</row>
    <row r="346" spans="2:60" ht="15.6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</row>
    <row r="347" spans="2:60" ht="15.6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</row>
    <row r="348" spans="2:60" ht="15.6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</row>
    <row r="349" spans="2:60" ht="15.6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</row>
    <row r="350" spans="2:60" ht="15.6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</row>
    <row r="351" spans="2:60" ht="15.6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</row>
    <row r="352" spans="2:60" ht="15.6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</row>
    <row r="353" spans="2:60" ht="15.6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</row>
    <row r="354" spans="2:60" ht="15.6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</row>
    <row r="355" spans="2:60" ht="15.6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</row>
    <row r="356" spans="2:60" ht="15.6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</row>
    <row r="357" spans="2:60" ht="15.6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</row>
    <row r="358" spans="2:60" ht="15.6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</row>
    <row r="359" spans="2:60" ht="15.6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</row>
    <row r="360" spans="2:60" ht="15.6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</row>
    <row r="361" spans="2:60" ht="15.6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</row>
    <row r="362" spans="2:60" ht="15.6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</row>
    <row r="363" spans="2:60" ht="15.6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</row>
    <row r="364" spans="2:60" ht="15.6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</row>
    <row r="365" spans="2:60" ht="15.6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</row>
    <row r="366" spans="2:60" ht="15.6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</row>
    <row r="367" spans="2:60" ht="15.6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</row>
    <row r="368" spans="2:60" ht="15.6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</row>
    <row r="369" spans="2:60" ht="15.6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</row>
    <row r="370" spans="2:60" ht="15.6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</row>
    <row r="371" spans="2:60" ht="15.6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</row>
    <row r="372" spans="2:60" ht="15.6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</row>
    <row r="373" spans="2:60" ht="15.6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</row>
    <row r="374" spans="2:60" ht="15.6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</row>
    <row r="375" spans="2:60" ht="15.6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</row>
    <row r="376" spans="2:60" ht="15.6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</row>
    <row r="377" spans="2:60" ht="15.6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</row>
    <row r="378" spans="2:60" ht="15.6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</row>
    <row r="379" spans="2:60" ht="15.6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</row>
    <row r="380" spans="2:60" ht="15.6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</row>
    <row r="381" spans="2:60" ht="15.6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</row>
    <row r="382" spans="2:60" ht="15.6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</row>
    <row r="383" spans="2:60" ht="15.6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</row>
    <row r="384" spans="2:60" ht="15.6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</row>
    <row r="385" spans="2:60" ht="15.6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</row>
    <row r="386" spans="2:60" ht="15.6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</row>
    <row r="387" spans="2:60" ht="15.6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</row>
    <row r="388" spans="2:60" ht="15.6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</row>
    <row r="389" spans="2:60" ht="15.6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</row>
    <row r="390" spans="2:60" ht="15.6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</row>
    <row r="391" spans="2:60" ht="15.6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</row>
    <row r="392" spans="2:60" ht="15.6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</row>
    <row r="393" spans="2:60" ht="15.6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</row>
    <row r="394" spans="2:60" ht="15.6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</row>
    <row r="395" spans="2:60" ht="15.6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</row>
    <row r="396" spans="2:60" ht="15.6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</row>
    <row r="397" spans="2:60" ht="15.6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</row>
    <row r="398" spans="2:60" ht="15.6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</row>
    <row r="399" spans="2:60" ht="15.6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</row>
    <row r="400" spans="2:60" ht="15.6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</row>
    <row r="401" spans="2:60" ht="15.6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</row>
    <row r="402" spans="2:60" ht="15.6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</row>
    <row r="403" spans="2:60" ht="15.6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</row>
    <row r="404" spans="2:60" ht="15.6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</row>
    <row r="405" spans="2:60" ht="15.6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</row>
    <row r="406" spans="2:60" ht="15.6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</row>
    <row r="407" spans="2:60" ht="15.6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</row>
    <row r="408" spans="2:60" ht="15.6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</row>
    <row r="409" spans="2:60" ht="15.6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</row>
    <row r="410" spans="2:60" ht="15.6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</row>
    <row r="411" spans="2:60" ht="15.6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</row>
    <row r="412" spans="2:60" ht="15.6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</row>
    <row r="413" spans="2:60" ht="15.6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</row>
    <row r="414" spans="2:60" ht="15.6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</row>
    <row r="415" spans="2:60" ht="15.6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</row>
    <row r="416" spans="2:60" ht="15.6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</row>
    <row r="417" spans="2:60" ht="15.6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</row>
    <row r="418" spans="2:60" ht="15.6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</row>
    <row r="419" spans="2:60" ht="15.6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</row>
    <row r="420" spans="2:60" ht="15.6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</row>
    <row r="421" spans="2:60" ht="15.6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</row>
    <row r="422" spans="2:60" ht="15.6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</row>
    <row r="423" spans="2:60" ht="15.6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</row>
    <row r="424" spans="2:60" ht="15.6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</row>
    <row r="425" spans="2:60" ht="15.6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</row>
    <row r="426" spans="2:60" ht="15.6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</row>
    <row r="427" spans="2:60" ht="15.6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</row>
    <row r="428" spans="2:60" ht="15.6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</row>
    <row r="429" spans="2:60" ht="15.6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</row>
    <row r="430" spans="2:60" ht="15.6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</row>
    <row r="431" spans="2:60" ht="15.6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</row>
    <row r="432" spans="2:60" ht="15.6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</row>
    <row r="433" spans="2:60" ht="15.6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</row>
    <row r="434" spans="2:60" ht="15.6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</row>
    <row r="435" spans="2:60" ht="15.6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</row>
    <row r="436" spans="2:60" ht="15.6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</row>
    <row r="437" spans="2:60" ht="15.6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</row>
    <row r="438" spans="2:60" ht="15.6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</row>
    <row r="439" spans="2:60" ht="15.6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</row>
    <row r="440" spans="2:60" ht="15.6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</row>
    <row r="441" spans="2:60" ht="15.6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</row>
    <row r="442" spans="2:60" ht="15.6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</row>
    <row r="443" spans="2:60" ht="15.6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</row>
    <row r="444" spans="2:60" ht="15.6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</row>
    <row r="445" spans="2:60" ht="15.6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</row>
    <row r="446" spans="2:60" ht="15.6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</row>
    <row r="447" spans="2:60" ht="15.6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</row>
    <row r="448" spans="2:60" ht="15.6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</row>
    <row r="449" spans="2:60" ht="15.6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</row>
    <row r="450" spans="2:60" ht="15.6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</row>
    <row r="451" spans="2:60" ht="15.6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</row>
    <row r="452" spans="2:60" ht="15.6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</row>
    <row r="453" spans="2:60" ht="15.6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</row>
    <row r="454" spans="2:60" ht="15.6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</row>
    <row r="455" spans="2:60" ht="15.6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</row>
    <row r="456" spans="2:60" ht="15.6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</row>
    <row r="457" spans="2:60" ht="15.6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</row>
    <row r="458" spans="2:60" ht="15.6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</row>
    <row r="459" spans="2:60" ht="15.6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</row>
    <row r="460" spans="2:60" ht="15.6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</row>
    <row r="461" spans="2:60" ht="15.6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</row>
    <row r="462" spans="2:60" ht="15.6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</row>
    <row r="463" spans="2:60" ht="15.6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</row>
    <row r="464" spans="2:60" ht="15.6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</row>
    <row r="465" spans="2:60" ht="15.6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</row>
    <row r="466" spans="2:60" ht="15.6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</row>
    <row r="467" spans="2:60" ht="15.6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</row>
    <row r="468" spans="2:60" ht="15.6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</row>
    <row r="469" spans="2:60" ht="15.6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</row>
    <row r="470" spans="2:60" ht="15.6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</row>
    <row r="471" spans="2:60" ht="15.6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</row>
    <row r="472" spans="2:60" ht="15.6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</row>
    <row r="473" spans="2:60" ht="15.6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</row>
    <row r="474" spans="2:60" ht="15.6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</row>
    <row r="475" spans="2:60" ht="15.6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</row>
    <row r="476" spans="2:60" ht="15.6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</row>
    <row r="477" spans="2:60" ht="15.6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</row>
    <row r="478" spans="2:60" ht="15.6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</row>
    <row r="479" spans="2:60" ht="15.6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</row>
    <row r="480" spans="2:60" ht="15.6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</row>
    <row r="481" spans="2:60" ht="15.6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</row>
    <row r="482" spans="2:60" ht="15.6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</row>
    <row r="483" spans="2:60" ht="15.6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</row>
    <row r="484" spans="2:60" ht="15.6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</row>
    <row r="485" spans="2:60" ht="15.6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</row>
    <row r="486" spans="2:60" ht="15.6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</row>
    <row r="487" spans="2:60" ht="15.6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</row>
    <row r="488" spans="2:60" ht="15.6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</row>
    <row r="489" spans="2:60" ht="15.6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</row>
    <row r="490" spans="2:60" ht="15.6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</row>
    <row r="491" spans="2:60" ht="15.6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</row>
    <row r="492" spans="2:60" ht="15.6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</row>
    <row r="493" spans="2:60" ht="15.6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</row>
    <row r="494" spans="2:60" ht="15.6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</row>
    <row r="495" spans="2:60" ht="15.6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</row>
    <row r="496" spans="2:60" ht="15.6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</row>
    <row r="497" spans="2:60" ht="15.6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</row>
    <row r="498" spans="2:60" ht="15.6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</row>
    <row r="499" spans="2:60" ht="15.6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</row>
    <row r="500" spans="2:60" ht="15.6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</row>
    <row r="501" spans="2:60" ht="15.6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</row>
    <row r="502" spans="2:60" ht="15.6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</row>
    <row r="503" spans="2:60" ht="15.6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</row>
    <row r="504" spans="2:60" ht="15.6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</row>
    <row r="505" spans="2:60" ht="15.6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</row>
    <row r="506" spans="2:60" ht="15.6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</row>
    <row r="507" spans="2:60" ht="15.6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</row>
    <row r="508" spans="2:60" ht="15.6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</row>
    <row r="509" spans="2:60" ht="15.6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</row>
    <row r="510" spans="2:60" ht="15.6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</row>
    <row r="511" spans="2:60" ht="15.6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</row>
    <row r="512" spans="2:60" ht="15.6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</row>
    <row r="513" spans="2:60" ht="15.6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</row>
    <row r="514" spans="2:60" ht="15.6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</row>
    <row r="515" spans="2:60" ht="15.6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</row>
    <row r="516" spans="2:60" ht="15.6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</row>
    <row r="517" spans="2:60" ht="15.6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</row>
    <row r="518" spans="2:60" ht="15.6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</row>
    <row r="519" spans="2:60" ht="15.6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</row>
    <row r="520" spans="2:60" ht="15.6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</row>
    <row r="521" spans="2:60" ht="15.6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</row>
    <row r="522" spans="2:60" ht="15.6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</row>
    <row r="523" spans="2:60" ht="15.6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</row>
    <row r="524" spans="2:60" ht="15.6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</row>
    <row r="525" spans="2:60" ht="15.6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</row>
    <row r="526" spans="2:60" ht="15.6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</row>
    <row r="527" spans="2:60" ht="15.6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</row>
    <row r="528" spans="2:60" ht="15.6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</row>
    <row r="529" spans="2:60" ht="15.6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</row>
    <row r="530" spans="2:60" ht="15.6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</row>
    <row r="531" spans="2:60" ht="15.6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</row>
    <row r="532" spans="2:60" ht="15.6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</row>
    <row r="533" spans="2:60" ht="15.6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</row>
    <row r="534" spans="2:60" ht="15.6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</row>
    <row r="535" spans="2:60" ht="15.6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</row>
    <row r="536" spans="2:60" ht="15.6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</row>
    <row r="537" spans="2:60" ht="15.6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</row>
    <row r="538" spans="2:60" ht="15.6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</row>
    <row r="539" spans="2:60" ht="15.6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</row>
    <row r="540" spans="2:60" ht="15.6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</row>
    <row r="541" spans="2:60" ht="15.6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</row>
    <row r="542" spans="2:60" ht="15.6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</row>
    <row r="543" spans="2:60" ht="15.6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</row>
    <row r="544" spans="2:60" ht="15.6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</row>
    <row r="545" spans="2:60" ht="15.6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</row>
    <row r="546" spans="2:60" ht="15.6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</row>
    <row r="547" spans="2:60" ht="15.6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</row>
    <row r="548" spans="2:60" ht="15.6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</row>
    <row r="549" spans="2:60" ht="15.6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</row>
    <row r="550" spans="2:60" ht="15.6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</row>
    <row r="551" spans="2:60" ht="15.6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</row>
    <row r="552" spans="2:60" ht="15.6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</row>
    <row r="553" spans="2:60" ht="15.6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</row>
    <row r="554" spans="2:60" ht="15.6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</row>
    <row r="555" spans="2:60" ht="15.6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</row>
    <row r="556" spans="2:60" ht="15.6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</row>
    <row r="557" spans="2:60" ht="15.6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</row>
    <row r="558" spans="2:60" ht="15.6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</row>
    <row r="559" spans="2:60" ht="15.6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</row>
    <row r="560" spans="2:60" ht="15.6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</row>
    <row r="561" spans="2:60" ht="15.6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</row>
    <row r="562" spans="2:60" ht="15.6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</row>
    <row r="563" spans="2:60" ht="15.6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</row>
    <row r="564" spans="2:60" ht="15.6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</row>
    <row r="565" spans="2:60" ht="15.6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</row>
    <row r="566" spans="2:60" ht="15.6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</row>
    <row r="567" spans="2:60" ht="15.6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</row>
    <row r="568" spans="2:60" ht="15.6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</row>
    <row r="569" spans="2:60" ht="15.6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</row>
    <row r="570" spans="2:60" ht="15.6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</row>
    <row r="571" spans="2:60" ht="15.6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</row>
    <row r="572" spans="2:60" ht="15.6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</row>
    <row r="573" spans="2:60" ht="15.6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</row>
    <row r="574" spans="2:60" ht="15.6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</row>
    <row r="575" spans="2:60" ht="15.6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</row>
    <row r="576" spans="2:60" ht="15.6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</row>
    <row r="577" spans="2:60" ht="15.6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</row>
    <row r="578" spans="2:60" ht="15.6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</row>
    <row r="579" spans="2:60" ht="15.6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</row>
    <row r="580" spans="2:60" ht="15.6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</row>
    <row r="581" spans="2:60" ht="15.6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</row>
    <row r="582" spans="2:60" ht="15.6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</row>
    <row r="583" spans="2:60" ht="15.6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</row>
    <row r="584" spans="2:60" ht="15.6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</row>
    <row r="585" spans="2:60" ht="15.6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</row>
    <row r="586" spans="2:60" ht="15.6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</row>
    <row r="587" spans="2:60" ht="15.6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</row>
    <row r="588" spans="2:60" ht="15.6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</row>
    <row r="589" spans="2:60" ht="15.6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</row>
    <row r="590" spans="2:60" ht="15.6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</row>
    <row r="591" spans="2:60" ht="15.6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</row>
    <row r="592" spans="2:60" ht="15.6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</row>
    <row r="593" spans="2:60" ht="15.6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</row>
    <row r="594" spans="2:60" ht="15.6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</row>
    <row r="595" spans="2:60" ht="15.6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</row>
    <row r="596" spans="2:60" ht="15.6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</row>
    <row r="597" spans="2:60" ht="15.6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</row>
    <row r="598" spans="2:60" ht="15.6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</row>
    <row r="599" spans="2:60" ht="15.6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</row>
    <row r="600" spans="2:60" ht="15.6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</row>
    <row r="601" spans="2:60" ht="15.6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</row>
    <row r="602" spans="2:60" ht="15.6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</row>
    <row r="603" spans="2:60" ht="15.6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</row>
    <row r="604" spans="2:60" ht="15.6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</row>
    <row r="605" spans="2:60" ht="15.6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</row>
    <row r="606" spans="2:60" ht="15.6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</row>
    <row r="607" spans="2:60" ht="15.6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</row>
    <row r="608" spans="2:60" ht="15.6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</row>
    <row r="609" spans="2:60" ht="15.6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</row>
    <row r="610" spans="2:60" ht="15.6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</row>
    <row r="611" spans="2:60" ht="15.6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</row>
    <row r="612" spans="2:60" ht="15.6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</row>
    <row r="613" spans="2:60" ht="15.6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</row>
    <row r="614" spans="2:60" ht="15.6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</row>
    <row r="615" spans="2:60" ht="15.6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</row>
    <row r="616" spans="2:60" ht="15.6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</row>
    <row r="617" spans="2:60" ht="15.6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</row>
    <row r="618" spans="2:60" ht="15.6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</row>
    <row r="619" spans="2:60" ht="15.6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</row>
    <row r="620" spans="2:60" ht="15.6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</row>
    <row r="621" spans="2:60" ht="15.6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</row>
    <row r="622" spans="2:60" ht="15.6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</row>
    <row r="623" spans="2:60" ht="15.6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</row>
    <row r="624" spans="2:60" ht="15.6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</row>
    <row r="625" spans="2:60" ht="15.6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</row>
    <row r="626" spans="2:60" ht="15.6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</row>
    <row r="627" spans="2:60" ht="15.6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</row>
    <row r="628" spans="2:60" ht="15.6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</row>
    <row r="629" spans="2:60" ht="15.6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</row>
    <row r="630" spans="2:60" ht="15.6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</row>
    <row r="631" spans="2:60" ht="15.6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</row>
    <row r="632" spans="2:60" ht="15.6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</row>
    <row r="633" spans="2:60" ht="15.6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</row>
    <row r="634" spans="2:60" ht="15.6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</row>
    <row r="635" spans="2:60" ht="15.6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</row>
    <row r="636" spans="2:60" ht="15.6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</row>
    <row r="637" spans="2:60" ht="15.6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</row>
    <row r="638" spans="2:60" ht="15.6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</row>
    <row r="639" spans="2:60" ht="15.6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</row>
    <row r="640" spans="2:60" ht="15.6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</row>
    <row r="641" spans="2:60" ht="15.6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</row>
    <row r="642" spans="2:60" ht="15.6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</row>
    <row r="643" spans="2:60" ht="15.6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</row>
    <row r="644" spans="2:60" ht="15.6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</row>
    <row r="645" spans="2:60" ht="15.6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</row>
    <row r="646" spans="2:60" ht="15.6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</row>
    <row r="647" spans="2:60" ht="15.6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</row>
    <row r="648" spans="2:60" ht="15.6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</row>
    <row r="649" spans="2:60" ht="15.6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</row>
    <row r="650" spans="2:60" ht="15.6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</row>
    <row r="651" spans="2:60" ht="15.6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</row>
    <row r="652" spans="2:60" ht="15.6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</row>
    <row r="653" spans="2:60" ht="15.6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</row>
    <row r="654" spans="2:60" ht="15.6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</row>
    <row r="655" spans="2:60" ht="15.6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</row>
    <row r="656" spans="2:60" ht="15.6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</row>
    <row r="657" spans="2:60" ht="15.6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</row>
    <row r="658" spans="2:60" ht="15.6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</row>
    <row r="659" spans="2:60" ht="15.6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</row>
    <row r="660" spans="2:60" ht="15.6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</row>
    <row r="661" spans="2:60" ht="15.6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</row>
    <row r="662" spans="2:60" ht="15.6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</row>
    <row r="663" spans="2:60" ht="15.6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</row>
    <row r="664" spans="2:60" ht="15.6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</row>
    <row r="665" spans="2:60" ht="15.6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</row>
    <row r="666" spans="2:60" ht="15.6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</row>
    <row r="667" spans="2:60" ht="15.6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</row>
    <row r="668" spans="2:60" ht="15.6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</row>
    <row r="669" spans="2:60" ht="15.6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</row>
    <row r="670" spans="2:60" ht="15.6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</row>
    <row r="671" spans="2:60" ht="15.6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</row>
    <row r="672" spans="2:60" ht="15.6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</row>
    <row r="673" spans="2:60" ht="15.6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</row>
    <row r="674" spans="2:60" ht="15.6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</row>
    <row r="675" spans="2:60" ht="15.6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</row>
    <row r="676" spans="2:60" ht="15.6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</row>
    <row r="677" spans="2:60" ht="15.6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</row>
    <row r="678" spans="2:60" ht="15.6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</row>
    <row r="679" spans="2:60" ht="15.6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</row>
    <row r="680" spans="2:60" ht="15.6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</row>
    <row r="681" spans="2:60" ht="15.6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</row>
    <row r="682" spans="2:60" ht="15.6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</row>
    <row r="683" spans="2:60" ht="15.6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</row>
    <row r="684" spans="2:60" ht="15.6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</row>
    <row r="685" spans="2:60" ht="15.6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</row>
    <row r="686" spans="2:60" ht="15.6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</row>
    <row r="687" spans="2:60" ht="15.6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</row>
    <row r="688" spans="2:60" ht="15.6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</row>
    <row r="689" spans="2:60" ht="15.6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</row>
    <row r="690" spans="2:60" ht="15.6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</row>
    <row r="691" spans="2:60" ht="15.6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</row>
    <row r="692" spans="2:60" ht="15.6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</row>
    <row r="693" spans="2:60" ht="15.6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</row>
    <row r="694" spans="2:60" ht="15.6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</row>
    <row r="695" spans="2:60" ht="15.6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</row>
    <row r="696" spans="2:60" ht="15.6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</row>
    <row r="697" spans="2:60" ht="15.6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</row>
    <row r="698" spans="2:60" ht="15.6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</row>
    <row r="699" spans="2:60" ht="15.6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</row>
    <row r="700" spans="2:60" ht="15.6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</row>
    <row r="701" spans="2:60" ht="15.6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</row>
    <row r="702" spans="2:60" ht="15.6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</row>
    <row r="703" spans="2:60" ht="15.6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</row>
    <row r="704" spans="2:60" ht="15.6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</row>
    <row r="705" spans="2:60" ht="15.6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</row>
    <row r="706" spans="2:60" ht="15.6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</row>
    <row r="707" spans="2:60" ht="15.6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</row>
    <row r="708" spans="2:60" ht="15.6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</row>
    <row r="709" spans="2:60" ht="15.6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</row>
    <row r="710" spans="2:60" ht="15.6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</row>
    <row r="711" spans="2:60" ht="15.6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</row>
    <row r="712" spans="2:60" ht="15.6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</row>
    <row r="713" spans="2:60" ht="15.6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</row>
    <row r="714" spans="2:60" ht="15.6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</row>
    <row r="715" spans="2:60" ht="15.6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</row>
    <row r="716" spans="2:60" ht="15.6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</row>
    <row r="717" spans="2:60" ht="15.6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</row>
    <row r="718" spans="2:60" ht="15.6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</row>
    <row r="719" spans="2:60" ht="15.6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</row>
    <row r="720" spans="2:60" ht="15.6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</row>
    <row r="721" spans="2:60" ht="15.6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</row>
    <row r="722" spans="2:60" ht="15.6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</row>
    <row r="723" spans="2:60" ht="15.6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</row>
    <row r="724" spans="2:60" ht="15.6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</row>
    <row r="725" spans="2:60" ht="15.6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</row>
    <row r="726" spans="2:60" ht="15.6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</row>
    <row r="727" spans="2:60" ht="15.6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</row>
    <row r="728" spans="2:60" ht="15.6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</row>
    <row r="729" spans="2:60" ht="15.6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</row>
    <row r="730" spans="2:60" ht="15.6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</row>
    <row r="731" spans="2:60" ht="15.6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</row>
    <row r="732" spans="2:60" ht="15.6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</row>
    <row r="733" spans="2:60" ht="15.6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</row>
    <row r="734" spans="2:60" ht="15.6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</row>
    <row r="735" spans="2:60" ht="15.6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</row>
    <row r="736" spans="2:60" ht="15.6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</row>
    <row r="737" spans="2:60" ht="15.6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</row>
    <row r="738" spans="2:60" ht="15.6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</row>
    <row r="739" spans="2:60" ht="15.6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</row>
    <row r="740" spans="2:60" ht="15.6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</row>
    <row r="741" spans="2:60" ht="15.6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</row>
    <row r="742" spans="2:60" ht="15.6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</row>
    <row r="743" spans="2:60" ht="15.6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</row>
    <row r="744" spans="2:60" ht="15.6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</row>
    <row r="745" spans="2:60" ht="15.6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</row>
    <row r="746" spans="2:60" ht="15.6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</row>
    <row r="747" spans="2:60" ht="15.6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</row>
    <row r="748" spans="2:60" ht="15.6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</row>
    <row r="749" spans="2:60" ht="15.6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</row>
    <row r="750" spans="2:60" ht="15.6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</row>
    <row r="751" spans="2:60" ht="15.6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</row>
    <row r="752" spans="2:60" ht="15.6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</row>
    <row r="753" spans="2:60" ht="15.6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</row>
    <row r="754" spans="2:60" ht="15.6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</row>
    <row r="755" spans="2:60" ht="15.6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</row>
    <row r="756" spans="2:60" ht="15.6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</row>
    <row r="757" spans="2:60" ht="15.6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</row>
    <row r="758" spans="2:60" ht="15.6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</row>
    <row r="759" spans="2:60" ht="15.6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</row>
    <row r="760" spans="2:60" ht="15.6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</row>
    <row r="761" spans="2:60" ht="15.6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</row>
    <row r="762" spans="2:60" ht="15.6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</row>
    <row r="763" spans="2:60" ht="15.6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</row>
    <row r="764" spans="2:60" ht="15.6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</row>
    <row r="765" spans="2:60" ht="15.6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</row>
    <row r="766" spans="2:60" ht="15.6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</row>
    <row r="767" spans="2:60" ht="15.6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</row>
    <row r="768" spans="2:60" ht="15.6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</row>
    <row r="769" spans="2:60" ht="15.6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</row>
    <row r="770" spans="2:60" ht="15.6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</row>
    <row r="771" spans="2:60" ht="15.6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</row>
    <row r="772" spans="2:60" ht="15.6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</row>
    <row r="773" spans="2:60" ht="15.6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</row>
    <row r="774" spans="2:60" ht="15.6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</row>
    <row r="775" spans="2:60" ht="15.6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</row>
    <row r="776" spans="2:60" ht="15.6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</row>
    <row r="777" spans="2:60" ht="15.6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</row>
    <row r="778" spans="2:60" ht="15.6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</row>
    <row r="779" spans="2:60" ht="15.6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</row>
    <row r="780" spans="2:60" ht="15.6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</row>
    <row r="781" spans="2:60" ht="15.6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</row>
    <row r="782" spans="2:60" ht="15.6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</row>
    <row r="783" spans="2:60" ht="15.6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</row>
    <row r="784" spans="2:60" ht="15.6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</row>
    <row r="785" spans="2:60" ht="15.6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</row>
    <row r="786" spans="2:60" ht="15.6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</row>
    <row r="787" spans="2:60" ht="15.6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</row>
    <row r="788" spans="2:60" ht="15.6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</row>
    <row r="789" spans="2:60" ht="15.6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</row>
    <row r="790" spans="2:60" ht="15.6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</row>
    <row r="791" spans="2:60" ht="15.6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</row>
    <row r="792" spans="2:60" ht="15.6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</row>
    <row r="793" spans="2:60" ht="15.6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</row>
    <row r="794" spans="2:60" ht="15.6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</row>
    <row r="795" spans="2:60" ht="15.6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</row>
    <row r="796" spans="2:60" ht="15.6" hidden="1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</row>
    <row r="797" spans="2:60" ht="15.6" hidden="1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</row>
    <row r="798" spans="2:60" ht="15.6" hidden="1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</row>
    <row r="799" spans="2:60" ht="15.6" hidden="1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</row>
    <row r="800" spans="2:60" ht="15.6" hidden="1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</row>
    <row r="801" spans="2:60" ht="15.6" hidden="1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</row>
    <row r="802" spans="2:60" ht="15.6" hidden="1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</row>
    <row r="803" spans="2:60" ht="15.6" hidden="1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</row>
    <row r="804" spans="2:60" ht="15.6" hidden="1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</row>
    <row r="805" spans="2:60" ht="15.6" hidden="1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</row>
    <row r="806" spans="2:60" ht="15.6" hidden="1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</row>
    <row r="807" spans="2:60" ht="15.6" hidden="1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</row>
    <row r="808" spans="2:60" ht="15.6" hidden="1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</row>
    <row r="809" spans="2:60" ht="15.6" hidden="1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</row>
    <row r="810" spans="2:60" ht="15.6" hidden="1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</row>
    <row r="811" spans="2:60" ht="15.6" hidden="1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</row>
    <row r="812" spans="2:60" ht="15.6" hidden="1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</row>
    <row r="813" spans="2:60" ht="15.6" hidden="1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</row>
    <row r="814" spans="2:60" ht="15.6" hidden="1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</row>
    <row r="815" spans="2:60" ht="15.6" hidden="1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</row>
    <row r="816" spans="2:60" ht="15.6" hidden="1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</row>
    <row r="817" spans="2:60" ht="15.6" hidden="1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</row>
    <row r="818" spans="2:60" ht="15.6" hidden="1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</row>
    <row r="819" spans="2:60" ht="15.6" hidden="1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</row>
    <row r="820" spans="2:60" ht="15.6" hidden="1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</row>
    <row r="821" spans="2:60" ht="15.6" hidden="1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</row>
    <row r="822" spans="2:60" ht="15.6" hidden="1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</row>
    <row r="823" spans="2:60" ht="15.6" hidden="1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</row>
    <row r="824" spans="2:60" ht="15.6" hidden="1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</row>
    <row r="825" spans="2:60" ht="15.6" hidden="1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</row>
    <row r="826" spans="2:60" ht="15.6" hidden="1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</row>
    <row r="827" spans="2:60" ht="15.6" hidden="1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</row>
    <row r="828" spans="2:60" ht="15.6" hidden="1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</row>
    <row r="829" spans="2:60" ht="15.6" hidden="1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</row>
    <row r="830" spans="2:60" ht="15.6" hidden="1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</row>
    <row r="831" spans="2:60" ht="15.6" hidden="1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</row>
    <row r="832" spans="2:60" ht="15.6" hidden="1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</row>
    <row r="833" spans="2:60" ht="15.6" hidden="1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</row>
    <row r="834" spans="2:60" ht="15.6" hidden="1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</row>
    <row r="835" spans="2:60" ht="15.6" hidden="1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</row>
    <row r="836" spans="2:60" ht="15.6" hidden="1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</row>
    <row r="837" spans="2:60" ht="15.6" hidden="1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</row>
    <row r="838" spans="2:60" ht="15.6" hidden="1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</row>
    <row r="839" spans="2:60" ht="15.6" hidden="1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</row>
    <row r="840" spans="2:60" ht="15.6" hidden="1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</row>
    <row r="841" spans="2:60" ht="15.6" hidden="1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</row>
    <row r="842" spans="2:60" ht="15.6" hidden="1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</row>
    <row r="843" spans="2:60" ht="15.6" hidden="1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</row>
    <row r="844" spans="2:60" ht="15.6" hidden="1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</row>
    <row r="845" spans="2:60" ht="15.6" hidden="1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</row>
    <row r="846" spans="2:60" ht="15.6" hidden="1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</row>
    <row r="847" spans="2:60" ht="15.6" hidden="1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</row>
    <row r="848" spans="2:60" ht="15.6" hidden="1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</row>
    <row r="849" spans="2:60" ht="15.6" hidden="1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</row>
    <row r="850" spans="2:60" ht="15.6" hidden="1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</row>
    <row r="851" spans="2:60" ht="15.6" hidden="1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</row>
    <row r="852" spans="2:60" ht="15.6" hidden="1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</row>
    <row r="853" spans="2:60" ht="15.6" hidden="1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</row>
    <row r="854" spans="2:60" ht="15.6" hidden="1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</row>
    <row r="855" spans="2:60" ht="15.6" hidden="1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</row>
    <row r="856" spans="2:60" ht="15.6" hidden="1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</row>
    <row r="857" spans="2:60" ht="15.6" hidden="1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</row>
    <row r="858" spans="2:60" ht="15.6" hidden="1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</row>
    <row r="859" spans="2:60" ht="15.6" hidden="1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</row>
    <row r="860" spans="2:60" ht="15.6" hidden="1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</row>
    <row r="861" spans="2:60" ht="15.6" hidden="1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</row>
    <row r="862" spans="2:60" ht="15.6" hidden="1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</row>
    <row r="863" spans="2:60" ht="15.6" hidden="1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</row>
    <row r="864" spans="2:60" ht="15.6" hidden="1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</row>
    <row r="865" spans="2:60" ht="15.6" hidden="1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</row>
    <row r="866" spans="2:60" ht="15.6" hidden="1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</row>
    <row r="867" spans="2:60" ht="15.6" hidden="1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</row>
    <row r="868" spans="2:60" ht="15.6" hidden="1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</row>
    <row r="869" spans="2:60" ht="15.6" hidden="1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</row>
    <row r="870" spans="2:60" ht="15.6" hidden="1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</row>
    <row r="871" spans="2:60" ht="15.6" hidden="1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</row>
    <row r="872" spans="2:60" ht="15.6" hidden="1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</row>
    <row r="873" spans="2:60" ht="15.6" hidden="1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</row>
    <row r="874" spans="2:60" ht="15.6" hidden="1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</row>
    <row r="875" spans="2:60" ht="15.6" hidden="1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</row>
    <row r="876" spans="2:60" ht="15.6" hidden="1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</row>
    <row r="877" spans="2:60" ht="15.6" hidden="1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</row>
    <row r="878" spans="2:60" ht="15.6" hidden="1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</row>
    <row r="879" spans="2:60" ht="15.6" hidden="1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</row>
    <row r="880" spans="2:60" ht="15.6" hidden="1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</row>
    <row r="881" spans="2:60" ht="15.6" hidden="1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</row>
    <row r="882" spans="2:60" ht="15.6" hidden="1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</row>
    <row r="883" spans="2:60" ht="15.6" hidden="1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</row>
    <row r="884" spans="2:60" ht="15.6" hidden="1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</row>
    <row r="885" spans="2:60" ht="15.6" hidden="1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</row>
    <row r="886" spans="2:60" ht="15.6" hidden="1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</row>
    <row r="887" spans="2:60" ht="15.6" hidden="1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</row>
    <row r="888" spans="2:60" ht="15.6" hidden="1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</row>
    <row r="889" spans="2:60" ht="15.6" hidden="1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</row>
    <row r="890" spans="2:60" ht="15.6" hidden="1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</row>
    <row r="891" spans="2:60" ht="15.6" hidden="1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</row>
    <row r="892" spans="2:60" ht="15.6" hidden="1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</row>
    <row r="893" spans="2:60" ht="15.6" hidden="1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</row>
    <row r="894" spans="2:60" ht="15.6" hidden="1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</row>
    <row r="895" spans="2:60" ht="15.6" hidden="1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</row>
    <row r="896" spans="2:60" ht="15.6" hidden="1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</row>
    <row r="897" spans="2:60" ht="15.6" hidden="1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</row>
    <row r="898" spans="2:60" ht="15.6" hidden="1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</row>
    <row r="899" spans="2:60" ht="15.6" hidden="1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</row>
    <row r="900" spans="2:60" ht="15.6" hidden="1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</row>
    <row r="901" spans="2:60" ht="15.6" hidden="1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</row>
    <row r="902" spans="2:60" ht="15.6" hidden="1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</row>
    <row r="903" spans="2:60" ht="15.6" hidden="1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</row>
    <row r="904" spans="2:60" ht="15.6" hidden="1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</row>
    <row r="905" spans="2:60" ht="15.6" hidden="1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</row>
    <row r="906" spans="2:60" ht="15.6" hidden="1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</row>
    <row r="907" spans="2:60" ht="15.6" hidden="1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</row>
    <row r="908" spans="2:60" ht="15.6" hidden="1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</row>
    <row r="909" spans="2:60" ht="15.6" hidden="1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</row>
    <row r="910" spans="2:60" ht="15.6" hidden="1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</row>
    <row r="911" spans="2:60" ht="15.6" hidden="1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</row>
    <row r="912" spans="2:60" ht="15.6" hidden="1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</row>
    <row r="913" spans="2:60" ht="15.6" hidden="1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</row>
    <row r="914" spans="2:60" ht="15.6" hidden="1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</row>
    <row r="915" spans="2:60" ht="15.6" hidden="1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</row>
    <row r="916" spans="2:60" ht="15.6" hidden="1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</row>
    <row r="917" spans="2:60" ht="15.6" hidden="1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</row>
    <row r="918" spans="2:60" ht="15.6" hidden="1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</row>
    <row r="919" spans="2:60" ht="15.6" hidden="1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</row>
    <row r="920" spans="2:60" ht="15.6" hidden="1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</row>
    <row r="921" spans="2:60" ht="15.6" hidden="1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</row>
    <row r="922" spans="2:60" ht="15.6" hidden="1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</row>
    <row r="923" spans="2:60" ht="15.6" hidden="1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</row>
    <row r="924" spans="2:60" ht="15.6" hidden="1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</row>
    <row r="925" spans="2:60" ht="15.6" hidden="1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</row>
    <row r="926" spans="2:60" ht="15.6" hidden="1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</row>
    <row r="927" spans="2:60" ht="15.6" hidden="1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</row>
    <row r="928" spans="2:60" ht="15.6" hidden="1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</row>
    <row r="929" spans="2:60" ht="15.6" hidden="1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</row>
    <row r="930" spans="2:60" ht="15.6" hidden="1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</row>
    <row r="931" spans="2:60" ht="15.6" hidden="1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</row>
    <row r="932" spans="2:60" ht="15.6" hidden="1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</row>
    <row r="933" spans="2:60" ht="15.6" hidden="1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</row>
    <row r="934" spans="2:60" ht="15.6" hidden="1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</row>
    <row r="935" spans="2:60" ht="15.6" hidden="1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</row>
    <row r="936" spans="2:60" ht="15.6" hidden="1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</row>
    <row r="937" spans="2:60" ht="15.6" hidden="1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</row>
    <row r="938" spans="2:60" ht="15.6" hidden="1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</row>
    <row r="939" spans="2:60" ht="15.6" hidden="1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</row>
    <row r="940" spans="2:60" ht="15.6" hidden="1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</row>
    <row r="941" spans="2:60" ht="15.6" hidden="1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</row>
    <row r="942" spans="2:60" ht="15.6" hidden="1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</row>
    <row r="943" spans="2:60" ht="15.6" hidden="1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</row>
    <row r="944" spans="2:60" ht="15.6" hidden="1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</row>
    <row r="945" spans="2:60" ht="15.6" hidden="1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</row>
    <row r="946" spans="2:60" ht="15.6" hidden="1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</row>
    <row r="947" spans="2:60" ht="15.6" hidden="1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</row>
    <row r="948" spans="2:60" ht="15.6" hidden="1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</row>
    <row r="949" spans="2:60" ht="15.6" hidden="1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</row>
    <row r="950" spans="2:60" ht="15.6" hidden="1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</row>
    <row r="951" spans="2:60" ht="15.6" hidden="1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</row>
    <row r="952" spans="2:60" ht="15.6" hidden="1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</row>
    <row r="953" spans="2:60" ht="15.6" hidden="1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</row>
    <row r="954" spans="2:60" ht="15.6" hidden="1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</row>
    <row r="955" spans="2:60" ht="15.6" hidden="1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</row>
    <row r="956" spans="2:60" ht="15.6" hidden="1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</row>
    <row r="957" spans="2:60" ht="15.6" hidden="1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</row>
    <row r="958" spans="2:60" ht="15.6" hidden="1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</row>
    <row r="959" spans="2:60" ht="15.6" hidden="1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</row>
    <row r="960" spans="2:60" ht="15.6" hidden="1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</row>
    <row r="961" spans="2:60" ht="15.6" hidden="1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</row>
    <row r="962" spans="2:60" ht="15.6" hidden="1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</row>
    <row r="963" spans="2:60" ht="15.6" hidden="1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</row>
    <row r="964" spans="2:60" ht="15.6" hidden="1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</row>
    <row r="965" spans="2:60" ht="15.6" hidden="1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</row>
    <row r="966" spans="2:60" ht="15.6" hidden="1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</row>
    <row r="967" spans="2:60" ht="15.6" hidden="1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</row>
    <row r="968" spans="2:60" ht="15.6" hidden="1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</row>
    <row r="969" spans="2:60" ht="15.6" hidden="1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</row>
    <row r="970" spans="2:60" ht="15.6" hidden="1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</row>
    <row r="971" spans="2:60" ht="15.6" hidden="1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</row>
    <row r="972" spans="2:60" ht="15.6" hidden="1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</row>
    <row r="973" spans="2:60" ht="15.6" hidden="1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</row>
    <row r="974" spans="2:60" ht="15.6" hidden="1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</row>
    <row r="975" spans="2:60" ht="15.6" hidden="1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</row>
    <row r="976" spans="2:60" ht="15.6" hidden="1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</row>
    <row r="977" spans="2:60" ht="15.6" hidden="1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</row>
    <row r="978" spans="2:60" ht="15.6" hidden="1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</row>
    <row r="979" spans="2:60" ht="15.6" hidden="1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</row>
    <row r="980" spans="2:60" ht="15.6" hidden="1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</row>
    <row r="981" spans="2:60" ht="15.6" hidden="1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</row>
    <row r="982" spans="2:60" ht="15.6" hidden="1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</row>
    <row r="983" spans="2:60" ht="15.6" hidden="1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</row>
    <row r="984" spans="2:60" ht="15.6" hidden="1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</row>
    <row r="985" spans="2:60" ht="15.6" hidden="1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</row>
    <row r="986" spans="2:60" ht="15.6" hidden="1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</row>
    <row r="987" spans="2:60" ht="15.6" hidden="1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</row>
    <row r="988" spans="2:60" ht="15.6" hidden="1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</row>
    <row r="989" spans="2:60" ht="15.6" hidden="1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</row>
    <row r="990" spans="2:60" ht="15.6" hidden="1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</row>
    <row r="991" spans="2:60" ht="15.6" hidden="1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</row>
    <row r="992" spans="2:60" ht="15.6" hidden="1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</row>
    <row r="993" spans="2:60" ht="15.6" hidden="1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</row>
    <row r="994" spans="2:60" ht="15.6" hidden="1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</row>
    <row r="995" spans="2:60" ht="15.6" hidden="1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</row>
    <row r="996" spans="2:60" ht="15.6" hidden="1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</row>
    <row r="997" spans="2:60" ht="15.6" hidden="1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</row>
    <row r="998" spans="2:60" ht="15.6" hidden="1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</row>
    <row r="999" spans="2:60" ht="15.6" hidden="1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</row>
    <row r="1000" spans="2:60" ht="15.6" hidden="1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</row>
    <row r="1001" spans="2:60" ht="15.6" hidden="1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</row>
    <row r="1002" spans="2:60" ht="15.6" hidden="1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</row>
    <row r="1003" spans="2:60" ht="15.6" hidden="1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</row>
    <row r="1004" spans="2:60" ht="15.6" hidden="1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</row>
    <row r="1005" spans="2:60" ht="15.6" hidden="1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</row>
    <row r="1006" spans="2:60" ht="15.6" hidden="1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</row>
    <row r="1007" spans="2:60" ht="15.6" hidden="1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</row>
    <row r="1008" spans="2:60" ht="15.6" hidden="1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</row>
    <row r="1009" spans="2:60" ht="15.6" hidden="1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</row>
    <row r="1010" spans="2:60" ht="15.6" hidden="1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</row>
    <row r="1011" spans="2:60" ht="15.6" hidden="1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</row>
    <row r="1012" spans="2:60" ht="15.6" hidden="1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</row>
    <row r="1013" spans="2:60" ht="15.6" hidden="1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</row>
    <row r="1014" spans="2:60" ht="15.6" hidden="1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</row>
    <row r="1015" spans="2:60" ht="15.6" hidden="1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</row>
    <row r="1016" spans="2:60" ht="15.6" hidden="1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</row>
    <row r="1017" spans="2:60" ht="15.6" hidden="1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</row>
    <row r="1018" spans="2:60" ht="15.6" hidden="1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</row>
    <row r="1019" spans="2:60" ht="15.6" hidden="1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</row>
    <row r="1020" spans="2:60" ht="15.6" hidden="1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</row>
    <row r="1021" spans="2:60" ht="15.6" hidden="1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</row>
    <row r="1022" spans="2:60" ht="15.6" hidden="1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</row>
    <row r="1023" spans="2:60" ht="15.6" hidden="1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</row>
    <row r="1024" spans="2:60" ht="15.6" hidden="1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</row>
    <row r="1025" spans="2:60" ht="15.6" hidden="1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</row>
    <row r="1026" spans="2:60" ht="15.6" hidden="1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</row>
    <row r="1027" spans="2:60" ht="15.6" hidden="1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</row>
    <row r="1028" spans="2:60" ht="15.6" hidden="1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</row>
    <row r="1029" spans="2:60" ht="15.6" hidden="1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</row>
    <row r="1030" spans="2:60" ht="15.6" hidden="1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</row>
    <row r="1031" spans="2:60" ht="15.6" hidden="1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</row>
    <row r="1032" spans="2:60" ht="15.6" hidden="1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</row>
    <row r="1033" spans="2:60" ht="15.6" hidden="1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</row>
    <row r="1034" spans="2:60" ht="15.6" hidden="1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</row>
    <row r="1035" spans="2:60" ht="15.6" hidden="1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</row>
    <row r="1036" spans="2:60" ht="15.6" hidden="1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</row>
    <row r="1037" spans="2:60" ht="15.6" hidden="1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</row>
    <row r="1038" spans="2:60" ht="15.6" hidden="1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</row>
    <row r="1039" spans="2:60" ht="15.6" hidden="1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</row>
    <row r="1040" spans="2:60" ht="15.6" hidden="1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</row>
    <row r="1041" spans="2:60" ht="15.6" hidden="1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</row>
    <row r="1042" spans="2:60" ht="15.6" hidden="1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</row>
    <row r="1043" spans="2:60" ht="15.6" hidden="1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</row>
    <row r="1044" spans="2:60" ht="15.6" hidden="1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</row>
    <row r="1045" spans="2:60" ht="15.6" hidden="1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</row>
    <row r="1046" spans="2:60" ht="15.6" hidden="1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</row>
    <row r="1047" spans="2:60" ht="15.6" hidden="1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</row>
    <row r="1048" spans="2:60" ht="15.6" hidden="1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</row>
    <row r="1049" spans="2:60" ht="15.6" hidden="1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</row>
    <row r="1050" spans="2:60" ht="15.6" hidden="1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</row>
    <row r="1051" spans="2:60" ht="15.6" hidden="1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</row>
    <row r="1052" spans="2:60" ht="15.6" hidden="1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</row>
    <row r="1053" spans="2:60" ht="15.6" hidden="1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</row>
    <row r="1054" spans="2:60" ht="15.6" hidden="1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</row>
    <row r="1055" spans="2:60" ht="15.6" hidden="1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</row>
    <row r="1056" spans="2:60" ht="15.6" hidden="1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</row>
    <row r="1057" spans="2:60" ht="15.6" hidden="1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</row>
    <row r="1058" spans="2:60" ht="15.6" hidden="1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</row>
    <row r="1059" spans="2:60" ht="15.6" hidden="1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</row>
    <row r="1060" spans="2:60" ht="15.6" hidden="1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</row>
    <row r="1061" spans="2:60" ht="15.6" hidden="1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</row>
    <row r="1062" spans="2:60" ht="15.6" hidden="1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</row>
    <row r="1063" spans="2:60" ht="15.6" hidden="1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</row>
    <row r="1064" spans="2:60" ht="15.6" hidden="1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</row>
    <row r="1065" spans="2:60" ht="15.6" hidden="1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</row>
    <row r="1066" spans="2:60" ht="15.6" hidden="1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</row>
    <row r="1067" spans="2:60" ht="15.6" hidden="1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</row>
    <row r="1068" spans="2:60" ht="15.6" hidden="1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</row>
    <row r="1069" spans="2:60" ht="15.6" hidden="1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</row>
    <row r="1070" spans="2:60" ht="15.6" hidden="1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</row>
    <row r="1071" spans="2:60" ht="15.6" hidden="1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</row>
    <row r="1072" spans="2:60" ht="15.6" hidden="1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</row>
    <row r="1073" spans="2:60" ht="15.6" hidden="1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</row>
    <row r="1074" spans="2:60" ht="15.6" hidden="1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</row>
    <row r="1075" spans="2:60" ht="15.6" hidden="1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</row>
    <row r="1076" spans="2:60" ht="15.6" hidden="1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</row>
    <row r="1077" spans="2:60" ht="15.6" hidden="1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</row>
    <row r="1078" spans="2:60" ht="15.6" hidden="1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</row>
    <row r="1079" spans="2:60" ht="15.6" hidden="1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</row>
    <row r="1080" spans="2:60" ht="15.6" hidden="1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</row>
    <row r="1081" spans="2:60" ht="15.6" hidden="1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</row>
    <row r="1082" spans="2:60" ht="15.6" hidden="1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</row>
    <row r="1083" spans="2:60" ht="15.6" hidden="1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</row>
    <row r="1084" spans="2:60" ht="15.6" hidden="1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</row>
    <row r="1085" spans="2:60" ht="15.6" hidden="1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</row>
    <row r="1086" spans="2:60" ht="15.6" hidden="1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</row>
    <row r="1087" spans="2:60" ht="15.6" hidden="1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</row>
    <row r="1088" spans="2:60" ht="15.6" hidden="1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</row>
    <row r="1089" spans="2:60" ht="15.6" hidden="1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</row>
    <row r="1090" spans="2:60" ht="15.6" hidden="1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</row>
    <row r="1091" spans="2:60" ht="15.6" hidden="1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</row>
    <row r="1092" spans="2:60" ht="15.6" hidden="1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</row>
    <row r="1093" spans="2:60" ht="15.6" hidden="1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</row>
    <row r="1094" spans="2:60" ht="15.6" hidden="1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</row>
    <row r="1095" spans="2:60" ht="15.6" hidden="1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</row>
    <row r="1096" spans="2:60" ht="15.6" hidden="1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</row>
    <row r="1097" spans="2:60" ht="15.6" hidden="1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</row>
    <row r="1098" spans="2:60" ht="15.6" hidden="1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</row>
    <row r="1099" spans="2:60" ht="15.6" hidden="1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</row>
    <row r="1100" spans="2:60" ht="15.6" hidden="1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</row>
    <row r="1101" spans="2:60" ht="15.6" hidden="1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</row>
    <row r="1102" spans="2:60" ht="15.6" hidden="1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</row>
    <row r="1103" spans="2:60" ht="15.6" hidden="1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</row>
    <row r="1104" spans="2:60" ht="15.6" hidden="1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</row>
    <row r="1105" spans="2:60" ht="15.6" hidden="1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</row>
    <row r="1106" spans="2:60" ht="15.6" hidden="1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</row>
    <row r="1107" spans="2:60" ht="15.6" hidden="1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</row>
    <row r="1108" spans="2:60" ht="15.6" hidden="1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</row>
    <row r="1109" spans="2:60" ht="15.6" hidden="1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</row>
    <row r="1110" spans="2:60" ht="15.6" hidden="1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</row>
    <row r="1111" spans="2:60" ht="15.6" hidden="1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</row>
    <row r="1112" spans="2:60" ht="15.6" hidden="1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</row>
    <row r="1113" spans="2:60" ht="15.6" hidden="1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</row>
    <row r="1114" spans="2:60" ht="15.6" hidden="1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</row>
    <row r="1115" spans="2:60" ht="15.6" hidden="1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</row>
    <row r="1116" spans="2:60" ht="15.6" hidden="1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</row>
    <row r="1117" spans="2:60" ht="15.6" hidden="1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</row>
    <row r="1118" spans="2:60" ht="15.6" hidden="1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</row>
    <row r="1119" spans="2:60" ht="15.6" hidden="1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</row>
    <row r="1120" spans="2:60" ht="15.6" hidden="1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</row>
    <row r="1121" spans="2:60" ht="15.6" hidden="1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</row>
    <row r="1122" spans="2:60" ht="15.6" hidden="1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</row>
    <row r="1123" spans="2:60" ht="15.6" hidden="1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</row>
    <row r="1124" spans="2:60" ht="15.6" hidden="1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</row>
    <row r="1125" spans="2:60" ht="15.6" hidden="1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</row>
    <row r="1126" spans="2:60" ht="15.6" hidden="1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</row>
    <row r="1127" spans="2:60" ht="15.6" hidden="1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</row>
    <row r="1128" spans="2:60" ht="15.6" hidden="1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</row>
    <row r="1129" spans="2:60" ht="15.6" hidden="1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</row>
    <row r="1130" spans="2:60" ht="15.6" hidden="1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</row>
    <row r="1131" spans="2:60" ht="15.6" hidden="1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</row>
    <row r="1132" spans="2:60" ht="15.6" hidden="1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</row>
    <row r="1133" spans="2:60" ht="15.6" hidden="1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</row>
    <row r="1134" spans="2:60" ht="15.6" hidden="1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</row>
    <row r="1135" spans="2:60" ht="15.6" hidden="1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</row>
    <row r="1136" spans="2:60" ht="15.6" hidden="1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</row>
    <row r="1137" spans="2:60" ht="15.6" hidden="1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</row>
    <row r="1138" spans="2:60" ht="15.6" hidden="1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</row>
    <row r="1139" spans="2:60" ht="15.6" hidden="1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</row>
    <row r="1140" spans="2:60" ht="15.6" hidden="1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</row>
    <row r="1141" spans="2:60" ht="15.6" hidden="1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</row>
    <row r="1142" spans="2:60" ht="15.6" hidden="1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</row>
    <row r="1143" spans="2:60" ht="15.6" hidden="1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</row>
    <row r="1144" spans="2:60" ht="15.6" hidden="1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</row>
    <row r="1145" spans="2:60" ht="15.6" hidden="1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</row>
    <row r="1146" spans="2:60" ht="15.6" hidden="1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</row>
    <row r="1147" spans="2:60" ht="15.6" hidden="1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</row>
    <row r="1148" spans="2:60" ht="15.6" hidden="1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</row>
    <row r="1149" spans="2:60" ht="15.6" hidden="1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</row>
    <row r="1150" spans="2:60" ht="15.6" hidden="1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</row>
    <row r="1151" spans="2:60" ht="15.6" hidden="1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</row>
    <row r="1152" spans="2:60" ht="15.6" hidden="1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</row>
    <row r="1153" spans="2:60" ht="15.6" hidden="1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</row>
    <row r="1154" spans="2:60" ht="15.6" hidden="1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</row>
    <row r="1155" spans="2:60" ht="15.6" hidden="1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</row>
    <row r="1156" spans="2:60" ht="15.6" hidden="1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</row>
    <row r="1157" spans="2:60" ht="15.6" hidden="1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</row>
    <row r="1158" spans="2:60" ht="15.6" hidden="1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</row>
    <row r="1159" spans="2:60" ht="15.6" hidden="1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</row>
    <row r="1160" spans="2:60" ht="15.6" hidden="1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</row>
    <row r="1161" spans="2:60" ht="15.6" hidden="1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</row>
    <row r="1162" spans="2:60" ht="15.6" hidden="1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</row>
    <row r="1163" spans="2:60" ht="15.6" hidden="1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</row>
    <row r="1164" spans="2:60" ht="15.6" hidden="1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</row>
    <row r="1165" spans="2:60" ht="15.6" hidden="1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</row>
    <row r="1166" spans="2:60" ht="15.6" hidden="1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</row>
    <row r="1167" spans="2:60" ht="15.6" hidden="1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</row>
    <row r="1168" spans="2:60" ht="15.6" hidden="1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</row>
    <row r="1169" spans="2:60" ht="15.6" hidden="1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</row>
    <row r="1170" spans="2:60" ht="15.6" hidden="1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</row>
    <row r="1171" spans="2:60" ht="15.6" hidden="1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</row>
    <row r="1172" spans="2:60" ht="15.6" hidden="1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</row>
    <row r="1173" spans="2:60" ht="15.6" hidden="1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</row>
    <row r="1174" spans="2:60" ht="15.6" hidden="1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</row>
    <row r="1175" spans="2:60" ht="15.6" hidden="1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</row>
    <row r="1176" spans="2:60" ht="15.6" hidden="1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</row>
    <row r="1177" spans="2:60" ht="15.6" hidden="1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</row>
    <row r="1178" spans="2:60" ht="15.6" hidden="1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</row>
    <row r="1179" spans="2:60" ht="15.6" hidden="1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</row>
    <row r="1180" spans="2:60" ht="15.6" hidden="1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</row>
    <row r="1181" spans="2:60" ht="15.6" hidden="1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</row>
    <row r="1182" spans="2:60" ht="15.6" hidden="1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</row>
    <row r="1183" spans="2:60" ht="15.6" hidden="1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</row>
    <row r="1184" spans="2:60" ht="15.6" hidden="1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</row>
    <row r="1185" spans="2:60" ht="15.6" hidden="1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</row>
    <row r="1186" spans="2:60" ht="15.6" hidden="1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</row>
    <row r="1187" spans="2:60" ht="15.6" hidden="1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</row>
    <row r="1188" spans="2:60" ht="15.6" hidden="1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</row>
    <row r="1189" spans="2:60" ht="15.6" hidden="1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</row>
    <row r="1190" spans="2:60" ht="15.6" hidden="1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</row>
    <row r="1191" spans="2:60" ht="15.6" hidden="1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</row>
    <row r="1192" spans="2:60" ht="15.6" hidden="1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</row>
    <row r="1193" spans="2:60" ht="15.6" hidden="1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</row>
    <row r="1194" spans="2:60" ht="15.6" hidden="1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</row>
    <row r="1195" spans="2:60" ht="15.6" hidden="1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</row>
    <row r="1196" spans="2:60" ht="15.6" hidden="1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</row>
    <row r="1197" spans="2:60" ht="15.6" hidden="1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</row>
    <row r="1198" spans="2:60" ht="15.6" hidden="1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</row>
    <row r="1199" spans="2:60" ht="15.6" hidden="1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</row>
    <row r="1200" spans="2:60" ht="15.6" hidden="1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</row>
    <row r="1201" spans="2:60" ht="15.6" hidden="1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</row>
    <row r="1202" spans="2:60" ht="15.6" hidden="1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</row>
    <row r="1203" spans="2:60" ht="15.6" hidden="1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</row>
    <row r="1204" spans="2:60" ht="15.6" hidden="1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</row>
    <row r="1205" spans="2:60" ht="15.6" hidden="1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</row>
    <row r="1206" spans="2:60" ht="15.6" hidden="1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</row>
    <row r="1207" spans="2:60" ht="15.6" hidden="1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</row>
    <row r="1208" spans="2:60" ht="15.6" hidden="1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</row>
    <row r="1209" spans="2:60" ht="15.6" hidden="1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</row>
    <row r="1210" spans="2:60" ht="15.6" hidden="1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</row>
    <row r="1211" spans="2:60" ht="15.6" hidden="1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</row>
    <row r="1212" spans="2:60" ht="15.6" hidden="1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</row>
    <row r="1213" spans="2:60" ht="15.6" hidden="1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</row>
    <row r="1214" spans="2:60" ht="15.6" hidden="1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</row>
    <row r="1215" spans="2:60" ht="15.6" hidden="1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</row>
    <row r="1216" spans="2:60" ht="15.6" hidden="1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</row>
    <row r="1217" spans="2:60" ht="15.6" hidden="1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</row>
    <row r="1218" spans="2:60" ht="15.6" hidden="1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</row>
    <row r="1219" spans="2:60" ht="15.6" hidden="1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</row>
    <row r="1220" spans="2:60" ht="15.6" hidden="1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</row>
    <row r="1221" spans="2:60" ht="15.6" hidden="1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</row>
    <row r="1222" spans="2:60" ht="15.6" hidden="1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</row>
    <row r="1223" spans="2:60" ht="15.6" hidden="1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</row>
    <row r="1224" spans="2:60" ht="15.6" hidden="1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</row>
    <row r="1225" spans="2:60" ht="15.6" hidden="1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</row>
    <row r="1226" spans="2:60" ht="15.6" hidden="1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</row>
    <row r="1227" spans="2:60" ht="15.6" hidden="1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</row>
    <row r="1228" spans="2:60" ht="15.6" hidden="1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</row>
    <row r="1229" spans="2:60" ht="15.6" hidden="1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</row>
    <row r="1230" spans="2:60" ht="15.6" hidden="1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</row>
    <row r="1231" spans="2:60" ht="15.6" hidden="1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</row>
    <row r="1232" spans="2:60" ht="15.6" hidden="1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</row>
    <row r="1233" spans="2:60" ht="15.6" hidden="1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</row>
    <row r="1234" spans="2:60" ht="15.6" hidden="1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</row>
    <row r="1235" spans="2:60" ht="15.6" hidden="1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</row>
    <row r="1236" spans="2:60" ht="15.6" hidden="1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</row>
    <row r="1237" spans="2:60" ht="15.6" hidden="1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</row>
    <row r="1238" spans="2:60" ht="15.6" hidden="1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</row>
    <row r="1239" spans="2:60" ht="15.6" hidden="1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</row>
    <row r="1240" spans="2:60" ht="15.6" hidden="1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</row>
    <row r="1241" spans="2:60" ht="15.6" hidden="1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</row>
    <row r="1242" spans="2:60" ht="15.6" hidden="1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</row>
    <row r="1243" spans="2:60" ht="15.6" hidden="1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</row>
    <row r="1244" spans="2:60" ht="15.6" hidden="1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</row>
    <row r="1245" spans="2:60" ht="15.6" hidden="1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</row>
    <row r="1246" spans="2:60" ht="15.6" hidden="1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</row>
    <row r="1247" spans="2:60" ht="15.6" hidden="1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</row>
    <row r="1248" spans="2:60" ht="15.6" hidden="1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</row>
    <row r="1249" spans="2:60" ht="15.6" hidden="1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</row>
    <row r="1250" spans="2:60" ht="15.6" hidden="1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</row>
    <row r="1251" spans="2:60" ht="15.6" hidden="1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</row>
    <row r="1252" spans="2:60" ht="15.6" hidden="1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</row>
    <row r="1253" spans="2:60" ht="15.6" hidden="1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</row>
    <row r="1254" spans="2:60" ht="15.6" hidden="1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</row>
    <row r="1255" spans="2:60" ht="15.6" hidden="1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</row>
    <row r="1256" spans="2:60" ht="15.6" hidden="1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</row>
    <row r="1257" spans="2:60" ht="15.6" hidden="1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</row>
    <row r="1258" spans="2:60" ht="15.6" hidden="1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</row>
    <row r="1259" spans="2:60" ht="15.6" hidden="1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</row>
    <row r="1260" spans="2:60" ht="15.6" hidden="1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</row>
    <row r="1261" spans="2:60" ht="15.6" hidden="1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</row>
    <row r="1262" spans="2:60" ht="15.6" hidden="1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</row>
    <row r="1263" spans="2:60" ht="15.6" hidden="1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</row>
    <row r="1264" spans="2:60" ht="15.6" hidden="1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</row>
    <row r="1265" spans="2:60" ht="15.6" hidden="1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</row>
    <row r="1266" spans="2:60" ht="15.6" hidden="1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</row>
    <row r="1267" spans="2:60" ht="15.6" hidden="1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</row>
    <row r="1268" spans="2:60" ht="15.6" hidden="1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</row>
    <row r="1269" spans="2:60" ht="15.6" hidden="1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</row>
    <row r="1270" spans="2:60" ht="15.6" hidden="1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</row>
    <row r="1271" spans="2:60" ht="15.6" hidden="1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</row>
    <row r="1272" spans="2:60" ht="15.6" hidden="1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</row>
    <row r="1273" spans="2:60" ht="15.6" hidden="1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</row>
    <row r="1274" spans="2:60" ht="15.6" hidden="1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</row>
    <row r="1275" spans="2:60" ht="15.6" hidden="1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</row>
    <row r="1276" spans="2:60" ht="15.6" hidden="1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</row>
    <row r="1277" spans="2:60" ht="15.6" hidden="1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</row>
    <row r="1278" spans="2:60" ht="15.6" hidden="1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</row>
    <row r="1279" spans="2:60" ht="15.6" hidden="1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</row>
    <row r="1280" spans="2:60" ht="15.6" hidden="1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</row>
    <row r="1281" spans="2:60" ht="15.6" hidden="1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</row>
    <row r="1282" spans="2:60" ht="15.6" hidden="1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</row>
    <row r="1283" spans="2:60" ht="15.6" hidden="1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</row>
    <row r="1284" spans="2:60" ht="15.6" hidden="1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</row>
    <row r="1285" spans="2:60" ht="15.6" hidden="1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</row>
    <row r="1286" spans="2:60" ht="15.6" hidden="1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</row>
    <row r="1287" spans="2:60" ht="15.6" hidden="1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</row>
    <row r="1288" spans="2:60" ht="15.6" hidden="1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</row>
    <row r="1289" spans="2:60" ht="15.6" hidden="1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</row>
    <row r="1290" spans="2:60" ht="15.6" hidden="1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</row>
    <row r="1291" spans="2:60" ht="15.6" hidden="1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</row>
    <row r="1292" spans="2:60" ht="15.6" hidden="1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</row>
    <row r="1293" spans="2:60" ht="15.6" hidden="1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</row>
    <row r="1294" spans="2:60" ht="15.6" hidden="1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</row>
    <row r="1295" spans="2:60" ht="15.6" hidden="1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</row>
    <row r="1296" spans="2:60" ht="15.6" hidden="1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</row>
    <row r="1297" spans="2:60" ht="15.6" hidden="1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</row>
    <row r="1298" spans="2:60" ht="15.6" hidden="1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</row>
    <row r="1299" spans="2:60" ht="15.6" hidden="1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</row>
    <row r="1300" spans="2:60" ht="15.6" hidden="1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</row>
    <row r="1301" spans="2:60" ht="15.6" hidden="1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</row>
    <row r="1302" spans="2:60" ht="15.6" hidden="1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</row>
    <row r="1303" spans="2:60" ht="15.6" hidden="1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</row>
    <row r="1304" spans="2:60" ht="15.6" hidden="1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</row>
    <row r="1305" spans="2:60" ht="15.6" hidden="1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</row>
    <row r="1306" spans="2:60" ht="15.6" hidden="1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</row>
    <row r="1307" spans="2:60" ht="15.6" hidden="1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</row>
    <row r="1308" spans="2:60" ht="15.6" hidden="1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</row>
    <row r="1309" spans="2:60" ht="15.6" hidden="1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</row>
    <row r="1310" spans="2:60" ht="15.6" hidden="1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</row>
    <row r="1311" spans="2:60" ht="15.6" hidden="1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</row>
    <row r="1312" spans="2:60" ht="15.6" hidden="1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</row>
    <row r="1313" spans="2:60" ht="15.6" hidden="1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</row>
    <row r="1314" spans="2:60" ht="15.6" hidden="1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</row>
    <row r="1315" spans="2:60" ht="15.6" hidden="1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</row>
    <row r="1316" spans="2:60" ht="15.6" hidden="1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</row>
    <row r="1317" spans="2:60" ht="15.6" hidden="1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</row>
    <row r="1318" spans="2:60" ht="15.6" hidden="1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</row>
    <row r="1319" spans="2:60" ht="15.6" hidden="1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</row>
    <row r="1320" spans="2:60" ht="15.6" hidden="1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</row>
    <row r="1321" spans="2:60" ht="15.6" hidden="1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</row>
    <row r="1322" spans="2:60" ht="15.6" hidden="1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</row>
    <row r="1323" spans="2:60" ht="15.6" hidden="1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</row>
    <row r="1324" spans="2:60" ht="15.6" hidden="1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</row>
    <row r="1325" spans="2:60" ht="15.6" hidden="1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</row>
    <row r="1326" spans="2:60" ht="15.6" hidden="1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</row>
    <row r="1327" spans="2:60" ht="15.6" hidden="1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</row>
    <row r="1328" spans="2:60" ht="15.6" hidden="1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</row>
    <row r="1329" spans="2:60" ht="15.6" hidden="1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</row>
    <row r="1330" spans="2:60" ht="15.6" hidden="1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</row>
    <row r="1331" spans="2:60" ht="15.6" hidden="1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</row>
    <row r="1332" spans="2:60" ht="15.6" hidden="1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</row>
    <row r="1333" spans="2:60" ht="15.6" hidden="1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</row>
    <row r="1334" spans="2:60" ht="15.6" hidden="1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</row>
    <row r="1335" spans="2:60" ht="15.6" hidden="1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</row>
    <row r="1336" spans="2:60" ht="15.6" hidden="1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</row>
    <row r="1337" spans="2:60" ht="15.6" hidden="1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</row>
    <row r="1338" spans="2:60" ht="15.6" hidden="1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</row>
    <row r="1339" spans="2:60" ht="15.6" hidden="1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</row>
    <row r="1340" spans="2:60" ht="15.6" hidden="1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</row>
    <row r="1341" spans="2:60" ht="15.6" hidden="1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</row>
    <row r="1342" spans="2:60" ht="15.6" hidden="1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</row>
    <row r="1343" spans="2:60" ht="15.6" hidden="1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</row>
    <row r="1344" spans="2:60" ht="15.6" hidden="1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</row>
    <row r="1345" spans="2:60" ht="15.6" hidden="1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</row>
    <row r="1346" spans="2:60" ht="15.6" hidden="1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</row>
    <row r="1347" spans="2:60" ht="15.6" hidden="1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</row>
    <row r="1348" spans="2:60" ht="15.6" hidden="1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</row>
    <row r="1349" spans="2:60" ht="15.6" hidden="1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</row>
    <row r="1350" spans="2:60" ht="15.6" hidden="1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</row>
    <row r="1351" spans="2:60" ht="15.6" hidden="1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</row>
    <row r="1352" spans="2:60" ht="15.6" hidden="1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</row>
    <row r="1353" spans="2:60" ht="15.6" hidden="1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</row>
    <row r="1354" spans="2:60" ht="15.6" hidden="1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</row>
    <row r="1355" spans="2:60" ht="15.6" hidden="1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</row>
    <row r="1356" spans="2:60" ht="15.6" hidden="1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</row>
    <row r="1357" spans="2:60" ht="15.6" hidden="1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</row>
    <row r="1358" spans="2:60" ht="15.6" hidden="1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</row>
    <row r="1359" spans="2:60" ht="15.6" hidden="1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</row>
    <row r="1360" spans="2:60" ht="15.6" hidden="1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</row>
    <row r="1361" spans="2:60" ht="15.6" hidden="1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</row>
    <row r="1362" spans="2:60" ht="15.6" hidden="1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</row>
    <row r="1363" spans="2:60" ht="15.6" hidden="1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</row>
    <row r="1364" spans="2:60" ht="15.6" hidden="1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</row>
    <row r="1365" spans="2:60" ht="15.6" hidden="1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</row>
    <row r="1366" spans="2:60" ht="15.6" hidden="1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</row>
    <row r="1367" spans="2:60" ht="15.6" hidden="1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</row>
    <row r="1368" spans="2:60" ht="15.6" hidden="1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</row>
    <row r="1369" spans="2:60" ht="15.6" hidden="1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</row>
    <row r="1370" spans="2:60" ht="15.6" hidden="1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</row>
    <row r="1371" spans="2:60" ht="15.6" hidden="1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</row>
    <row r="1372" spans="2:60" ht="15.6" hidden="1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</row>
    <row r="1373" spans="2:60" ht="15.6" hidden="1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</row>
    <row r="1374" spans="2:60" ht="15.6" hidden="1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</row>
    <row r="1375" spans="2:60" ht="15.6" hidden="1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</row>
    <row r="1376" spans="2:60" ht="15.6" hidden="1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</row>
    <row r="1377" spans="2:60" ht="15.6" hidden="1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</row>
    <row r="1378" spans="2:60" ht="15.6" hidden="1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</row>
    <row r="1379" spans="2:60" ht="15.6" hidden="1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</row>
    <row r="1380" spans="2:60" ht="15.6" hidden="1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</row>
    <row r="1381" spans="2:60" ht="15.6" hidden="1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</row>
    <row r="1382" spans="2:60" ht="15.6" hidden="1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</row>
    <row r="1383" spans="2:60" ht="15.6" hidden="1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</row>
    <row r="1384" spans="2:60" ht="15.6" hidden="1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</row>
    <row r="1385" spans="2:60" ht="15.6" hidden="1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</row>
    <row r="1386" spans="2:60" ht="15.6" hidden="1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</row>
    <row r="1387" spans="2:60" ht="15.6" hidden="1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</row>
    <row r="1388" spans="2:60" ht="15.6" hidden="1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</row>
    <row r="1389" spans="2:60" ht="15.6" hidden="1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</row>
    <row r="1390" spans="2:60" ht="15.6" hidden="1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</row>
    <row r="1391" spans="2:60" ht="15.6" hidden="1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</row>
    <row r="1392" spans="2:60" ht="15.6" hidden="1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</row>
    <row r="1393" spans="2:60" ht="15.6" hidden="1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</row>
    <row r="1394" spans="2:60" ht="15.6" hidden="1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</row>
    <row r="1395" spans="2:60" ht="15.6" hidden="1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</row>
    <row r="1396" spans="2:60" ht="15.6" hidden="1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</row>
    <row r="1397" spans="2:60" ht="15.6" hidden="1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</row>
    <row r="1398" spans="2:60" ht="15.6" hidden="1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</row>
    <row r="1399" spans="2:60" ht="15.6" hidden="1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</row>
    <row r="1400" spans="2:60" ht="15.6" hidden="1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</row>
    <row r="1401" spans="2:60" ht="15.6" hidden="1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</row>
    <row r="1402" spans="2:60" ht="15.6" hidden="1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</row>
    <row r="1403" spans="2:60" ht="15.6" hidden="1"/>
    <row r="1404" spans="2:60" ht="15.6" hidden="1"/>
    <row r="1405" spans="2:60" ht="15.6" hidden="1"/>
    <row r="1406" spans="2:60" ht="15.6" hidden="1"/>
    <row r="1407" spans="2:60" ht="15.6" hidden="1"/>
    <row r="1408" spans="2:60" ht="15.6" hidden="1"/>
    <row r="1409" ht="15.6" hidden="1"/>
    <row r="1410" ht="15.6" hidden="1"/>
    <row r="1411" ht="15.6" hidden="1"/>
    <row r="1412" ht="15.6" hidden="1"/>
    <row r="1413" ht="15.6" hidden="1"/>
    <row r="1414" ht="15.6" hidden="1"/>
    <row r="1415" ht="15.6" hidden="1"/>
    <row r="1416" ht="15.6" hidden="1"/>
    <row r="1417" ht="15.6" hidden="1"/>
    <row r="1418" ht="15.6" hidden="1"/>
    <row r="1419" ht="15.6" hidden="1"/>
    <row r="1420" ht="15.6" hidden="1"/>
    <row r="1421" ht="15.6" hidden="1"/>
    <row r="1422" ht="15.6" hidden="1"/>
    <row r="1423" ht="15.6" hidden="1"/>
    <row r="1424" ht="15.6" hidden="1"/>
    <row r="1425" ht="15.6" hidden="1"/>
    <row r="1426" ht="15.6" hidden="1"/>
    <row r="1427" ht="15.6" hidden="1"/>
    <row r="1428" ht="15.6" hidden="1"/>
    <row r="1429" ht="15.6" hidden="1"/>
    <row r="1430" ht="15.6" hidden="1"/>
    <row r="1431" ht="15.6" hidden="1"/>
    <row r="1432" ht="15.6" hidden="1"/>
    <row r="1433" ht="15.6" hidden="1"/>
    <row r="1434" ht="15.6" hidden="1"/>
    <row r="1435" ht="15.6" hidden="1"/>
    <row r="1436" ht="15.6" hidden="1"/>
    <row r="1437" ht="15.6" hidden="1"/>
    <row r="1438" ht="15.6" hidden="1"/>
    <row r="1439" ht="15.6" hidden="1"/>
    <row r="1440" ht="15.6" hidden="1"/>
    <row r="1441" ht="15.6" hidden="1"/>
    <row r="1442" ht="15.6" hidden="1"/>
    <row r="1443" ht="15.6" hidden="1"/>
    <row r="1444" ht="15.6" hidden="1"/>
    <row r="1445" ht="15.6" hidden="1"/>
    <row r="1446" ht="15.6" hidden="1"/>
    <row r="1447" ht="15.6" hidden="1"/>
    <row r="1448" ht="15.6" hidden="1"/>
    <row r="1449" ht="15.6" hidden="1"/>
    <row r="1450" ht="15.6" hidden="1"/>
    <row r="1451" ht="15.6" hidden="1"/>
    <row r="1452" ht="15.6" hidden="1"/>
    <row r="1453" ht="15.6" hidden="1"/>
    <row r="1454" ht="15.6" hidden="1"/>
    <row r="1455" ht="15.6" hidden="1"/>
    <row r="1456" ht="15.6" hidden="1"/>
    <row r="1457" ht="15.6" hidden="1"/>
    <row r="1458" ht="15.6" hidden="1"/>
    <row r="1459" ht="15.6" hidden="1"/>
    <row r="1460" ht="15.6" hidden="1"/>
    <row r="1461" ht="15.6" hidden="1"/>
    <row r="1462" ht="15.6" hidden="1"/>
    <row r="1463" ht="15.6" hidden="1"/>
    <row r="1464" ht="15.6" hidden="1"/>
    <row r="1465" ht="15.6" hidden="1"/>
    <row r="1466" ht="15.6" hidden="1"/>
    <row r="1467" ht="15.6" hidden="1"/>
    <row r="1468" ht="15.6" hidden="1"/>
    <row r="1469" ht="15.6" hidden="1"/>
    <row r="1470" ht="15.6" hidden="1"/>
    <row r="1471" ht="15.6" hidden="1"/>
    <row r="1472" ht="15.6" hidden="1"/>
    <row r="1473" ht="15.6" hidden="1"/>
    <row r="1474" ht="15.6" hidden="1"/>
    <row r="1475" ht="15.6" hidden="1"/>
    <row r="1476" ht="15.6" hidden="1"/>
    <row r="1477" ht="15.6" hidden="1"/>
    <row r="1478" ht="15.6" hidden="1"/>
    <row r="1479" ht="15.6" hidden="1"/>
    <row r="1480" ht="15.6" hidden="1"/>
    <row r="1481" ht="15.6" hidden="1"/>
    <row r="1482" ht="15.6" hidden="1"/>
    <row r="1483" ht="15.6" hidden="1"/>
    <row r="1484" ht="15.6" hidden="1"/>
    <row r="1485" ht="15.6" hidden="1"/>
    <row r="1486" ht="15.6" hidden="1"/>
    <row r="1487" ht="15.6" hidden="1"/>
    <row r="1488" ht="15.6" hidden="1"/>
    <row r="1489" ht="15.6" hidden="1"/>
    <row r="1490" ht="15.6" hidden="1"/>
    <row r="1491" ht="15.6" hidden="1"/>
    <row r="1492" ht="15.6" hidden="1"/>
    <row r="1493" ht="15.6" hidden="1"/>
    <row r="1494" ht="15.6" hidden="1"/>
    <row r="1495" ht="15.6" hidden="1"/>
    <row r="1496" ht="15.6" hidden="1"/>
    <row r="1497" ht="15.6" hidden="1"/>
    <row r="1498" ht="15.6" hidden="1"/>
    <row r="1499" ht="15.6" hidden="1"/>
    <row r="1500" ht="15.6" hidden="1"/>
    <row r="1501" ht="15.6" hidden="1"/>
    <row r="1502" ht="15.6" hidden="1"/>
    <row r="1503" ht="15.6" hidden="1"/>
    <row r="1504" ht="15.6" hidden="1"/>
    <row r="1505" ht="15.6" hidden="1"/>
    <row r="1506" ht="15.6" hidden="1"/>
    <row r="1507" ht="15.6" hidden="1"/>
    <row r="1508" ht="15.6" hidden="1"/>
    <row r="1509" ht="15.6" hidden="1"/>
    <row r="1510" ht="15.6" hidden="1"/>
    <row r="1511" ht="15.6" hidden="1"/>
    <row r="1512" ht="15.6" hidden="1"/>
    <row r="1513" ht="15.6" hidden="1"/>
    <row r="1514" ht="15.6" hidden="1"/>
    <row r="1515" ht="15.6" hidden="1"/>
    <row r="1516" ht="15.6" hidden="1"/>
    <row r="1517" ht="15.6" hidden="1"/>
    <row r="1518" ht="15.6" hidden="1"/>
    <row r="1519" ht="15.6" hidden="1"/>
    <row r="1520" ht="15.6" hidden="1"/>
    <row r="1521" ht="15.6" hidden="1"/>
    <row r="1522" ht="15.6" hidden="1"/>
    <row r="1523" ht="15.6" hidden="1"/>
    <row r="1524" ht="15.6" hidden="1"/>
    <row r="1525" ht="15.6" hidden="1"/>
    <row r="1526" ht="15.6" hidden="1"/>
    <row r="1527" ht="15.6" hidden="1"/>
    <row r="1528" ht="15.6" hidden="1"/>
    <row r="1529" ht="15.6" hidden="1"/>
    <row r="1530" ht="15.6" hidden="1"/>
    <row r="1531" ht="15.6" hidden="1"/>
    <row r="1532" ht="15.6" hidden="1"/>
    <row r="1533" ht="15.6" hidden="1"/>
    <row r="1534" ht="15.6" hidden="1"/>
    <row r="1535" ht="15.6" hidden="1"/>
    <row r="1536" ht="15.6" hidden="1"/>
    <row r="1537" ht="15.6" hidden="1"/>
    <row r="1538" ht="15.6" hidden="1"/>
    <row r="1539" ht="15.6" hidden="1"/>
    <row r="1540" ht="15.6" hidden="1"/>
    <row r="1541" ht="15.6" hidden="1"/>
    <row r="1542" ht="15.6" hidden="1"/>
    <row r="1543" ht="15.6" hidden="1"/>
    <row r="1544" ht="15.6" hidden="1"/>
    <row r="1545" ht="15.6" hidden="1"/>
    <row r="1546" ht="15.6" hidden="1"/>
    <row r="1547" ht="15.6" hidden="1"/>
    <row r="1548" ht="15.6" hidden="1"/>
    <row r="1549" ht="15.6" hidden="1"/>
    <row r="1550" ht="15.6" hidden="1"/>
    <row r="1551" ht="15.6" hidden="1"/>
    <row r="1552" ht="15.6" hidden="1"/>
    <row r="1553" ht="15.6" hidden="1"/>
    <row r="1554" ht="15.6" hidden="1"/>
    <row r="1555" ht="15.6" hidden="1"/>
    <row r="1556" ht="15.6" hidden="1"/>
    <row r="1557" ht="15.6" hidden="1"/>
    <row r="1558" ht="15.6" hidden="1"/>
    <row r="1559" ht="15.6" hidden="1"/>
    <row r="1560" ht="15.6" hidden="1"/>
    <row r="1561" ht="15.6" hidden="1"/>
    <row r="1562" ht="15.6" hidden="1"/>
    <row r="1563" ht="15.6" hidden="1"/>
    <row r="1564" ht="15.6" hidden="1"/>
    <row r="1565" ht="15.6" hidden="1"/>
    <row r="1566" ht="15.6" hidden="1"/>
    <row r="1567" ht="15.6" hidden="1"/>
    <row r="1568" ht="15.6" hidden="1"/>
    <row r="1569" ht="15.6" hidden="1"/>
    <row r="1570" ht="15.6" hidden="1"/>
    <row r="1571" ht="15.6" hidden="1"/>
    <row r="1572" ht="15.6" hidden="1"/>
    <row r="1573" ht="15.6" hidden="1"/>
    <row r="1574" ht="15.6" hidden="1"/>
    <row r="1575" ht="15.6" hidden="1"/>
    <row r="1576" ht="15.6" hidden="1"/>
    <row r="1577" ht="15.6" hidden="1"/>
    <row r="1578" ht="15.6" hidden="1"/>
    <row r="1579" ht="15.6" hidden="1"/>
    <row r="1580" ht="15.6" hidden="1"/>
    <row r="1581" ht="15.6" hidden="1"/>
    <row r="1582" ht="15.6" hidden="1"/>
    <row r="1583" ht="15.6" hidden="1"/>
    <row r="1584" ht="15.6" hidden="1"/>
    <row r="1585" ht="15.6" hidden="1"/>
    <row r="1586" ht="15.6" hidden="1"/>
    <row r="1587" ht="15.6" hidden="1"/>
    <row r="1588" ht="15.6" hidden="1"/>
    <row r="1589" ht="15.6" hidden="1"/>
    <row r="1590" ht="15.6" hidden="1"/>
    <row r="1591" ht="15.6" hidden="1"/>
    <row r="1592" ht="15.6" hidden="1"/>
    <row r="1593" ht="15.6" hidden="1"/>
    <row r="1594" ht="15.6" hidden="1"/>
    <row r="1595" ht="15.6" hidden="1"/>
    <row r="1596" ht="15.6" hidden="1"/>
    <row r="1597" ht="15.6" hidden="1"/>
    <row r="1598" ht="15.6" hidden="1"/>
    <row r="1599" ht="15.6" hidden="1"/>
    <row r="1600" ht="15.6" hidden="1"/>
    <row r="1601" ht="15.6" hidden="1"/>
    <row r="1602" ht="15.6" hidden="1"/>
    <row r="1603" ht="15.6" hidden="1"/>
    <row r="1604" ht="15.6" hidden="1"/>
    <row r="1605" ht="15.6" hidden="1"/>
    <row r="1606" ht="15.6" hidden="1"/>
    <row r="1607" ht="15.6" hidden="1"/>
    <row r="1608" ht="15.6" hidden="1"/>
    <row r="1609" ht="15.6" hidden="1"/>
    <row r="1610" ht="15.6" hidden="1"/>
    <row r="1611" ht="15.6" hidden="1"/>
    <row r="1612" ht="15.6" hidden="1"/>
    <row r="1613" ht="15.6" hidden="1"/>
    <row r="1614" ht="15.6" hidden="1"/>
    <row r="1615" ht="15.6" hidden="1"/>
    <row r="1616" ht="15.6" hidden="1"/>
    <row r="1617" ht="15.6" hidden="1"/>
    <row r="1618" ht="15.6" hidden="1"/>
    <row r="1619" ht="15.6" hidden="1"/>
    <row r="1620" ht="15.6" hidden="1"/>
    <row r="1621" ht="15.6" hidden="1"/>
    <row r="1622" ht="15.6" hidden="1"/>
    <row r="1623" ht="15.6" hidden="1"/>
    <row r="1624" ht="15.6" hidden="1"/>
    <row r="1625" ht="15.6" hidden="1"/>
    <row r="1626" ht="15.6" hidden="1"/>
    <row r="1627" ht="15.6" hidden="1"/>
    <row r="1628" ht="15.6" hidden="1"/>
    <row r="1629" ht="15.6" hidden="1"/>
    <row r="1630" ht="15.6" hidden="1"/>
    <row r="1631" ht="15.6" hidden="1"/>
    <row r="1632" ht="15.6" hidden="1"/>
    <row r="1633" ht="15.6" hidden="1"/>
    <row r="1634" ht="15.6" hidden="1"/>
    <row r="1635" ht="15.6" hidden="1"/>
    <row r="1636" ht="15.6" hidden="1"/>
    <row r="1637" ht="15.6" hidden="1"/>
    <row r="1638" ht="15.6" hidden="1"/>
    <row r="1639" ht="15.6" hidden="1"/>
    <row r="1640" ht="15.6" hidden="1"/>
    <row r="1641" ht="15.6" hidden="1"/>
    <row r="1642" ht="15.6" hidden="1"/>
    <row r="1643" ht="15.6" hidden="1"/>
    <row r="1644" ht="15.6" hidden="1"/>
    <row r="1645" ht="15.6" hidden="1"/>
    <row r="1646" ht="15.6" hidden="1"/>
    <row r="1647" ht="15.6" hidden="1"/>
    <row r="1648" ht="15.6" hidden="1"/>
    <row r="1649" ht="15.6" hidden="1"/>
    <row r="1650" ht="15.6" hidden="1"/>
    <row r="1651" ht="15.6" hidden="1"/>
    <row r="1652" ht="15.6" hidden="1"/>
    <row r="1653" ht="15.6" hidden="1"/>
    <row r="1654" ht="15.6" hidden="1"/>
    <row r="1655" ht="15.6" hidden="1"/>
    <row r="1656" ht="15.6" hidden="1"/>
    <row r="1657" ht="15.6" hidden="1"/>
    <row r="1658" ht="15.6" hidden="1"/>
    <row r="1659" ht="15.6" hidden="1"/>
    <row r="1660" ht="15.6" hidden="1"/>
    <row r="1661" ht="15.6" hidden="1"/>
    <row r="1662" ht="15.6" hidden="1"/>
    <row r="1663" ht="15.6" hidden="1"/>
    <row r="1664" ht="15.6" hidden="1"/>
    <row r="1665" ht="15.6" hidden="1"/>
    <row r="1666" ht="15.6" hidden="1"/>
    <row r="1667" ht="15.6" hidden="1"/>
    <row r="1668" ht="15.6" hidden="1"/>
    <row r="1669" ht="15.6" hidden="1"/>
    <row r="1670" ht="15.6" hidden="1"/>
    <row r="1671" ht="15.6" hidden="1"/>
    <row r="1672" ht="15.6" hidden="1"/>
    <row r="1673" ht="15.6" hidden="1"/>
    <row r="1674" ht="15.6" hidden="1"/>
    <row r="1675" ht="15.6" hidden="1"/>
    <row r="1676" ht="15.6" hidden="1"/>
    <row r="1677" ht="15.6" hidden="1"/>
    <row r="1678" ht="15.6" hidden="1"/>
    <row r="1679" ht="15.6" hidden="1"/>
    <row r="1680" ht="15.6" hidden="1"/>
    <row r="1681" ht="15.6" hidden="1"/>
    <row r="1682" ht="15.6" hidden="1"/>
    <row r="1683" ht="15.6" hidden="1"/>
    <row r="1684" ht="15.6" hidden="1"/>
    <row r="1685" ht="15.6" hidden="1"/>
    <row r="1686" ht="15.6" hidden="1"/>
    <row r="1687" ht="15.6" hidden="1"/>
    <row r="1688" ht="15.6" hidden="1"/>
    <row r="1689" ht="15.6" hidden="1"/>
    <row r="1690" ht="15.6" hidden="1"/>
    <row r="1691" ht="15.6" hidden="1"/>
    <row r="1692" ht="15.6" hidden="1"/>
    <row r="1693" ht="15.6" hidden="1"/>
    <row r="1694" ht="15.6" hidden="1"/>
    <row r="1695" ht="15.6" hidden="1"/>
    <row r="1696" ht="15.6" hidden="1"/>
    <row r="1697" ht="15.6" hidden="1"/>
    <row r="1698" ht="15.6" hidden="1"/>
    <row r="1699" ht="15.6" hidden="1"/>
    <row r="1700" ht="15.6" hidden="1"/>
    <row r="1701" ht="15.6" hidden="1"/>
    <row r="1702" ht="15.6" hidden="1"/>
    <row r="1703" ht="15.6" hidden="1"/>
    <row r="1704" ht="15.6" hidden="1"/>
    <row r="1705" ht="15.6" hidden="1"/>
    <row r="1706" ht="15.6" hidden="1"/>
    <row r="1707" ht="15.6" hidden="1"/>
    <row r="1708" ht="15.6" hidden="1"/>
    <row r="1709" ht="15.6" hidden="1"/>
    <row r="1710" ht="15.6" hidden="1"/>
    <row r="1711" ht="15.6" hidden="1"/>
    <row r="1712" ht="15.6" hidden="1"/>
    <row r="1713" ht="15.6" hidden="1"/>
    <row r="1714" ht="15.6" hidden="1"/>
    <row r="1715" ht="15.6" hidden="1"/>
    <row r="1716" ht="15.6" hidden="1"/>
    <row r="1717" ht="15.6" hidden="1"/>
    <row r="1718" ht="15.6" hidden="1"/>
    <row r="1719" ht="15.6" hidden="1"/>
    <row r="1720" ht="15.6" hidden="1"/>
    <row r="1721" ht="15.6" hidden="1"/>
    <row r="1722" ht="15.6" hidden="1"/>
    <row r="1723" ht="15.6" hidden="1"/>
    <row r="1724" ht="15.6" hidden="1"/>
    <row r="1725" ht="15.6" hidden="1"/>
    <row r="1726" ht="15.6" hidden="1"/>
    <row r="1727" ht="15.6" hidden="1"/>
    <row r="1728" ht="15.6" hidden="1"/>
    <row r="1729" ht="15.6" hidden="1"/>
    <row r="1730" ht="15.6" hidden="1"/>
    <row r="1731" ht="15.6" hidden="1"/>
    <row r="1732" ht="15.6" hidden="1"/>
    <row r="1733" ht="15.6" hidden="1"/>
    <row r="1734" ht="15.6" hidden="1"/>
    <row r="1735" ht="15.6" hidden="1"/>
    <row r="1736" ht="15.6" hidden="1"/>
    <row r="1737" ht="15.6" hidden="1"/>
    <row r="1738" ht="15.6" hidden="1"/>
    <row r="1739" ht="15.6" hidden="1"/>
    <row r="1740" ht="15.6" hidden="1"/>
    <row r="1741" ht="15.6" hidden="1"/>
    <row r="1742" ht="15.6" hidden="1"/>
    <row r="1743" ht="15.6" hidden="1"/>
    <row r="1744" ht="15.6" hidden="1"/>
    <row r="1745" ht="15.6" hidden="1"/>
    <row r="1746" ht="15.6" hidden="1"/>
    <row r="1747" ht="15.6" hidden="1"/>
    <row r="1748" ht="15.6" hidden="1"/>
    <row r="1749" ht="15.6" hidden="1"/>
    <row r="1750" ht="15.6" hidden="1"/>
    <row r="1751" ht="15.6" hidden="1"/>
    <row r="1752" ht="15.6" hidden="1"/>
    <row r="1753" ht="15.6" hidden="1"/>
    <row r="1754" ht="15.6" hidden="1"/>
    <row r="1755" ht="15.6" hidden="1"/>
    <row r="1756" ht="15.6" hidden="1"/>
    <row r="1757" ht="15.6" hidden="1"/>
    <row r="1758" ht="15.6" hidden="1"/>
    <row r="1759" ht="15.6" hidden="1"/>
    <row r="1760" ht="15.6" hidden="1"/>
    <row r="1761" ht="15.6" hidden="1"/>
    <row r="1762" ht="15.6" hidden="1"/>
    <row r="1763" ht="15.6" hidden="1"/>
    <row r="1764" ht="15.6" hidden="1"/>
    <row r="1765" ht="15.6" hidden="1"/>
    <row r="1766" ht="15.6" hidden="1"/>
    <row r="1767" ht="15.6" hidden="1"/>
    <row r="1768" ht="15.6" hidden="1"/>
    <row r="1769" ht="15.6" hidden="1"/>
    <row r="1770" ht="15.6" hidden="1"/>
    <row r="1771" ht="15.6" hidden="1"/>
    <row r="1772" ht="15.6" hidden="1"/>
    <row r="1773" ht="15.6" hidden="1"/>
    <row r="1774" ht="15.6" hidden="1"/>
    <row r="1775" ht="15.6" hidden="1"/>
    <row r="1776" ht="15.6" hidden="1"/>
    <row r="1777" ht="15.6" hidden="1"/>
    <row r="1778" ht="15.6" hidden="1"/>
    <row r="1779" ht="15.6" hidden="1"/>
    <row r="1780" ht="15.6" hidden="1"/>
    <row r="1781" ht="15.6" hidden="1"/>
    <row r="1782" ht="15.6" hidden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</sheetData>
  <autoFilter ref="B2:BG2" xr:uid="{16DA3344-C9B5-7D49-81EC-22CFB87E5D62}"/>
  <phoneticPr fontId="2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E31F-AC55-E94F-BCB8-40E921EA9D9E}">
  <sheetPr codeName="Sheet4">
    <tabColor rgb="FF92D050"/>
  </sheetPr>
  <dimension ref="A1:BF10"/>
  <sheetViews>
    <sheetView zoomScale="85" zoomScaleNormal="85" workbookViewId="0">
      <pane xSplit="6" ySplit="2" topLeftCell="AN3" activePane="bottomRight" state="frozen"/>
      <selection activeCell="H35" sqref="H35"/>
      <selection pane="topRight" activeCell="H35" sqref="H35"/>
      <selection pane="bottomLeft" activeCell="H35" sqref="H35"/>
      <selection pane="bottomRight" activeCell="AW5" sqref="AW5"/>
    </sheetView>
  </sheetViews>
  <sheetFormatPr defaultColWidth="8.69921875" defaultRowHeight="14.4"/>
  <cols>
    <col min="1" max="1" width="8.5" style="23" bestFit="1" customWidth="1"/>
    <col min="2" max="2" width="11.19921875" style="23" bestFit="1" customWidth="1"/>
    <col min="3" max="3" width="13.69921875" style="25" bestFit="1" customWidth="1"/>
    <col min="4" max="4" width="24.19921875" style="25" bestFit="1" customWidth="1"/>
    <col min="5" max="5" width="38" style="23" bestFit="1" customWidth="1"/>
    <col min="6" max="6" width="28.5" style="23" bestFit="1" customWidth="1"/>
    <col min="7" max="58" width="9" style="23" customWidth="1"/>
    <col min="59" max="16384" width="8.69921875" style="23"/>
  </cols>
  <sheetData>
    <row r="1" spans="1:58">
      <c r="E1" s="23">
        <v>1</v>
      </c>
      <c r="F1" s="23">
        <v>2</v>
      </c>
      <c r="G1" s="23">
        <v>3</v>
      </c>
      <c r="H1" s="23">
        <v>4</v>
      </c>
      <c r="I1" s="23">
        <v>5</v>
      </c>
      <c r="J1" s="23">
        <v>6</v>
      </c>
      <c r="K1" s="23">
        <v>7</v>
      </c>
      <c r="L1" s="23">
        <v>8</v>
      </c>
      <c r="M1" s="23">
        <v>9</v>
      </c>
      <c r="N1" s="23">
        <v>10</v>
      </c>
      <c r="O1" s="23">
        <v>11</v>
      </c>
      <c r="P1" s="23">
        <v>12</v>
      </c>
      <c r="Q1" s="23">
        <v>13</v>
      </c>
      <c r="R1" s="23">
        <v>14</v>
      </c>
      <c r="S1" s="23">
        <v>15</v>
      </c>
      <c r="T1" s="23">
        <v>16</v>
      </c>
      <c r="U1" s="23">
        <v>17</v>
      </c>
      <c r="V1" s="23">
        <v>18</v>
      </c>
      <c r="W1" s="23">
        <v>19</v>
      </c>
      <c r="X1" s="23">
        <v>20</v>
      </c>
      <c r="Y1" s="23">
        <v>21</v>
      </c>
      <c r="Z1" s="23">
        <v>22</v>
      </c>
      <c r="AA1" s="23">
        <v>23</v>
      </c>
      <c r="AB1" s="23">
        <v>24</v>
      </c>
      <c r="AC1" s="23">
        <v>25</v>
      </c>
      <c r="AD1" s="23">
        <v>26</v>
      </c>
      <c r="AE1" s="23">
        <v>27</v>
      </c>
      <c r="AF1" s="23">
        <v>28</v>
      </c>
      <c r="AG1" s="23">
        <v>29</v>
      </c>
      <c r="AH1" s="23">
        <v>30</v>
      </c>
      <c r="AI1" s="23">
        <v>31</v>
      </c>
      <c r="AJ1" s="23">
        <v>32</v>
      </c>
      <c r="AK1" s="23">
        <v>33</v>
      </c>
      <c r="AL1" s="23">
        <v>34</v>
      </c>
      <c r="AM1" s="23">
        <v>35</v>
      </c>
      <c r="AN1" s="23">
        <v>36</v>
      </c>
      <c r="AO1" s="23">
        <v>37</v>
      </c>
      <c r="AP1" s="23">
        <v>38</v>
      </c>
      <c r="AQ1" s="23">
        <v>39</v>
      </c>
      <c r="AR1" s="23">
        <v>40</v>
      </c>
      <c r="AS1" s="23">
        <v>41</v>
      </c>
      <c r="AT1" s="23">
        <v>42</v>
      </c>
      <c r="AU1" s="23">
        <v>43</v>
      </c>
      <c r="AV1" s="23">
        <v>44</v>
      </c>
      <c r="AW1" s="23">
        <v>45</v>
      </c>
      <c r="AX1" s="23">
        <v>46</v>
      </c>
      <c r="AY1" s="23">
        <v>47</v>
      </c>
      <c r="AZ1" s="23">
        <v>48</v>
      </c>
      <c r="BA1" s="23">
        <v>49</v>
      </c>
      <c r="BB1" s="23">
        <v>50</v>
      </c>
      <c r="BC1" s="23">
        <v>51</v>
      </c>
      <c r="BD1" s="23">
        <v>52</v>
      </c>
      <c r="BE1" s="23">
        <v>53</v>
      </c>
      <c r="BF1" s="23">
        <v>54</v>
      </c>
    </row>
    <row r="2" spans="1:58" ht="27.6">
      <c r="A2" s="26" t="s">
        <v>47</v>
      </c>
      <c r="B2" s="27" t="s">
        <v>3</v>
      </c>
      <c r="C2" s="27" t="s">
        <v>1</v>
      </c>
      <c r="D2" s="27" t="s">
        <v>2</v>
      </c>
      <c r="E2" s="27" t="s">
        <v>61</v>
      </c>
      <c r="F2" s="82" t="s">
        <v>46</v>
      </c>
      <c r="G2" s="27">
        <v>202501</v>
      </c>
      <c r="H2" s="27">
        <v>202502</v>
      </c>
      <c r="I2" s="27">
        <v>202503</v>
      </c>
      <c r="J2" s="27">
        <v>202504</v>
      </c>
      <c r="K2" s="27">
        <v>202505</v>
      </c>
      <c r="L2" s="27">
        <v>202506</v>
      </c>
      <c r="M2" s="27">
        <v>202507</v>
      </c>
      <c r="N2" s="27">
        <v>202508</v>
      </c>
      <c r="O2" s="27">
        <v>202509</v>
      </c>
      <c r="P2" s="27">
        <v>202510</v>
      </c>
      <c r="Q2" s="27">
        <v>202511</v>
      </c>
      <c r="R2" s="27">
        <v>202512</v>
      </c>
      <c r="S2" s="27">
        <v>202513</v>
      </c>
      <c r="T2" s="27">
        <v>202514</v>
      </c>
      <c r="U2" s="27">
        <v>202515</v>
      </c>
      <c r="V2" s="27">
        <v>202516</v>
      </c>
      <c r="W2" s="27">
        <v>202517</v>
      </c>
      <c r="X2" s="27">
        <v>202518</v>
      </c>
      <c r="Y2" s="27">
        <v>202519</v>
      </c>
      <c r="Z2" s="27">
        <v>202520</v>
      </c>
      <c r="AA2" s="27">
        <v>202521</v>
      </c>
      <c r="AB2" s="27">
        <v>202522</v>
      </c>
      <c r="AC2" s="27">
        <v>202523</v>
      </c>
      <c r="AD2" s="27">
        <v>202524</v>
      </c>
      <c r="AE2" s="27">
        <v>202525</v>
      </c>
      <c r="AF2" s="27">
        <v>202526</v>
      </c>
      <c r="AG2" s="27">
        <v>202527</v>
      </c>
      <c r="AH2" s="27">
        <v>202528</v>
      </c>
      <c r="AI2" s="27">
        <v>202529</v>
      </c>
      <c r="AJ2" s="27">
        <v>202530</v>
      </c>
      <c r="AK2" s="27">
        <v>202531</v>
      </c>
      <c r="AL2" s="27">
        <v>202532</v>
      </c>
      <c r="AM2" s="27">
        <v>202533</v>
      </c>
      <c r="AN2" s="27">
        <v>202534</v>
      </c>
      <c r="AO2" s="27">
        <v>202535</v>
      </c>
      <c r="AP2" s="27">
        <v>202536</v>
      </c>
      <c r="AQ2" s="27">
        <v>202537</v>
      </c>
      <c r="AR2" s="27">
        <v>202538</v>
      </c>
      <c r="AS2" s="27">
        <v>202539</v>
      </c>
      <c r="AT2" s="27">
        <v>202540</v>
      </c>
      <c r="AU2" s="27">
        <v>202541</v>
      </c>
      <c r="AV2" s="27">
        <v>202542</v>
      </c>
      <c r="AW2" s="27">
        <v>202543</v>
      </c>
      <c r="AX2" s="27">
        <v>202544</v>
      </c>
      <c r="AY2" s="27">
        <v>202545</v>
      </c>
      <c r="AZ2" s="27">
        <v>202546</v>
      </c>
      <c r="BA2" s="27">
        <v>202547</v>
      </c>
      <c r="BB2" s="27">
        <v>202548</v>
      </c>
      <c r="BC2" s="27">
        <v>202549</v>
      </c>
      <c r="BD2" s="27">
        <v>202550</v>
      </c>
      <c r="BE2" s="27">
        <v>202551</v>
      </c>
      <c r="BF2" s="27">
        <v>202552</v>
      </c>
    </row>
    <row r="3" spans="1:58" ht="15.6">
      <c r="A3">
        <v>2</v>
      </c>
      <c r="B3" t="s">
        <v>296</v>
      </c>
      <c r="C3">
        <v>677410826</v>
      </c>
      <c r="D3" t="s">
        <v>295</v>
      </c>
      <c r="E3" s="28" t="str">
        <f t="shared" ref="E3:E10" si="0">CONCATENATE(C3,F3)</f>
        <v>677410826pos_sales_this_year</v>
      </c>
      <c r="F3" s="3" t="s">
        <v>276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51">
        <v>0</v>
      </c>
      <c r="W3" s="58">
        <v>0</v>
      </c>
      <c r="X3" s="58">
        <v>0</v>
      </c>
      <c r="Y3" s="58">
        <v>0</v>
      </c>
      <c r="Z3" s="51">
        <v>0</v>
      </c>
      <c r="AA3" s="51">
        <v>0</v>
      </c>
      <c r="AB3" s="51">
        <v>0</v>
      </c>
      <c r="AC3" s="51">
        <v>0</v>
      </c>
      <c r="AD3" s="59">
        <v>0</v>
      </c>
      <c r="AE3" s="59">
        <v>0</v>
      </c>
      <c r="AF3" s="59">
        <v>0</v>
      </c>
      <c r="AG3" s="59">
        <v>0</v>
      </c>
      <c r="AH3" s="59">
        <v>0</v>
      </c>
      <c r="AI3" s="51">
        <v>0</v>
      </c>
      <c r="AJ3" s="51">
        <v>0</v>
      </c>
      <c r="AK3" s="51">
        <v>1201.8</v>
      </c>
      <c r="AL3" s="51">
        <v>4479.4399999999996</v>
      </c>
      <c r="AM3" s="51">
        <v>13158.52</v>
      </c>
      <c r="AN3" s="53">
        <v>16305.82</v>
      </c>
      <c r="AO3" s="51">
        <v>21142.82</v>
      </c>
      <c r="AP3" s="51">
        <v>19385.12</v>
      </c>
      <c r="AQ3" s="51">
        <v>21669.02</v>
      </c>
      <c r="AR3" s="51">
        <v>19839.36</v>
      </c>
      <c r="AS3" s="51">
        <v>19075.03</v>
      </c>
      <c r="AT3" s="51">
        <v>18340.68</v>
      </c>
      <c r="AU3" s="54">
        <v>17270.02</v>
      </c>
      <c r="AV3" s="51">
        <v>18722.27</v>
      </c>
      <c r="AW3" s="55"/>
      <c r="AX3" s="51"/>
      <c r="AY3" s="51"/>
      <c r="AZ3" s="56"/>
      <c r="BA3" s="51"/>
      <c r="BB3" s="51"/>
      <c r="BC3" s="57"/>
      <c r="BD3" s="57"/>
      <c r="BE3" s="51"/>
      <c r="BF3" s="51"/>
    </row>
    <row r="4" spans="1:58" ht="15.6">
      <c r="A4">
        <v>2</v>
      </c>
      <c r="B4" t="s">
        <v>296</v>
      </c>
      <c r="C4">
        <v>677410826</v>
      </c>
      <c r="D4" t="s">
        <v>295</v>
      </c>
      <c r="E4" s="28" t="str">
        <f t="shared" si="0"/>
        <v>677410826pos_quantity_this_year</v>
      </c>
      <c r="F4" s="3" t="s">
        <v>277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51">
        <v>0</v>
      </c>
      <c r="W4" s="58">
        <v>0</v>
      </c>
      <c r="X4" s="58">
        <v>0</v>
      </c>
      <c r="Y4" s="58">
        <v>0</v>
      </c>
      <c r="Z4" s="51">
        <v>0</v>
      </c>
      <c r="AA4" s="51">
        <v>0</v>
      </c>
      <c r="AB4" s="51">
        <v>0</v>
      </c>
      <c r="AC4" s="51">
        <v>0</v>
      </c>
      <c r="AD4" s="59">
        <v>0</v>
      </c>
      <c r="AE4" s="59">
        <v>0</v>
      </c>
      <c r="AF4" s="59">
        <v>0</v>
      </c>
      <c r="AG4" s="59">
        <v>0</v>
      </c>
      <c r="AH4" s="59">
        <v>0</v>
      </c>
      <c r="AI4" s="51">
        <v>0</v>
      </c>
      <c r="AJ4" s="51">
        <v>0</v>
      </c>
      <c r="AK4" s="51">
        <v>34</v>
      </c>
      <c r="AL4" s="51">
        <v>118</v>
      </c>
      <c r="AM4" s="51">
        <v>341</v>
      </c>
      <c r="AN4" s="53">
        <v>419</v>
      </c>
      <c r="AO4" s="51">
        <v>543</v>
      </c>
      <c r="AP4" s="51">
        <v>499</v>
      </c>
      <c r="AQ4" s="51">
        <v>557</v>
      </c>
      <c r="AR4" s="51">
        <v>516</v>
      </c>
      <c r="AS4" s="51">
        <v>491</v>
      </c>
      <c r="AT4" s="51">
        <v>473</v>
      </c>
      <c r="AU4" s="54">
        <v>445</v>
      </c>
      <c r="AV4" s="51">
        <v>481</v>
      </c>
      <c r="AW4" s="55"/>
      <c r="AX4" s="51"/>
      <c r="AY4" s="51"/>
      <c r="AZ4" s="56"/>
      <c r="BA4" s="51"/>
      <c r="BB4" s="51"/>
      <c r="BC4" s="57"/>
      <c r="BD4" s="57"/>
      <c r="BE4" s="51"/>
      <c r="BF4" s="51"/>
    </row>
    <row r="5" spans="1:58" ht="15.6">
      <c r="A5">
        <v>2</v>
      </c>
      <c r="B5" t="s">
        <v>296</v>
      </c>
      <c r="C5">
        <v>677410826</v>
      </c>
      <c r="D5" t="s">
        <v>295</v>
      </c>
      <c r="E5" s="28" t="str">
        <f t="shared" si="0"/>
        <v>677410826traited_store_count_this_year</v>
      </c>
      <c r="F5" s="3" t="s">
        <v>125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51">
        <v>0</v>
      </c>
      <c r="W5" s="58">
        <v>0</v>
      </c>
      <c r="X5" s="58">
        <v>0</v>
      </c>
      <c r="Y5" s="58">
        <v>0</v>
      </c>
      <c r="Z5" s="51">
        <v>0</v>
      </c>
      <c r="AA5" s="51">
        <v>0</v>
      </c>
      <c r="AB5" s="51">
        <v>0</v>
      </c>
      <c r="AC5" s="51">
        <v>0</v>
      </c>
      <c r="AD5" s="59">
        <v>0</v>
      </c>
      <c r="AE5" s="59">
        <v>0</v>
      </c>
      <c r="AF5" s="59">
        <v>0</v>
      </c>
      <c r="AG5" s="59">
        <v>0</v>
      </c>
      <c r="AH5" s="59">
        <v>0</v>
      </c>
      <c r="AI5" s="51">
        <v>0</v>
      </c>
      <c r="AJ5" s="51">
        <v>0</v>
      </c>
      <c r="AK5" s="51">
        <v>1439</v>
      </c>
      <c r="AL5" s="51">
        <v>1440</v>
      </c>
      <c r="AM5" s="51">
        <v>1440</v>
      </c>
      <c r="AN5" s="53">
        <v>1441</v>
      </c>
      <c r="AO5" s="51">
        <v>1442</v>
      </c>
      <c r="AP5" s="51">
        <v>1473</v>
      </c>
      <c r="AQ5" s="51">
        <v>1474</v>
      </c>
      <c r="AR5" s="51">
        <v>1473</v>
      </c>
      <c r="AS5" s="51">
        <v>1473</v>
      </c>
      <c r="AT5" s="51">
        <v>1472</v>
      </c>
      <c r="AU5" s="54">
        <v>1473</v>
      </c>
      <c r="AV5" s="51">
        <v>1472</v>
      </c>
      <c r="AW5" s="55"/>
      <c r="AX5" s="51"/>
      <c r="AY5" s="51"/>
      <c r="AZ5" s="56"/>
      <c r="BA5" s="51"/>
      <c r="BB5" s="51"/>
      <c r="BC5" s="57"/>
      <c r="BD5" s="57"/>
      <c r="BE5" s="51"/>
      <c r="BF5" s="51"/>
    </row>
    <row r="6" spans="1:58" ht="15.6">
      <c r="A6">
        <v>2</v>
      </c>
      <c r="B6" t="s">
        <v>296</v>
      </c>
      <c r="C6">
        <v>677410826</v>
      </c>
      <c r="D6" t="s">
        <v>295</v>
      </c>
      <c r="E6" s="28" t="str">
        <f t="shared" si="0"/>
        <v>677410826repl_instock_percentage_this_year_eop</v>
      </c>
      <c r="F6" s="3" t="s">
        <v>124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51">
        <v>0</v>
      </c>
      <c r="W6" s="58">
        <v>0</v>
      </c>
      <c r="X6" s="58">
        <v>0</v>
      </c>
      <c r="Y6" s="58">
        <v>0</v>
      </c>
      <c r="Z6" s="51">
        <v>0</v>
      </c>
      <c r="AA6" s="51">
        <v>0</v>
      </c>
      <c r="AB6" s="51">
        <v>0</v>
      </c>
      <c r="AC6" s="51">
        <v>0</v>
      </c>
      <c r="AD6" s="59">
        <v>0</v>
      </c>
      <c r="AE6" s="59">
        <v>0</v>
      </c>
      <c r="AF6" s="59">
        <v>0</v>
      </c>
      <c r="AG6" s="59">
        <v>0</v>
      </c>
      <c r="AH6" s="59">
        <v>0</v>
      </c>
      <c r="AI6" s="51">
        <v>0</v>
      </c>
      <c r="AJ6" s="51">
        <v>0</v>
      </c>
      <c r="AK6" s="51">
        <v>0</v>
      </c>
      <c r="AL6" s="51">
        <v>0</v>
      </c>
      <c r="AM6" s="51">
        <v>0.96799999999999997</v>
      </c>
      <c r="AN6" s="53">
        <v>0.97489999999999999</v>
      </c>
      <c r="AO6" s="51">
        <v>0.98540000000000005</v>
      </c>
      <c r="AP6" s="51">
        <v>0.9889</v>
      </c>
      <c r="AQ6" s="51">
        <v>0.9748</v>
      </c>
      <c r="AR6" s="51">
        <v>0.98160000000000003</v>
      </c>
      <c r="AS6" s="51">
        <v>0.98709999999999998</v>
      </c>
      <c r="AT6" s="51">
        <v>0.98709999999999998</v>
      </c>
      <c r="AU6" s="54">
        <v>0.98839999999999995</v>
      </c>
      <c r="AV6" s="51">
        <v>0.98839999999999995</v>
      </c>
      <c r="AW6" s="55"/>
      <c r="AX6" s="51"/>
      <c r="AY6" s="51"/>
      <c r="AZ6" s="56"/>
      <c r="BA6" s="51"/>
      <c r="BB6" s="51"/>
      <c r="BC6" s="57"/>
      <c r="BD6" s="57"/>
      <c r="BE6" s="51"/>
      <c r="BF6" s="51"/>
    </row>
    <row r="7" spans="1:58" ht="15.6">
      <c r="A7">
        <v>2</v>
      </c>
      <c r="B7" t="s">
        <v>304</v>
      </c>
      <c r="C7">
        <v>677536463</v>
      </c>
      <c r="D7" t="s">
        <v>303</v>
      </c>
      <c r="E7" s="28" t="str">
        <f t="shared" si="0"/>
        <v>677536463pos_sales_this_year</v>
      </c>
      <c r="F7" s="3" t="s">
        <v>276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51">
        <v>0</v>
      </c>
      <c r="W7" s="58">
        <v>0</v>
      </c>
      <c r="X7" s="58">
        <v>0</v>
      </c>
      <c r="Y7" s="58">
        <v>0</v>
      </c>
      <c r="Z7" s="51">
        <v>0</v>
      </c>
      <c r="AA7" s="51">
        <v>0</v>
      </c>
      <c r="AB7" s="51">
        <v>0</v>
      </c>
      <c r="AC7" s="51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1">
        <v>0</v>
      </c>
      <c r="AJ7" s="51">
        <v>38.96</v>
      </c>
      <c r="AK7" s="51">
        <v>515.52</v>
      </c>
      <c r="AL7" s="51">
        <v>4181.8</v>
      </c>
      <c r="AM7" s="51">
        <v>8581.23</v>
      </c>
      <c r="AN7" s="53">
        <v>9183.64</v>
      </c>
      <c r="AO7" s="51">
        <v>10902.46</v>
      </c>
      <c r="AP7" s="51">
        <v>10968.39</v>
      </c>
      <c r="AQ7" s="51">
        <v>10175.64</v>
      </c>
      <c r="AR7" s="51">
        <v>10822.96</v>
      </c>
      <c r="AS7" s="51">
        <v>9362.26</v>
      </c>
      <c r="AT7" s="51">
        <v>10406.82</v>
      </c>
      <c r="AU7" s="54">
        <v>10521.25</v>
      </c>
      <c r="AV7" s="51">
        <v>8043.7</v>
      </c>
      <c r="AW7" s="55"/>
      <c r="AX7" s="51"/>
      <c r="AY7" s="51"/>
      <c r="AZ7" s="56"/>
      <c r="BA7" s="51"/>
      <c r="BB7" s="51"/>
      <c r="BC7" s="57"/>
      <c r="BD7" s="57"/>
      <c r="BE7" s="51"/>
      <c r="BF7" s="51"/>
    </row>
    <row r="8" spans="1:58" ht="15.6">
      <c r="A8">
        <v>2</v>
      </c>
      <c r="B8" t="s">
        <v>304</v>
      </c>
      <c r="C8">
        <v>677536463</v>
      </c>
      <c r="D8" t="s">
        <v>303</v>
      </c>
      <c r="E8" s="28" t="str">
        <f t="shared" si="0"/>
        <v>677536463pos_quantity_this_year</v>
      </c>
      <c r="F8" s="3" t="s">
        <v>277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51">
        <v>0</v>
      </c>
      <c r="W8" s="58">
        <v>0</v>
      </c>
      <c r="X8" s="58">
        <v>0</v>
      </c>
      <c r="Y8" s="58">
        <v>0</v>
      </c>
      <c r="Z8" s="51">
        <v>0</v>
      </c>
      <c r="AA8" s="51">
        <v>0</v>
      </c>
      <c r="AB8" s="51">
        <v>0</v>
      </c>
      <c r="AC8" s="51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1">
        <v>0</v>
      </c>
      <c r="AJ8" s="51">
        <v>1</v>
      </c>
      <c r="AK8" s="51">
        <v>14</v>
      </c>
      <c r="AL8" s="51">
        <v>108</v>
      </c>
      <c r="AM8" s="51">
        <v>223</v>
      </c>
      <c r="AN8" s="53">
        <v>236</v>
      </c>
      <c r="AO8" s="51">
        <v>281</v>
      </c>
      <c r="AP8" s="51">
        <v>283</v>
      </c>
      <c r="AQ8" s="51">
        <v>263</v>
      </c>
      <c r="AR8" s="51">
        <v>281</v>
      </c>
      <c r="AS8" s="51">
        <v>242</v>
      </c>
      <c r="AT8" s="51">
        <v>268</v>
      </c>
      <c r="AU8" s="54">
        <v>271</v>
      </c>
      <c r="AV8" s="51">
        <v>206</v>
      </c>
      <c r="AW8" s="55"/>
      <c r="AX8" s="51"/>
      <c r="AY8" s="51"/>
      <c r="AZ8" s="56"/>
      <c r="BA8" s="51"/>
      <c r="BB8" s="51"/>
      <c r="BC8" s="57"/>
      <c r="BD8" s="57"/>
      <c r="BE8" s="51"/>
      <c r="BF8" s="51"/>
    </row>
    <row r="9" spans="1:58" ht="15.6">
      <c r="A9">
        <v>2</v>
      </c>
      <c r="B9" t="s">
        <v>304</v>
      </c>
      <c r="C9">
        <v>677536463</v>
      </c>
      <c r="D9" t="s">
        <v>303</v>
      </c>
      <c r="E9" s="28" t="str">
        <f t="shared" si="0"/>
        <v>677536463traited_store_count_this_year</v>
      </c>
      <c r="F9" s="3" t="s">
        <v>125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51">
        <v>0</v>
      </c>
      <c r="W9" s="58">
        <v>0</v>
      </c>
      <c r="X9" s="58">
        <v>0</v>
      </c>
      <c r="Y9" s="58">
        <v>0</v>
      </c>
      <c r="Z9" s="51">
        <v>0</v>
      </c>
      <c r="AA9" s="51">
        <v>0</v>
      </c>
      <c r="AB9" s="51">
        <v>0</v>
      </c>
      <c r="AC9" s="51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1">
        <v>0</v>
      </c>
      <c r="AJ9" s="51">
        <v>0</v>
      </c>
      <c r="AK9" s="51">
        <v>1440</v>
      </c>
      <c r="AL9" s="51">
        <v>1441</v>
      </c>
      <c r="AM9" s="51">
        <v>1441</v>
      </c>
      <c r="AN9" s="53">
        <v>1442</v>
      </c>
      <c r="AO9" s="51">
        <v>1443</v>
      </c>
      <c r="AP9" s="51">
        <v>1474</v>
      </c>
      <c r="AQ9" s="51">
        <v>1475</v>
      </c>
      <c r="AR9" s="51">
        <v>1475</v>
      </c>
      <c r="AS9" s="51">
        <v>1474</v>
      </c>
      <c r="AT9" s="51">
        <v>1473</v>
      </c>
      <c r="AU9" s="54">
        <v>1474</v>
      </c>
      <c r="AV9" s="51">
        <v>1473</v>
      </c>
      <c r="AW9" s="55"/>
      <c r="AX9" s="51"/>
      <c r="AY9" s="51"/>
      <c r="AZ9" s="56"/>
      <c r="BA9" s="51"/>
      <c r="BB9" s="51"/>
      <c r="BC9" s="57"/>
      <c r="BD9" s="57"/>
      <c r="BE9" s="51"/>
      <c r="BF9" s="51"/>
    </row>
    <row r="10" spans="1:58" ht="15.6">
      <c r="A10">
        <v>2</v>
      </c>
      <c r="B10" t="s">
        <v>304</v>
      </c>
      <c r="C10">
        <v>677536463</v>
      </c>
      <c r="D10" t="s">
        <v>303</v>
      </c>
      <c r="E10" s="28" t="str">
        <f t="shared" si="0"/>
        <v>677536463repl_instock_percentage_this_year_eop</v>
      </c>
      <c r="F10" s="3" t="s">
        <v>124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51">
        <v>0</v>
      </c>
      <c r="W10" s="58">
        <v>0</v>
      </c>
      <c r="X10" s="58">
        <v>0</v>
      </c>
      <c r="Y10" s="58">
        <v>0</v>
      </c>
      <c r="Z10" s="51">
        <v>0</v>
      </c>
      <c r="AA10" s="51">
        <v>0</v>
      </c>
      <c r="AB10" s="51">
        <v>0</v>
      </c>
      <c r="AC10" s="51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1">
        <v>0</v>
      </c>
      <c r="AJ10" s="51">
        <v>0</v>
      </c>
      <c r="AK10" s="51">
        <v>0</v>
      </c>
      <c r="AL10" s="51">
        <v>0</v>
      </c>
      <c r="AM10" s="51">
        <v>0.96179999999999999</v>
      </c>
      <c r="AN10" s="53">
        <v>0.97360000000000002</v>
      </c>
      <c r="AO10" s="51">
        <v>0.98750000000000004</v>
      </c>
      <c r="AP10" s="51">
        <v>0.98960000000000004</v>
      </c>
      <c r="AQ10" s="51">
        <v>0.9748</v>
      </c>
      <c r="AR10" s="51">
        <v>0.98499999999999999</v>
      </c>
      <c r="AS10" s="51">
        <v>0.98980000000000001</v>
      </c>
      <c r="AT10" s="51">
        <v>0.99109999999999998</v>
      </c>
      <c r="AU10" s="54">
        <v>0.99050000000000005</v>
      </c>
      <c r="AV10" s="51">
        <v>0.98509999999999998</v>
      </c>
      <c r="AW10" s="55"/>
      <c r="AX10" s="51"/>
      <c r="AY10" s="51"/>
      <c r="AZ10" s="56"/>
      <c r="BA10" s="51"/>
      <c r="BB10" s="51"/>
      <c r="BC10" s="57"/>
      <c r="BD10" s="57"/>
      <c r="BE10" s="51"/>
      <c r="BF10" s="5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8A70-3CBF-43F6-940F-E7CF7632A68E}">
  <sheetPr codeName="Sheet9">
    <tabColor rgb="FF92D050"/>
  </sheetPr>
  <dimension ref="A32:AL35"/>
  <sheetViews>
    <sheetView topLeftCell="A27" zoomScale="90" zoomScaleNormal="90" workbookViewId="0">
      <selection activeCell="E29" sqref="E29"/>
    </sheetView>
  </sheetViews>
  <sheetFormatPr defaultColWidth="9" defaultRowHeight="15.6"/>
  <cols>
    <col min="1" max="1" width="17.19921875" style="3" bestFit="1" customWidth="1"/>
    <col min="2" max="2" width="22.09765625" style="3" bestFit="1" customWidth="1"/>
    <col min="3" max="3" width="22.69921875" style="3" bestFit="1" customWidth="1"/>
    <col min="4" max="4" width="22.59765625" style="3" bestFit="1" customWidth="1"/>
    <col min="5" max="5" width="20" style="3" bestFit="1" customWidth="1"/>
    <col min="6" max="6" width="19.8984375" style="3" bestFit="1" customWidth="1"/>
    <col min="7" max="7" width="45.19921875" style="3" bestFit="1" customWidth="1"/>
    <col min="8" max="8" width="45.09765625" style="3" bestFit="1" customWidth="1"/>
    <col min="9" max="9" width="46" style="3" bestFit="1" customWidth="1"/>
    <col min="10" max="10" width="45.69921875" style="3" bestFit="1" customWidth="1"/>
    <col min="11" max="11" width="30.59765625" style="3" bestFit="1" customWidth="1"/>
    <col min="12" max="12" width="30.5" style="3" bestFit="1" customWidth="1"/>
    <col min="13" max="13" width="51.69921875" style="3" bestFit="1" customWidth="1"/>
    <col min="14" max="14" width="51.59765625" style="3" bestFit="1" customWidth="1"/>
    <col min="15" max="15" width="52.19921875" style="3" bestFit="1" customWidth="1"/>
    <col min="16" max="16" width="52.09765625" style="3" bestFit="1" customWidth="1"/>
    <col min="17" max="17" width="43.69921875" style="3" bestFit="1" customWidth="1"/>
    <col min="18" max="18" width="43.59765625" style="3" bestFit="1" customWidth="1"/>
    <col min="19" max="19" width="43.19921875" style="3" bestFit="1" customWidth="1"/>
    <col min="20" max="20" width="43.09765625" style="3" bestFit="1" customWidth="1"/>
    <col min="21" max="21" width="23.19921875" style="3" bestFit="1" customWidth="1"/>
    <col min="22" max="22" width="23.09765625" style="3" bestFit="1" customWidth="1"/>
    <col min="23" max="23" width="20.5" style="3" bestFit="1" customWidth="1"/>
    <col min="24" max="24" width="20.3984375" style="3" bestFit="1" customWidth="1"/>
    <col min="25" max="25" width="45.69921875" style="3" bestFit="1" customWidth="1"/>
    <col min="26" max="26" width="45.59765625" style="3" bestFit="1" customWidth="1"/>
    <col min="27" max="27" width="46.5" style="3" bestFit="1" customWidth="1"/>
    <col min="28" max="28" width="46.3984375" style="3" bestFit="1" customWidth="1"/>
    <col min="29" max="29" width="31.09765625" style="3" bestFit="1" customWidth="1"/>
    <col min="30" max="30" width="31" style="3" bestFit="1" customWidth="1"/>
    <col min="31" max="31" width="52.19921875" style="3" bestFit="1" customWidth="1"/>
    <col min="32" max="32" width="52.09765625" style="3" bestFit="1" customWidth="1"/>
    <col min="33" max="33" width="52.69921875" style="3" bestFit="1" customWidth="1"/>
    <col min="34" max="34" width="52.59765625" style="3" bestFit="1" customWidth="1"/>
    <col min="35" max="35" width="44.19921875" style="3" bestFit="1" customWidth="1"/>
    <col min="36" max="36" width="44.09765625" style="3" bestFit="1" customWidth="1"/>
    <col min="37" max="37" width="43.69921875" style="3" bestFit="1" customWidth="1"/>
    <col min="38" max="38" width="43.59765625" style="3" bestFit="1" customWidth="1"/>
    <col min="39" max="16384" width="9" style="3"/>
  </cols>
  <sheetData>
    <row r="32" spans="1:38">
      <c r="A32" s="72">
        <v>1</v>
      </c>
      <c r="B32" s="72">
        <v>2</v>
      </c>
      <c r="C32" s="72">
        <v>3</v>
      </c>
      <c r="D32" s="72">
        <v>4</v>
      </c>
      <c r="E32" s="72">
        <v>5</v>
      </c>
      <c r="F32" s="72">
        <v>6</v>
      </c>
      <c r="G32" s="72">
        <v>7</v>
      </c>
      <c r="H32" s="72">
        <v>8</v>
      </c>
      <c r="I32" s="72">
        <v>9</v>
      </c>
      <c r="J32" s="72">
        <v>10</v>
      </c>
      <c r="K32" s="72">
        <v>11</v>
      </c>
      <c r="L32" s="72">
        <v>12</v>
      </c>
      <c r="M32" s="72">
        <v>13</v>
      </c>
      <c r="N32" s="72">
        <v>14</v>
      </c>
      <c r="O32" s="72">
        <v>15</v>
      </c>
      <c r="P32" s="72">
        <v>16</v>
      </c>
      <c r="Q32" s="72">
        <v>17</v>
      </c>
      <c r="R32" s="72">
        <v>18</v>
      </c>
      <c r="S32" s="72">
        <v>19</v>
      </c>
      <c r="T32" s="72">
        <v>20</v>
      </c>
      <c r="U32" s="72">
        <v>21</v>
      </c>
      <c r="V32" s="72">
        <v>22</v>
      </c>
      <c r="W32" s="72">
        <v>23</v>
      </c>
      <c r="X32" s="72">
        <v>24</v>
      </c>
      <c r="Y32" s="72">
        <v>25</v>
      </c>
      <c r="Z32" s="72">
        <v>26</v>
      </c>
      <c r="AA32" s="72">
        <v>27</v>
      </c>
      <c r="AB32" s="72">
        <v>28</v>
      </c>
      <c r="AC32" s="72">
        <v>29</v>
      </c>
      <c r="AD32" s="72">
        <v>30</v>
      </c>
      <c r="AE32" s="72">
        <v>31</v>
      </c>
      <c r="AF32" s="72">
        <v>32</v>
      </c>
      <c r="AG32" s="72">
        <v>33</v>
      </c>
      <c r="AH32" s="72">
        <v>34</v>
      </c>
      <c r="AI32" s="72">
        <v>35</v>
      </c>
      <c r="AJ32" s="72">
        <v>36</v>
      </c>
      <c r="AK32" s="72">
        <v>37</v>
      </c>
      <c r="AL32" s="72">
        <v>38</v>
      </c>
    </row>
    <row r="33" spans="1:38" s="81" customFormat="1" ht="27.75" customHeight="1">
      <c r="A33" s="72" t="s">
        <v>109</v>
      </c>
      <c r="B33" s="72" t="s">
        <v>110</v>
      </c>
      <c r="C33" s="72" t="s">
        <v>172</v>
      </c>
      <c r="D33" s="72" t="s">
        <v>173</v>
      </c>
      <c r="E33" s="72" t="s">
        <v>174</v>
      </c>
      <c r="F33" s="72" t="s">
        <v>175</v>
      </c>
      <c r="G33" s="72" t="s">
        <v>176</v>
      </c>
      <c r="H33" s="72" t="s">
        <v>177</v>
      </c>
      <c r="I33" s="72" t="s">
        <v>178</v>
      </c>
      <c r="J33" s="72" t="s">
        <v>179</v>
      </c>
      <c r="K33" s="72" t="s">
        <v>180</v>
      </c>
      <c r="L33" s="72" t="s">
        <v>181</v>
      </c>
      <c r="M33" s="72" t="s">
        <v>182</v>
      </c>
      <c r="N33" s="72" t="s">
        <v>183</v>
      </c>
      <c r="O33" s="72" t="s">
        <v>184</v>
      </c>
      <c r="P33" s="72" t="s">
        <v>185</v>
      </c>
      <c r="Q33" s="72" t="s">
        <v>186</v>
      </c>
      <c r="R33" s="72" t="s">
        <v>187</v>
      </c>
      <c r="S33" s="72" t="s">
        <v>188</v>
      </c>
      <c r="T33" s="72" t="s">
        <v>189</v>
      </c>
      <c r="U33" s="72" t="s">
        <v>190</v>
      </c>
      <c r="V33" s="72" t="s">
        <v>191</v>
      </c>
      <c r="W33" s="72" t="s">
        <v>192</v>
      </c>
      <c r="X33" s="72" t="s">
        <v>193</v>
      </c>
      <c r="Y33" s="72" t="s">
        <v>194</v>
      </c>
      <c r="Z33" s="72" t="s">
        <v>195</v>
      </c>
      <c r="AA33" s="72" t="s">
        <v>196</v>
      </c>
      <c r="AB33" s="72" t="s">
        <v>197</v>
      </c>
      <c r="AC33" s="72" t="s">
        <v>198</v>
      </c>
      <c r="AD33" s="72" t="s">
        <v>199</v>
      </c>
      <c r="AE33" s="72" t="s">
        <v>200</v>
      </c>
      <c r="AF33" s="72" t="s">
        <v>201</v>
      </c>
      <c r="AG33" s="72" t="s">
        <v>202</v>
      </c>
      <c r="AH33" s="72" t="s">
        <v>203</v>
      </c>
      <c r="AI33" s="72" t="s">
        <v>204</v>
      </c>
      <c r="AJ33" s="72" t="s">
        <v>205</v>
      </c>
      <c r="AK33" s="72" t="s">
        <v>206</v>
      </c>
      <c r="AL33" s="72" t="s">
        <v>207</v>
      </c>
    </row>
    <row r="34" spans="1:38">
      <c r="A34" s="3">
        <v>677410826</v>
      </c>
      <c r="B34" s="3" t="s">
        <v>295</v>
      </c>
      <c r="C34" s="3">
        <v>481</v>
      </c>
      <c r="D34" s="3">
        <v>0</v>
      </c>
      <c r="E34" s="95">
        <v>18722.27</v>
      </c>
      <c r="F34" s="95">
        <v>0</v>
      </c>
      <c r="G34" s="3">
        <v>1.1299999999999999</v>
      </c>
      <c r="H34" s="3">
        <v>0</v>
      </c>
      <c r="I34" s="95">
        <v>44.05</v>
      </c>
      <c r="J34" s="95">
        <v>0</v>
      </c>
      <c r="K34" s="3">
        <v>411</v>
      </c>
      <c r="L34" s="3">
        <v>0</v>
      </c>
      <c r="M34" s="95">
        <v>-545.44000000000005</v>
      </c>
      <c r="N34" s="95">
        <v>0</v>
      </c>
      <c r="O34" s="3">
        <v>-14</v>
      </c>
      <c r="P34" s="3">
        <v>0</v>
      </c>
      <c r="Q34" s="3">
        <v>-24</v>
      </c>
      <c r="R34" s="3">
        <v>0</v>
      </c>
      <c r="S34" s="95">
        <v>-937</v>
      </c>
      <c r="T34" s="95">
        <v>0</v>
      </c>
      <c r="U34" s="3">
        <v>4917</v>
      </c>
      <c r="V34" s="3">
        <v>0</v>
      </c>
      <c r="W34" s="95">
        <v>190589.9</v>
      </c>
      <c r="X34" s="95">
        <v>0</v>
      </c>
      <c r="Y34" s="3">
        <v>0.08</v>
      </c>
      <c r="Z34" s="3">
        <v>0</v>
      </c>
      <c r="AA34" s="95">
        <v>3.23</v>
      </c>
      <c r="AB34" s="95">
        <v>0</v>
      </c>
      <c r="AC34" s="3">
        <v>12342</v>
      </c>
      <c r="AD34" s="3">
        <v>0</v>
      </c>
      <c r="AE34" s="95">
        <v>-4120.0200000000004</v>
      </c>
      <c r="AF34" s="95">
        <v>0</v>
      </c>
      <c r="AG34" s="3">
        <v>-106</v>
      </c>
      <c r="AH34" s="3">
        <v>0</v>
      </c>
      <c r="AI34" s="3">
        <v>-189</v>
      </c>
      <c r="AJ34" s="3">
        <v>0</v>
      </c>
      <c r="AK34" s="95">
        <v>-7315.27</v>
      </c>
      <c r="AL34" s="95">
        <v>0</v>
      </c>
    </row>
    <row r="35" spans="1:38">
      <c r="A35" s="3">
        <v>677536463</v>
      </c>
      <c r="B35" s="3" t="s">
        <v>303</v>
      </c>
      <c r="C35" s="3">
        <v>206</v>
      </c>
      <c r="D35" s="3">
        <v>0</v>
      </c>
      <c r="E35" s="95">
        <v>8043.7</v>
      </c>
      <c r="F35" s="95">
        <v>0</v>
      </c>
      <c r="G35" s="3">
        <v>1.02</v>
      </c>
      <c r="H35" s="3">
        <v>0</v>
      </c>
      <c r="I35" s="95">
        <v>39.82</v>
      </c>
      <c r="J35" s="95">
        <v>0</v>
      </c>
      <c r="K35" s="3">
        <v>9</v>
      </c>
      <c r="L35" s="3">
        <v>0</v>
      </c>
      <c r="M35" s="95">
        <v>-233.76</v>
      </c>
      <c r="N35" s="95">
        <v>0</v>
      </c>
      <c r="O35" s="3">
        <v>-6</v>
      </c>
      <c r="P35" s="3">
        <v>0</v>
      </c>
      <c r="Q35" s="3">
        <v>-15</v>
      </c>
      <c r="R35" s="3">
        <v>0</v>
      </c>
      <c r="S35" s="95">
        <v>-541.54</v>
      </c>
      <c r="T35" s="95">
        <v>0</v>
      </c>
      <c r="U35" s="3">
        <v>2677</v>
      </c>
      <c r="V35" s="3">
        <v>0</v>
      </c>
      <c r="W35" s="95">
        <v>103704.63</v>
      </c>
      <c r="X35" s="95">
        <v>0</v>
      </c>
      <c r="Y35" s="3">
        <v>0.05</v>
      </c>
      <c r="Z35" s="3">
        <v>0</v>
      </c>
      <c r="AA35" s="95">
        <v>2.08</v>
      </c>
      <c r="AB35" s="95">
        <v>0</v>
      </c>
      <c r="AC35" s="3">
        <v>10947</v>
      </c>
      <c r="AD35" s="3">
        <v>0</v>
      </c>
      <c r="AE35" s="95">
        <v>-1636.32</v>
      </c>
      <c r="AF35" s="95">
        <v>0</v>
      </c>
      <c r="AG35" s="3">
        <v>-42</v>
      </c>
      <c r="AH35" s="3">
        <v>0</v>
      </c>
      <c r="AI35" s="3">
        <v>-80</v>
      </c>
      <c r="AJ35" s="3">
        <v>0</v>
      </c>
      <c r="AK35" s="95">
        <v>-3065.97</v>
      </c>
      <c r="AL35" s="95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26C7-3425-4C19-9F56-2FEB805E3AE3}">
  <sheetPr codeName="Sheet10">
    <tabColor rgb="FF92D050"/>
  </sheetPr>
  <dimension ref="A21:F25"/>
  <sheetViews>
    <sheetView topLeftCell="A15" workbookViewId="0">
      <selection activeCell="E17" sqref="E17"/>
    </sheetView>
  </sheetViews>
  <sheetFormatPr defaultRowHeight="15.6"/>
  <cols>
    <col min="1" max="1" width="17.19921875" bestFit="1" customWidth="1"/>
    <col min="2" max="2" width="23" bestFit="1" customWidth="1"/>
    <col min="3" max="3" width="24.5" bestFit="1" customWidth="1"/>
    <col min="4" max="4" width="24.3984375" bestFit="1" customWidth="1"/>
    <col min="5" max="5" width="25" bestFit="1" customWidth="1"/>
    <col min="6" max="6" width="24.8984375" bestFit="1" customWidth="1"/>
  </cols>
  <sheetData>
    <row r="21" spans="1:6" s="74" customFormat="1">
      <c r="A21" s="72" t="s">
        <v>109</v>
      </c>
      <c r="B21" s="72" t="s">
        <v>166</v>
      </c>
      <c r="C21" s="72" t="s">
        <v>209</v>
      </c>
      <c r="D21" s="72" t="s">
        <v>210</v>
      </c>
      <c r="E21" s="72" t="s">
        <v>211</v>
      </c>
      <c r="F21" s="72" t="s">
        <v>212</v>
      </c>
    </row>
    <row r="22" spans="1:6">
      <c r="A22">
        <v>677410826</v>
      </c>
      <c r="B22" t="s">
        <v>295</v>
      </c>
      <c r="C22" s="73">
        <v>-177.84</v>
      </c>
      <c r="D22" s="73">
        <v>0</v>
      </c>
      <c r="E22" s="73">
        <v>5195.1000000000004</v>
      </c>
      <c r="F22" s="73">
        <v>0</v>
      </c>
    </row>
    <row r="23" spans="1:6">
      <c r="A23">
        <v>677536463</v>
      </c>
      <c r="B23" t="s">
        <v>303</v>
      </c>
      <c r="C23" s="73">
        <v>-457.08</v>
      </c>
      <c r="D23" s="73">
        <v>0</v>
      </c>
      <c r="E23" s="73">
        <v>1938.34</v>
      </c>
      <c r="F23" s="73">
        <v>0</v>
      </c>
    </row>
    <row r="24" spans="1:6">
      <c r="A24">
        <v>679250386</v>
      </c>
      <c r="B24" t="s">
        <v>328</v>
      </c>
      <c r="C24">
        <v>0</v>
      </c>
      <c r="D24">
        <v>0</v>
      </c>
      <c r="E24">
        <v>38.96</v>
      </c>
      <c r="F24">
        <v>0</v>
      </c>
    </row>
    <row r="25" spans="1:6">
      <c r="A25">
        <v>679250397</v>
      </c>
      <c r="B25" t="s">
        <v>328</v>
      </c>
      <c r="C25">
        <v>0</v>
      </c>
      <c r="D25">
        <v>0</v>
      </c>
      <c r="E25">
        <v>38.96</v>
      </c>
      <c r="F25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3B04-7FDC-44D5-B710-A8A9854126A3}">
  <sheetPr codeName="Sheet11">
    <tabColor rgb="FF92D050"/>
  </sheetPr>
  <dimension ref="B21:G25"/>
  <sheetViews>
    <sheetView topLeftCell="A15" workbookViewId="0">
      <selection activeCell="F17" sqref="F17"/>
    </sheetView>
  </sheetViews>
  <sheetFormatPr defaultRowHeight="15.6"/>
  <cols>
    <col min="2" max="2" width="17.19921875" bestFit="1" customWidth="1"/>
    <col min="3" max="3" width="22.09765625" bestFit="1" customWidth="1"/>
    <col min="4" max="4" width="21.59765625" bestFit="1" customWidth="1"/>
    <col min="5" max="5" width="29.8984375" bestFit="1" customWidth="1"/>
    <col min="6" max="6" width="31.19921875" bestFit="1" customWidth="1"/>
    <col min="7" max="7" width="13.69921875" bestFit="1" customWidth="1"/>
  </cols>
  <sheetData>
    <row r="21" spans="2:7">
      <c r="B21" s="72" t="s">
        <v>109</v>
      </c>
      <c r="C21" s="72" t="s">
        <v>110</v>
      </c>
      <c r="D21" s="72" t="s">
        <v>150</v>
      </c>
      <c r="E21" s="72" t="s">
        <v>167</v>
      </c>
      <c r="F21" s="72" t="s">
        <v>168</v>
      </c>
      <c r="G21" s="80" t="s">
        <v>169</v>
      </c>
    </row>
    <row r="22" spans="2:7">
      <c r="B22">
        <v>677410826</v>
      </c>
      <c r="C22" t="s">
        <v>295</v>
      </c>
      <c r="D22">
        <v>3</v>
      </c>
      <c r="E22" s="7">
        <v>40</v>
      </c>
      <c r="F22" s="7">
        <v>307</v>
      </c>
      <c r="G22" s="7">
        <f>F22*D22</f>
        <v>921</v>
      </c>
    </row>
    <row r="23" spans="2:7">
      <c r="B23">
        <v>677536463</v>
      </c>
      <c r="C23" t="s">
        <v>303</v>
      </c>
      <c r="D23">
        <v>3</v>
      </c>
      <c r="E23" s="7">
        <v>0</v>
      </c>
      <c r="F23" s="7">
        <v>82</v>
      </c>
      <c r="G23" s="7">
        <f t="shared" ref="G23:G25" si="0">F23*D23</f>
        <v>246</v>
      </c>
    </row>
    <row r="24" spans="2:7">
      <c r="B24">
        <v>679250386</v>
      </c>
      <c r="C24" t="s">
        <v>328</v>
      </c>
      <c r="D24">
        <v>3</v>
      </c>
      <c r="E24">
        <v>0</v>
      </c>
      <c r="F24">
        <v>0</v>
      </c>
      <c r="G24" s="7">
        <f t="shared" si="0"/>
        <v>0</v>
      </c>
    </row>
    <row r="25" spans="2:7">
      <c r="B25">
        <v>679250397</v>
      </c>
      <c r="C25" t="s">
        <v>328</v>
      </c>
      <c r="D25">
        <v>3</v>
      </c>
      <c r="E25">
        <v>0</v>
      </c>
      <c r="F25">
        <v>0</v>
      </c>
      <c r="G25" s="7">
        <f t="shared" si="0"/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023F-2A58-4B10-A637-7F34414F58EC}">
  <sheetPr codeName="Sheet12">
    <tabColor rgb="FF92D050"/>
  </sheetPr>
  <dimension ref="A38:AX43"/>
  <sheetViews>
    <sheetView topLeftCell="A33" workbookViewId="0">
      <selection activeCell="E35" sqref="E35"/>
    </sheetView>
  </sheetViews>
  <sheetFormatPr defaultRowHeight="15.6"/>
  <cols>
    <col min="1" max="1" width="17.19921875" bestFit="1" customWidth="1"/>
    <col min="2" max="2" width="22.09765625" bestFit="1" customWidth="1"/>
    <col min="3" max="3" width="15.5" bestFit="1" customWidth="1"/>
    <col min="4" max="4" width="18.09765625" bestFit="1" customWidth="1"/>
    <col min="5" max="5" width="13.3984375" bestFit="1" customWidth="1"/>
    <col min="6" max="6" width="22.19921875" bestFit="1" customWidth="1"/>
    <col min="7" max="7" width="15" bestFit="1" customWidth="1"/>
    <col min="8" max="8" width="20.59765625" bestFit="1" customWidth="1"/>
    <col min="9" max="9" width="27.69921875" bestFit="1" customWidth="1"/>
    <col min="10" max="10" width="13.59765625" bestFit="1" customWidth="1"/>
    <col min="11" max="11" width="14.69921875" bestFit="1" customWidth="1"/>
    <col min="12" max="12" width="25" bestFit="1" customWidth="1"/>
    <col min="13" max="13" width="22.59765625" bestFit="1" customWidth="1"/>
    <col min="14" max="14" width="14.5" bestFit="1" customWidth="1"/>
    <col min="15" max="15" width="13.59765625" bestFit="1" customWidth="1"/>
    <col min="16" max="16" width="10.59765625" bestFit="1" customWidth="1"/>
    <col min="17" max="17" width="18.3984375" bestFit="1" customWidth="1"/>
    <col min="18" max="18" width="22" bestFit="1" customWidth="1"/>
    <col min="19" max="19" width="21.59765625" bestFit="1" customWidth="1"/>
    <col min="20" max="20" width="13.5" bestFit="1" customWidth="1"/>
    <col min="21" max="21" width="13.8984375" bestFit="1" customWidth="1"/>
    <col min="22" max="22" width="22.09765625" bestFit="1" customWidth="1"/>
    <col min="23" max="23" width="14" bestFit="1" customWidth="1"/>
    <col min="24" max="24" width="26.8984375" bestFit="1" customWidth="1"/>
    <col min="25" max="25" width="25" bestFit="1" customWidth="1"/>
    <col min="26" max="26" width="41.19921875" bestFit="1" customWidth="1"/>
    <col min="27" max="27" width="25.09765625" bestFit="1" customWidth="1"/>
    <col min="28" max="28" width="16.69921875" bestFit="1" customWidth="1"/>
    <col min="29" max="29" width="14.09765625" bestFit="1" customWidth="1"/>
    <col min="30" max="30" width="10.8984375" bestFit="1" customWidth="1"/>
    <col min="31" max="31" width="16.59765625" bestFit="1" customWidth="1"/>
    <col min="32" max="32" width="18.3984375" bestFit="1" customWidth="1"/>
    <col min="33" max="34" width="18" bestFit="1" customWidth="1"/>
    <col min="35" max="35" width="17.5" bestFit="1" customWidth="1"/>
    <col min="36" max="36" width="24.69921875" bestFit="1" customWidth="1"/>
    <col min="37" max="38" width="24.3984375" bestFit="1" customWidth="1"/>
    <col min="39" max="39" width="23.8984375" bestFit="1" customWidth="1"/>
    <col min="40" max="40" width="28" bestFit="1" customWidth="1"/>
    <col min="41" max="42" width="27.59765625" bestFit="1" customWidth="1"/>
    <col min="43" max="43" width="27.09765625" bestFit="1" customWidth="1"/>
    <col min="44" max="44" width="24.59765625" bestFit="1" customWidth="1"/>
    <col min="45" max="45" width="32.5" bestFit="1" customWidth="1"/>
    <col min="46" max="46" width="32.3984375" bestFit="1" customWidth="1"/>
    <col min="47" max="47" width="29" bestFit="1" customWidth="1"/>
    <col min="48" max="48" width="32.69921875" bestFit="1" customWidth="1"/>
    <col min="49" max="49" width="28.69921875" bestFit="1" customWidth="1"/>
  </cols>
  <sheetData>
    <row r="38" spans="1:50">
      <c r="A38" t="s">
        <v>109</v>
      </c>
      <c r="B38" t="s">
        <v>110</v>
      </c>
      <c r="C38" t="s">
        <v>111</v>
      </c>
      <c r="D38" t="s">
        <v>165</v>
      </c>
      <c r="E38" t="s">
        <v>164</v>
      </c>
      <c r="F38" t="s">
        <v>163</v>
      </c>
      <c r="G38" t="s">
        <v>162</v>
      </c>
      <c r="H38" t="s">
        <v>161</v>
      </c>
      <c r="I38" t="s">
        <v>160</v>
      </c>
      <c r="J38" t="s">
        <v>159</v>
      </c>
      <c r="K38" t="s">
        <v>158</v>
      </c>
      <c r="L38" t="s">
        <v>157</v>
      </c>
      <c r="M38" t="s">
        <v>156</v>
      </c>
      <c r="N38" t="s">
        <v>155</v>
      </c>
      <c r="O38" t="s">
        <v>154</v>
      </c>
      <c r="P38" t="s">
        <v>153</v>
      </c>
      <c r="Q38" t="s">
        <v>152</v>
      </c>
      <c r="R38" t="s">
        <v>151</v>
      </c>
      <c r="S38" t="s">
        <v>150</v>
      </c>
      <c r="T38" t="s">
        <v>149</v>
      </c>
      <c r="U38" t="s">
        <v>148</v>
      </c>
      <c r="V38" t="s">
        <v>147</v>
      </c>
      <c r="W38" t="s">
        <v>146</v>
      </c>
      <c r="X38" t="s">
        <v>145</v>
      </c>
      <c r="Y38" t="s">
        <v>144</v>
      </c>
      <c r="Z38" t="s">
        <v>143</v>
      </c>
      <c r="AA38" t="s">
        <v>142</v>
      </c>
      <c r="AB38" t="s">
        <v>141</v>
      </c>
      <c r="AC38" t="s">
        <v>140</v>
      </c>
      <c r="AD38" t="s">
        <v>139</v>
      </c>
      <c r="AE38" t="s">
        <v>138</v>
      </c>
      <c r="AF38" t="s">
        <v>137</v>
      </c>
      <c r="AG38" t="s">
        <v>136</v>
      </c>
      <c r="AH38" t="s">
        <v>135</v>
      </c>
      <c r="AI38" t="s">
        <v>134</v>
      </c>
      <c r="AJ38" t="s">
        <v>133</v>
      </c>
      <c r="AK38" t="s">
        <v>132</v>
      </c>
      <c r="AL38" t="s">
        <v>131</v>
      </c>
      <c r="AM38" t="s">
        <v>130</v>
      </c>
      <c r="AN38" t="s">
        <v>129</v>
      </c>
      <c r="AO38" t="s">
        <v>128</v>
      </c>
      <c r="AP38" t="s">
        <v>127</v>
      </c>
      <c r="AQ38" t="s">
        <v>126</v>
      </c>
      <c r="AR38" t="s">
        <v>306</v>
      </c>
      <c r="AS38" t="s">
        <v>307</v>
      </c>
      <c r="AT38" t="s">
        <v>308</v>
      </c>
      <c r="AU38" t="s">
        <v>309</v>
      </c>
      <c r="AV38" t="s">
        <v>310</v>
      </c>
      <c r="AW38" t="s">
        <v>311</v>
      </c>
      <c r="AX38" t="s">
        <v>312</v>
      </c>
    </row>
    <row r="39" spans="1:50">
      <c r="A39" s="72" t="s">
        <v>109</v>
      </c>
      <c r="B39" s="72" t="s">
        <v>110</v>
      </c>
      <c r="C39" s="72" t="s">
        <v>111</v>
      </c>
      <c r="D39" s="72" t="s">
        <v>165</v>
      </c>
      <c r="E39" s="72" t="s">
        <v>164</v>
      </c>
      <c r="F39" s="72" t="s">
        <v>163</v>
      </c>
      <c r="G39" s="72" t="s">
        <v>162</v>
      </c>
      <c r="H39" s="72" t="s">
        <v>161</v>
      </c>
      <c r="I39" s="72" t="s">
        <v>160</v>
      </c>
      <c r="J39" s="72" t="s">
        <v>159</v>
      </c>
      <c r="K39" s="72" t="s">
        <v>158</v>
      </c>
      <c r="L39" s="72" t="s">
        <v>157</v>
      </c>
      <c r="M39" s="72" t="s">
        <v>156</v>
      </c>
      <c r="N39" s="72" t="s">
        <v>155</v>
      </c>
      <c r="O39" s="72" t="s">
        <v>154</v>
      </c>
      <c r="P39" s="72" t="s">
        <v>153</v>
      </c>
      <c r="Q39" s="72" t="s">
        <v>152</v>
      </c>
      <c r="R39" s="72" t="s">
        <v>151</v>
      </c>
      <c r="S39" s="72" t="s">
        <v>150</v>
      </c>
      <c r="T39" s="72" t="s">
        <v>149</v>
      </c>
      <c r="U39" s="72" t="s">
        <v>148</v>
      </c>
      <c r="V39" s="72" t="s">
        <v>147</v>
      </c>
      <c r="W39" s="72" t="s">
        <v>146</v>
      </c>
      <c r="X39" s="72" t="s">
        <v>145</v>
      </c>
      <c r="Y39" s="72" t="s">
        <v>144</v>
      </c>
      <c r="Z39" s="72" t="s">
        <v>143</v>
      </c>
      <c r="AA39" s="72" t="s">
        <v>142</v>
      </c>
      <c r="AB39" s="72" t="s">
        <v>141</v>
      </c>
      <c r="AC39" s="72" t="s">
        <v>140</v>
      </c>
      <c r="AD39" s="72" t="s">
        <v>139</v>
      </c>
      <c r="AE39" s="72" t="s">
        <v>138</v>
      </c>
      <c r="AF39" s="72" t="s">
        <v>137</v>
      </c>
      <c r="AG39" s="72" t="s">
        <v>136</v>
      </c>
      <c r="AH39" s="72" t="s">
        <v>135</v>
      </c>
      <c r="AI39" s="72" t="s">
        <v>134</v>
      </c>
      <c r="AJ39" s="72" t="s">
        <v>133</v>
      </c>
      <c r="AK39" s="72" t="s">
        <v>132</v>
      </c>
      <c r="AL39" s="72" t="s">
        <v>131</v>
      </c>
      <c r="AM39" s="72" t="s">
        <v>130</v>
      </c>
      <c r="AN39" s="72" t="s">
        <v>129</v>
      </c>
      <c r="AO39" s="72" t="s">
        <v>128</v>
      </c>
      <c r="AP39" s="72" t="s">
        <v>127</v>
      </c>
      <c r="AQ39" s="72" t="s">
        <v>126</v>
      </c>
      <c r="AR39" s="72" t="s">
        <v>125</v>
      </c>
      <c r="AS39" s="72" t="s">
        <v>124</v>
      </c>
      <c r="AT39" s="72" t="s">
        <v>123</v>
      </c>
      <c r="AU39" s="72" t="s">
        <v>122</v>
      </c>
      <c r="AV39" s="72" t="s">
        <v>121</v>
      </c>
      <c r="AW39" s="72" t="s">
        <v>120</v>
      </c>
      <c r="AX39" s="72" t="s">
        <v>274</v>
      </c>
    </row>
    <row r="40" spans="1:50">
      <c r="A40">
        <v>677410826</v>
      </c>
      <c r="B40" t="s">
        <v>295</v>
      </c>
      <c r="C40" t="s">
        <v>296</v>
      </c>
      <c r="D40">
        <v>85007565805</v>
      </c>
      <c r="E40" s="78">
        <v>45796</v>
      </c>
      <c r="F40" s="78">
        <v>45797</v>
      </c>
      <c r="G40" s="73">
        <v>23.38</v>
      </c>
      <c r="H40" s="73">
        <v>38.96</v>
      </c>
      <c r="I40" t="s">
        <v>271</v>
      </c>
      <c r="J40">
        <v>20</v>
      </c>
      <c r="K40" t="s">
        <v>48</v>
      </c>
      <c r="L40" s="7">
        <v>1</v>
      </c>
      <c r="M40" s="7">
        <v>0</v>
      </c>
      <c r="N40" t="s">
        <v>275</v>
      </c>
      <c r="O40" t="s">
        <v>78</v>
      </c>
      <c r="P40" t="s">
        <v>297</v>
      </c>
      <c r="Q40">
        <v>24</v>
      </c>
      <c r="R40" s="73">
        <v>561.12</v>
      </c>
      <c r="S40">
        <v>3</v>
      </c>
      <c r="T40">
        <v>122289</v>
      </c>
      <c r="U40" t="s">
        <v>298</v>
      </c>
      <c r="V40" s="7">
        <v>0</v>
      </c>
      <c r="W40" t="s">
        <v>338</v>
      </c>
      <c r="X40">
        <v>2</v>
      </c>
      <c r="Y40" t="s">
        <v>299</v>
      </c>
      <c r="Z40" t="s">
        <v>300</v>
      </c>
      <c r="AA40" t="s">
        <v>301</v>
      </c>
      <c r="AB40" t="s">
        <v>302</v>
      </c>
      <c r="AC40">
        <v>607</v>
      </c>
      <c r="AD40">
        <v>224488320</v>
      </c>
      <c r="AE40">
        <v>6.8000000000000005E-2</v>
      </c>
      <c r="AF40">
        <v>0.96</v>
      </c>
      <c r="AG40">
        <v>9.5</v>
      </c>
      <c r="AH40">
        <v>3.1</v>
      </c>
      <c r="AI40">
        <v>4</v>
      </c>
      <c r="AJ40">
        <v>32.1</v>
      </c>
      <c r="AK40">
        <v>10.83</v>
      </c>
      <c r="AL40">
        <v>20.55</v>
      </c>
      <c r="AM40">
        <v>19.489999999999998</v>
      </c>
      <c r="AN40">
        <v>3.7</v>
      </c>
      <c r="AO40">
        <v>9.84</v>
      </c>
      <c r="AP40">
        <v>9.84</v>
      </c>
      <c r="AQ40">
        <v>4.53</v>
      </c>
      <c r="AR40" s="7">
        <v>1472</v>
      </c>
      <c r="AS40">
        <v>0.98839999999999995</v>
      </c>
      <c r="AT40" s="7">
        <v>7262</v>
      </c>
      <c r="AU40">
        <v>74</v>
      </c>
      <c r="AV40">
        <v>96</v>
      </c>
      <c r="AW40" s="7">
        <v>950</v>
      </c>
      <c r="AX40" s="7">
        <v>0</v>
      </c>
    </row>
    <row r="41" spans="1:50">
      <c r="A41">
        <v>677536463</v>
      </c>
      <c r="B41" t="s">
        <v>303</v>
      </c>
      <c r="C41" t="s">
        <v>304</v>
      </c>
      <c r="D41">
        <v>85007565801</v>
      </c>
      <c r="E41" s="78">
        <v>45803</v>
      </c>
      <c r="F41" s="78">
        <v>45804</v>
      </c>
      <c r="G41" s="73">
        <v>23.38</v>
      </c>
      <c r="H41" s="73">
        <v>38.96</v>
      </c>
      <c r="I41" t="s">
        <v>271</v>
      </c>
      <c r="J41">
        <v>20</v>
      </c>
      <c r="K41" t="s">
        <v>48</v>
      </c>
      <c r="L41" s="7">
        <v>1</v>
      </c>
      <c r="M41" s="7">
        <v>0</v>
      </c>
      <c r="N41" t="s">
        <v>275</v>
      </c>
      <c r="O41" t="s">
        <v>78</v>
      </c>
      <c r="P41" t="s">
        <v>297</v>
      </c>
      <c r="Q41">
        <v>24</v>
      </c>
      <c r="R41" s="73">
        <v>561.12</v>
      </c>
      <c r="S41">
        <v>3</v>
      </c>
      <c r="T41">
        <v>122289</v>
      </c>
      <c r="U41" t="s">
        <v>298</v>
      </c>
      <c r="V41" s="7">
        <v>0</v>
      </c>
      <c r="W41" t="s">
        <v>338</v>
      </c>
      <c r="X41">
        <v>2</v>
      </c>
      <c r="Y41" t="s">
        <v>299</v>
      </c>
      <c r="Z41" t="s">
        <v>300</v>
      </c>
      <c r="AA41" t="s">
        <v>301</v>
      </c>
      <c r="AB41" t="s">
        <v>305</v>
      </c>
      <c r="AC41">
        <v>431</v>
      </c>
      <c r="AD41">
        <v>224537318</v>
      </c>
      <c r="AE41">
        <v>5.3999999999999999E-2</v>
      </c>
      <c r="AF41">
        <v>0.9</v>
      </c>
      <c r="AG41">
        <v>8.4</v>
      </c>
      <c r="AH41">
        <v>2.8</v>
      </c>
      <c r="AI41">
        <v>4</v>
      </c>
      <c r="AJ41">
        <v>27.5</v>
      </c>
      <c r="AK41">
        <v>10.08</v>
      </c>
      <c r="AL41">
        <v>19.09</v>
      </c>
      <c r="AM41">
        <v>18.7</v>
      </c>
      <c r="AN41">
        <v>3.2</v>
      </c>
      <c r="AO41">
        <v>8.9</v>
      </c>
      <c r="AP41">
        <v>4.45</v>
      </c>
      <c r="AQ41">
        <v>9.17</v>
      </c>
      <c r="AR41" s="7">
        <v>1473</v>
      </c>
      <c r="AS41">
        <v>0.98509999999999998</v>
      </c>
      <c r="AT41" s="7">
        <v>8426</v>
      </c>
      <c r="AU41">
        <v>4</v>
      </c>
      <c r="AV41">
        <v>6</v>
      </c>
      <c r="AW41" s="7">
        <v>251</v>
      </c>
      <c r="AX41" s="7">
        <v>0</v>
      </c>
    </row>
    <row r="42" spans="1:50">
      <c r="A42">
        <v>679250386</v>
      </c>
      <c r="B42" t="s">
        <v>328</v>
      </c>
      <c r="C42" t="s">
        <v>334</v>
      </c>
      <c r="D42">
        <v>85007565803</v>
      </c>
      <c r="E42">
        <v>45890</v>
      </c>
      <c r="F42">
        <v>45891</v>
      </c>
      <c r="G42">
        <v>23.38</v>
      </c>
      <c r="H42">
        <v>38.96</v>
      </c>
      <c r="I42" t="s">
        <v>330</v>
      </c>
      <c r="J42">
        <v>20</v>
      </c>
      <c r="K42" t="s">
        <v>48</v>
      </c>
      <c r="L42">
        <v>1</v>
      </c>
      <c r="M42">
        <v>0</v>
      </c>
      <c r="N42" t="s">
        <v>335</v>
      </c>
      <c r="O42" t="s">
        <v>78</v>
      </c>
      <c r="P42" t="s">
        <v>332</v>
      </c>
      <c r="Q42">
        <v>24</v>
      </c>
      <c r="R42">
        <v>561.12</v>
      </c>
      <c r="S42">
        <v>3</v>
      </c>
      <c r="T42">
        <v>122289</v>
      </c>
      <c r="U42" t="s">
        <v>298</v>
      </c>
      <c r="V42">
        <v>0</v>
      </c>
      <c r="W42" t="s">
        <v>339</v>
      </c>
      <c r="X42">
        <v>2</v>
      </c>
      <c r="Y42" t="s">
        <v>299</v>
      </c>
      <c r="Z42" t="s">
        <v>300</v>
      </c>
      <c r="AA42" t="s">
        <v>337</v>
      </c>
      <c r="AB42" t="s">
        <v>333</v>
      </c>
      <c r="AC42">
        <v>9379</v>
      </c>
      <c r="AD42">
        <v>225525458</v>
      </c>
      <c r="AE42">
        <v>5.3999999999999999E-2</v>
      </c>
      <c r="AF42">
        <v>0.9</v>
      </c>
      <c r="AG42">
        <v>8.4</v>
      </c>
      <c r="AH42">
        <v>2.8</v>
      </c>
      <c r="AI42">
        <v>4</v>
      </c>
      <c r="AJ42">
        <v>27.5</v>
      </c>
      <c r="AK42">
        <v>10.1</v>
      </c>
      <c r="AL42">
        <v>19.100000000000001</v>
      </c>
      <c r="AM42">
        <v>18.7</v>
      </c>
      <c r="AN42">
        <v>3.2</v>
      </c>
      <c r="AO42">
        <v>8.9</v>
      </c>
      <c r="AP42">
        <v>4.5</v>
      </c>
      <c r="AQ42">
        <v>9.1999999999999993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</row>
    <row r="43" spans="1:50">
      <c r="A43">
        <v>679250397</v>
      </c>
      <c r="B43" t="s">
        <v>328</v>
      </c>
      <c r="C43" t="s">
        <v>329</v>
      </c>
      <c r="D43">
        <v>85007565821</v>
      </c>
      <c r="E43">
        <v>45890</v>
      </c>
      <c r="F43">
        <v>45891</v>
      </c>
      <c r="G43">
        <v>23.38</v>
      </c>
      <c r="H43">
        <v>38.96</v>
      </c>
      <c r="I43" t="s">
        <v>330</v>
      </c>
      <c r="J43">
        <v>20</v>
      </c>
      <c r="K43" t="s">
        <v>48</v>
      </c>
      <c r="L43">
        <v>1</v>
      </c>
      <c r="M43">
        <v>0</v>
      </c>
      <c r="N43" t="s">
        <v>331</v>
      </c>
      <c r="O43" t="s">
        <v>78</v>
      </c>
      <c r="P43" t="s">
        <v>332</v>
      </c>
      <c r="Q43">
        <v>24</v>
      </c>
      <c r="R43">
        <v>561.12</v>
      </c>
      <c r="S43">
        <v>3</v>
      </c>
      <c r="T43">
        <v>122289</v>
      </c>
      <c r="U43" t="s">
        <v>298</v>
      </c>
      <c r="V43">
        <v>0</v>
      </c>
      <c r="W43" t="s">
        <v>339</v>
      </c>
      <c r="X43">
        <v>2</v>
      </c>
      <c r="Y43" t="s">
        <v>299</v>
      </c>
      <c r="Z43" t="s">
        <v>300</v>
      </c>
      <c r="AA43" t="s">
        <v>301</v>
      </c>
      <c r="AB43" t="s">
        <v>333</v>
      </c>
      <c r="AC43">
        <v>9379</v>
      </c>
      <c r="AD43">
        <v>225525460</v>
      </c>
      <c r="AE43">
        <v>6.8000000000000005E-2</v>
      </c>
      <c r="AF43">
        <v>0.96</v>
      </c>
      <c r="AG43">
        <v>9.5</v>
      </c>
      <c r="AH43">
        <v>3.1</v>
      </c>
      <c r="AI43">
        <v>4</v>
      </c>
      <c r="AJ43">
        <v>32.1</v>
      </c>
      <c r="AK43">
        <v>10.8</v>
      </c>
      <c r="AL43">
        <v>20.6</v>
      </c>
      <c r="AM43">
        <v>19.5</v>
      </c>
      <c r="AN43">
        <v>3.7</v>
      </c>
      <c r="AO43">
        <v>9.8000000000000007</v>
      </c>
      <c r="AP43">
        <v>9.8000000000000007</v>
      </c>
      <c r="AQ43">
        <v>4.5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</sheetData>
  <autoFilter ref="A39:AW41" xr:uid="{7F3A023F-2A58-4B10-A637-7F34414F58EC}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91E5-3291-453B-99B5-047D6F47239A}">
  <dimension ref="A1:J8"/>
  <sheetViews>
    <sheetView workbookViewId="0">
      <selection activeCell="M2" sqref="M2"/>
    </sheetView>
  </sheetViews>
  <sheetFormatPr defaultRowHeight="15.6"/>
  <cols>
    <col min="1" max="1" width="7.5" bestFit="1" customWidth="1"/>
    <col min="2" max="2" width="11.296875" bestFit="1" customWidth="1"/>
    <col min="3" max="3" width="10.19921875" bestFit="1" customWidth="1"/>
    <col min="4" max="4" width="8.09765625" bestFit="1" customWidth="1"/>
    <col min="5" max="5" width="12.3984375" bestFit="1" customWidth="1"/>
    <col min="6" max="6" width="11.296875" bestFit="1" customWidth="1"/>
    <col min="7" max="7" width="8.09765625" bestFit="1" customWidth="1"/>
    <col min="8" max="9" width="12.3984375" bestFit="1" customWidth="1"/>
    <col min="10" max="10" width="8.09765625" bestFit="1" customWidth="1"/>
  </cols>
  <sheetData>
    <row r="1" spans="1:10">
      <c r="A1" s="131"/>
      <c r="B1" s="155" t="s">
        <v>285</v>
      </c>
      <c r="C1" s="155"/>
      <c r="D1" s="156"/>
      <c r="E1" s="159" t="s">
        <v>286</v>
      </c>
      <c r="F1" s="160"/>
      <c r="G1" s="161"/>
      <c r="H1" s="165" t="s">
        <v>287</v>
      </c>
      <c r="I1" s="166"/>
      <c r="J1" s="167"/>
    </row>
    <row r="2" spans="1:10" ht="16.2" thickBot="1">
      <c r="A2" s="131"/>
      <c r="B2" s="157"/>
      <c r="C2" s="157"/>
      <c r="D2" s="158"/>
      <c r="E2" s="162"/>
      <c r="F2" s="163"/>
      <c r="G2" s="164"/>
      <c r="H2" s="168"/>
      <c r="I2" s="169"/>
      <c r="J2" s="170"/>
    </row>
    <row r="3" spans="1:10" ht="16.2" thickBot="1">
      <c r="A3" s="132"/>
      <c r="B3" s="133" t="s">
        <v>284</v>
      </c>
      <c r="C3" s="133" t="s">
        <v>89</v>
      </c>
      <c r="D3" s="134" t="s">
        <v>288</v>
      </c>
      <c r="E3" s="135" t="s">
        <v>284</v>
      </c>
      <c r="F3" s="135" t="s">
        <v>89</v>
      </c>
      <c r="G3" s="136" t="s">
        <v>288</v>
      </c>
      <c r="H3" s="137" t="s">
        <v>88</v>
      </c>
      <c r="I3" s="137" t="s">
        <v>89</v>
      </c>
      <c r="J3" s="137" t="s">
        <v>288</v>
      </c>
    </row>
    <row r="4" spans="1:10" ht="16.2" thickBot="1">
      <c r="A4" s="138" t="s">
        <v>289</v>
      </c>
      <c r="B4" s="139">
        <v>26765.97</v>
      </c>
      <c r="C4" s="139">
        <v>0</v>
      </c>
      <c r="D4" s="140">
        <v>1</v>
      </c>
      <c r="E4" s="139">
        <v>111742.03</v>
      </c>
      <c r="F4" s="139">
        <v>0</v>
      </c>
      <c r="G4" s="140">
        <v>1</v>
      </c>
      <c r="H4" s="139">
        <v>294294.53000000003</v>
      </c>
      <c r="I4" s="139">
        <v>0</v>
      </c>
      <c r="J4" s="140">
        <v>1</v>
      </c>
    </row>
    <row r="5" spans="1:10" ht="16.2" thickBot="1">
      <c r="A5" s="138" t="s">
        <v>290</v>
      </c>
      <c r="B5" s="141">
        <v>687</v>
      </c>
      <c r="C5" s="141">
        <v>0</v>
      </c>
      <c r="D5" s="140">
        <v>1</v>
      </c>
      <c r="E5" s="142">
        <v>2877</v>
      </c>
      <c r="F5" s="141">
        <v>0</v>
      </c>
      <c r="G5" s="140">
        <v>1</v>
      </c>
      <c r="H5" s="142">
        <v>7594</v>
      </c>
      <c r="I5" s="141">
        <v>0</v>
      </c>
      <c r="J5" s="140">
        <v>1</v>
      </c>
    </row>
    <row r="6" spans="1:10" ht="16.2" thickBot="1">
      <c r="A6" s="138" t="s">
        <v>291</v>
      </c>
      <c r="B6" s="145">
        <v>38.960655021834064</v>
      </c>
      <c r="C6" s="145">
        <v>0</v>
      </c>
      <c r="D6" s="140">
        <v>1</v>
      </c>
      <c r="E6" s="145">
        <v>38.839774070212023</v>
      </c>
      <c r="F6" s="145">
        <v>0</v>
      </c>
      <c r="G6" s="140">
        <v>1</v>
      </c>
      <c r="H6" s="145">
        <v>38.753559388991313</v>
      </c>
      <c r="I6" s="145">
        <v>0</v>
      </c>
      <c r="J6" s="140">
        <v>1</v>
      </c>
    </row>
    <row r="7" spans="1:10" ht="31.8" thickBot="1">
      <c r="A7" s="138" t="s">
        <v>292</v>
      </c>
      <c r="B7" s="139">
        <f>B4-B8</f>
        <v>25566</v>
      </c>
      <c r="C7" s="139">
        <v>0</v>
      </c>
      <c r="D7" s="140">
        <v>1</v>
      </c>
      <c r="E7" s="139">
        <f>E4-E8</f>
        <v>105097.44</v>
      </c>
      <c r="F7" s="139">
        <v>0</v>
      </c>
      <c r="G7" s="140">
        <v>1</v>
      </c>
      <c r="H7" s="139">
        <f>H4-H8</f>
        <v>283259.80000000005</v>
      </c>
      <c r="I7" s="139">
        <v>0</v>
      </c>
      <c r="J7" s="140">
        <v>1</v>
      </c>
    </row>
    <row r="8" spans="1:10" ht="16.2" thickBot="1">
      <c r="A8" s="138" t="s">
        <v>293</v>
      </c>
      <c r="B8" s="139">
        <v>1199.97</v>
      </c>
      <c r="C8" s="139">
        <v>0</v>
      </c>
      <c r="D8" s="144">
        <v>0</v>
      </c>
      <c r="E8" s="139">
        <v>6644.59</v>
      </c>
      <c r="F8" s="139">
        <v>0</v>
      </c>
      <c r="G8" s="144">
        <v>0</v>
      </c>
      <c r="H8" s="139">
        <v>11034.73</v>
      </c>
      <c r="I8" s="139">
        <v>0</v>
      </c>
      <c r="J8" s="144">
        <v>0</v>
      </c>
    </row>
  </sheetData>
  <mergeCells count="3">
    <mergeCell ref="B1:D2"/>
    <mergeCell ref="E1:G2"/>
    <mergeCell ref="H1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44A8-81F6-4606-885B-CFFF2338719B}">
  <dimension ref="A1:D5"/>
  <sheetViews>
    <sheetView workbookViewId="0">
      <selection activeCell="D6" sqref="D6"/>
    </sheetView>
  </sheetViews>
  <sheetFormatPr defaultRowHeight="15.6"/>
  <cols>
    <col min="1" max="1" width="19" customWidth="1"/>
    <col min="2" max="2" width="89.69921875" customWidth="1"/>
    <col min="3" max="3" width="14" bestFit="1" customWidth="1"/>
    <col min="4" max="4" width="14.3984375" customWidth="1"/>
  </cols>
  <sheetData>
    <row r="1" spans="1:4">
      <c r="A1" t="s">
        <v>325</v>
      </c>
      <c r="B1" t="s">
        <v>326</v>
      </c>
      <c r="C1" t="s">
        <v>4</v>
      </c>
      <c r="D1" t="s">
        <v>327</v>
      </c>
    </row>
    <row r="2" spans="1:4" ht="31.2">
      <c r="A2" t="s">
        <v>313</v>
      </c>
      <c r="B2" s="74" t="s">
        <v>321</v>
      </c>
      <c r="C2" t="s">
        <v>317</v>
      </c>
      <c r="D2" s="14">
        <v>0.99099999999999999</v>
      </c>
    </row>
    <row r="3" spans="1:4" ht="28.8" customHeight="1">
      <c r="A3" t="s">
        <v>316</v>
      </c>
      <c r="B3" s="74" t="s">
        <v>322</v>
      </c>
      <c r="C3" t="s">
        <v>320</v>
      </c>
      <c r="D3" s="14">
        <v>0.99099999999999999</v>
      </c>
    </row>
    <row r="4" spans="1:4" ht="31.2">
      <c r="A4" t="s">
        <v>314</v>
      </c>
      <c r="B4" s="74" t="s">
        <v>323</v>
      </c>
      <c r="C4" t="s">
        <v>318</v>
      </c>
      <c r="D4" s="14">
        <v>0.98</v>
      </c>
    </row>
    <row r="5" spans="1:4" ht="31.2">
      <c r="A5" t="s">
        <v>315</v>
      </c>
      <c r="B5" s="74" t="s">
        <v>324</v>
      </c>
      <c r="C5" t="s">
        <v>319</v>
      </c>
      <c r="D5" s="14">
        <v>0.97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928A1-8705-4A0B-8FBB-E4285F37E640}">
  <sheetPr codeName="Sheet14">
    <tabColor rgb="FF92D050"/>
  </sheetPr>
  <dimension ref="A1:BX7632"/>
  <sheetViews>
    <sheetView topLeftCell="H18" workbookViewId="0">
      <selection activeCell="D22" sqref="D22"/>
    </sheetView>
  </sheetViews>
  <sheetFormatPr defaultRowHeight="15.6"/>
  <cols>
    <col min="1" max="1" width="15.5" bestFit="1" customWidth="1"/>
    <col min="2" max="2" width="17.19921875" bestFit="1" customWidth="1"/>
    <col min="3" max="3" width="22.09765625" bestFit="1" customWidth="1"/>
    <col min="4" max="4" width="20.09765625" bestFit="1" customWidth="1"/>
    <col min="5" max="5" width="16" bestFit="1" customWidth="1"/>
    <col min="13" max="13" width="24.3984375" bestFit="1" customWidth="1"/>
    <col min="14" max="14" width="20.69921875" bestFit="1" customWidth="1"/>
    <col min="15" max="15" width="21.5" bestFit="1" customWidth="1"/>
    <col min="16" max="16" width="7.3984375" style="7" bestFit="1" customWidth="1"/>
    <col min="21" max="21" width="23.69921875" bestFit="1" customWidth="1"/>
    <col min="22" max="22" width="15.19921875" bestFit="1" customWidth="1"/>
    <col min="23" max="73" width="7.8984375" bestFit="1" customWidth="1"/>
    <col min="74" max="74" width="6.796875" bestFit="1" customWidth="1"/>
    <col min="75" max="75" width="6.8984375" bestFit="1" customWidth="1"/>
    <col min="76" max="76" width="10.8984375" bestFit="1" customWidth="1"/>
    <col min="77" max="78" width="8.8984375" bestFit="1" customWidth="1"/>
    <col min="79" max="80" width="9.8984375" bestFit="1" customWidth="1"/>
    <col min="81" max="82" width="8.8984375" bestFit="1" customWidth="1"/>
    <col min="83" max="86" width="9.8984375" bestFit="1" customWidth="1"/>
    <col min="87" max="87" width="8.8984375" bestFit="1" customWidth="1"/>
    <col min="88" max="91" width="9.8984375" bestFit="1" customWidth="1"/>
    <col min="92" max="92" width="8.8984375" bestFit="1" customWidth="1"/>
    <col min="93" max="99" width="9.8984375" bestFit="1" customWidth="1"/>
    <col min="100" max="100" width="8.8984375" bestFit="1" customWidth="1"/>
    <col min="101" max="112" width="9.8984375" bestFit="1" customWidth="1"/>
    <col min="113" max="113" width="8.8984375" bestFit="1" customWidth="1"/>
    <col min="114" max="115" width="9.8984375" bestFit="1" customWidth="1"/>
    <col min="116" max="118" width="8.8984375" bestFit="1" customWidth="1"/>
    <col min="119" max="120" width="9.8984375" bestFit="1" customWidth="1"/>
    <col min="121" max="123" width="8.8984375" bestFit="1" customWidth="1"/>
    <col min="124" max="124" width="9.8984375" bestFit="1" customWidth="1"/>
    <col min="125" max="125" width="8.8984375" bestFit="1" customWidth="1"/>
    <col min="126" max="126" width="11.8984375" bestFit="1" customWidth="1"/>
  </cols>
  <sheetData>
    <row r="1" spans="16:16">
      <c r="P1"/>
    </row>
    <row r="2" spans="16:16">
      <c r="P2"/>
    </row>
    <row r="3" spans="16:16">
      <c r="P3"/>
    </row>
    <row r="4" spans="16:16">
      <c r="P4"/>
    </row>
    <row r="5" spans="16:16">
      <c r="P5"/>
    </row>
    <row r="6" spans="16:16">
      <c r="P6"/>
    </row>
    <row r="7" spans="16:16">
      <c r="P7"/>
    </row>
    <row r="8" spans="16:16">
      <c r="P8"/>
    </row>
    <row r="9" spans="16:16">
      <c r="P9"/>
    </row>
    <row r="10" spans="16:16">
      <c r="P10"/>
    </row>
    <row r="11" spans="16:16">
      <c r="P11"/>
    </row>
    <row r="12" spans="16:16">
      <c r="P12"/>
    </row>
    <row r="13" spans="16:16">
      <c r="P13"/>
    </row>
    <row r="14" spans="16:16">
      <c r="P14"/>
    </row>
    <row r="15" spans="16:16">
      <c r="P15"/>
    </row>
    <row r="16" spans="16:16">
      <c r="P16"/>
    </row>
    <row r="17" spans="1:76">
      <c r="P17"/>
    </row>
    <row r="18" spans="1:76">
      <c r="P18"/>
    </row>
    <row r="19" spans="1:76" ht="15" customHeight="1">
      <c r="A19" s="72" t="s">
        <v>111</v>
      </c>
      <c r="B19" s="72" t="s">
        <v>109</v>
      </c>
      <c r="C19" s="72" t="s">
        <v>112</v>
      </c>
      <c r="D19" s="72" t="s">
        <v>113</v>
      </c>
      <c r="E19" s="72" t="s">
        <v>114</v>
      </c>
      <c r="F19" s="80" t="s">
        <v>214</v>
      </c>
      <c r="M19" s="75" t="s">
        <v>118</v>
      </c>
      <c r="P19"/>
      <c r="V19">
        <v>2</v>
      </c>
      <c r="W19">
        <v>3</v>
      </c>
      <c r="X19">
        <v>4</v>
      </c>
      <c r="Y19">
        <v>5</v>
      </c>
      <c r="Z19">
        <v>6</v>
      </c>
      <c r="AA19">
        <v>7</v>
      </c>
      <c r="AB19">
        <v>8</v>
      </c>
      <c r="AC19">
        <v>9</v>
      </c>
      <c r="AD19">
        <v>10</v>
      </c>
      <c r="AE19">
        <v>11</v>
      </c>
      <c r="AF19">
        <v>12</v>
      </c>
      <c r="AG19">
        <v>13</v>
      </c>
      <c r="AH19">
        <v>14</v>
      </c>
      <c r="AI19">
        <v>15</v>
      </c>
      <c r="AJ19">
        <v>16</v>
      </c>
      <c r="AK19">
        <v>17</v>
      </c>
      <c r="AL19">
        <v>18</v>
      </c>
      <c r="AM19">
        <v>19</v>
      </c>
      <c r="AN19">
        <v>20</v>
      </c>
      <c r="AO19">
        <v>21</v>
      </c>
      <c r="AP19">
        <v>22</v>
      </c>
      <c r="AQ19">
        <v>23</v>
      </c>
      <c r="AR19">
        <v>24</v>
      </c>
      <c r="AS19">
        <v>25</v>
      </c>
      <c r="AT19">
        <v>26</v>
      </c>
      <c r="AU19">
        <v>27</v>
      </c>
      <c r="AV19">
        <v>28</v>
      </c>
      <c r="AW19">
        <v>29</v>
      </c>
      <c r="AX19">
        <v>30</v>
      </c>
      <c r="AY19">
        <v>31</v>
      </c>
      <c r="AZ19">
        <v>32</v>
      </c>
      <c r="BA19">
        <v>33</v>
      </c>
      <c r="BB19">
        <v>34</v>
      </c>
      <c r="BC19">
        <v>35</v>
      </c>
      <c r="BD19">
        <v>36</v>
      </c>
      <c r="BE19">
        <v>37</v>
      </c>
      <c r="BF19">
        <v>38</v>
      </c>
      <c r="BG19">
        <v>39</v>
      </c>
      <c r="BH19">
        <v>40</v>
      </c>
      <c r="BI19">
        <v>41</v>
      </c>
      <c r="BJ19">
        <v>42</v>
      </c>
      <c r="BK19">
        <v>43</v>
      </c>
      <c r="BL19">
        <v>44</v>
      </c>
      <c r="BM19">
        <v>45</v>
      </c>
      <c r="BN19">
        <v>46</v>
      </c>
      <c r="BO19">
        <v>47</v>
      </c>
      <c r="BP19">
        <v>48</v>
      </c>
      <c r="BQ19">
        <v>49</v>
      </c>
      <c r="BR19">
        <v>50</v>
      </c>
      <c r="BS19">
        <v>51</v>
      </c>
      <c r="BT19">
        <v>52</v>
      </c>
      <c r="BU19">
        <v>53</v>
      </c>
      <c r="BV19">
        <v>54</v>
      </c>
      <c r="BW19">
        <v>55</v>
      </c>
      <c r="BX19">
        <v>56</v>
      </c>
    </row>
    <row r="20" spans="1:76">
      <c r="A20" t="s">
        <v>296</v>
      </c>
      <c r="B20">
        <v>677410826</v>
      </c>
      <c r="C20" t="s">
        <v>295</v>
      </c>
      <c r="D20">
        <v>202629</v>
      </c>
      <c r="E20">
        <v>678.77</v>
      </c>
      <c r="F20" t="str">
        <f>RIGHT(D20,2)</f>
        <v>29</v>
      </c>
      <c r="M20" s="75" t="s">
        <v>111</v>
      </c>
      <c r="N20" s="75" t="s">
        <v>109</v>
      </c>
      <c r="O20" s="75" t="s">
        <v>112</v>
      </c>
      <c r="P20" t="s">
        <v>119</v>
      </c>
      <c r="U20" s="75" t="s">
        <v>118</v>
      </c>
      <c r="V20" s="75" t="s">
        <v>213</v>
      </c>
    </row>
    <row r="21" spans="1:76">
      <c r="A21" t="s">
        <v>296</v>
      </c>
      <c r="B21">
        <v>677410826</v>
      </c>
      <c r="C21" t="s">
        <v>295</v>
      </c>
      <c r="D21">
        <v>202617</v>
      </c>
      <c r="E21">
        <v>620.19000000000005</v>
      </c>
      <c r="F21" t="str">
        <f t="shared" ref="F21:F84" si="0">RIGHT(D21,2)</f>
        <v>17</v>
      </c>
      <c r="M21" t="s">
        <v>116</v>
      </c>
      <c r="N21" t="s">
        <v>116</v>
      </c>
      <c r="O21" t="s">
        <v>116</v>
      </c>
      <c r="U21" s="75" t="s">
        <v>115</v>
      </c>
      <c r="V21" t="s">
        <v>215</v>
      </c>
      <c r="W21" t="s">
        <v>216</v>
      </c>
      <c r="X21" t="s">
        <v>217</v>
      </c>
      <c r="Y21" t="s">
        <v>218</v>
      </c>
      <c r="Z21" t="s">
        <v>219</v>
      </c>
      <c r="AA21" t="s">
        <v>220</v>
      </c>
      <c r="AB21" t="s">
        <v>221</v>
      </c>
      <c r="AC21" t="s">
        <v>222</v>
      </c>
      <c r="AD21" t="s">
        <v>223</v>
      </c>
      <c r="AE21" t="s">
        <v>224</v>
      </c>
      <c r="AF21" t="s">
        <v>225</v>
      </c>
      <c r="AG21" t="s">
        <v>226</v>
      </c>
      <c r="AH21" t="s">
        <v>227</v>
      </c>
      <c r="AI21" t="s">
        <v>228</v>
      </c>
      <c r="AJ21" t="s">
        <v>229</v>
      </c>
      <c r="AK21" t="s">
        <v>230</v>
      </c>
      <c r="AL21" t="s">
        <v>231</v>
      </c>
      <c r="AM21" t="s">
        <v>232</v>
      </c>
      <c r="AN21" t="s">
        <v>233</v>
      </c>
      <c r="AO21" t="s">
        <v>71</v>
      </c>
      <c r="AP21" t="s">
        <v>234</v>
      </c>
      <c r="AQ21" t="s">
        <v>235</v>
      </c>
      <c r="AR21" t="s">
        <v>236</v>
      </c>
      <c r="AS21" t="s">
        <v>237</v>
      </c>
      <c r="AT21" t="s">
        <v>238</v>
      </c>
      <c r="AU21" t="s">
        <v>239</v>
      </c>
      <c r="AV21" t="s">
        <v>240</v>
      </c>
      <c r="AW21" t="s">
        <v>241</v>
      </c>
      <c r="AX21" t="s">
        <v>242</v>
      </c>
      <c r="AY21" t="s">
        <v>243</v>
      </c>
      <c r="AZ21" t="s">
        <v>244</v>
      </c>
      <c r="BA21" t="s">
        <v>245</v>
      </c>
      <c r="BB21" t="s">
        <v>246</v>
      </c>
      <c r="BC21" t="s">
        <v>247</v>
      </c>
      <c r="BD21" t="s">
        <v>248</v>
      </c>
      <c r="BE21" t="s">
        <v>249</v>
      </c>
      <c r="BF21" t="s">
        <v>250</v>
      </c>
      <c r="BG21" t="s">
        <v>251</v>
      </c>
      <c r="BH21" t="s">
        <v>252</v>
      </c>
      <c r="BI21" t="s">
        <v>253</v>
      </c>
      <c r="BJ21" t="s">
        <v>254</v>
      </c>
      <c r="BK21" t="s">
        <v>255</v>
      </c>
      <c r="BL21" t="s">
        <v>256</v>
      </c>
      <c r="BM21" t="s">
        <v>257</v>
      </c>
      <c r="BN21" t="s">
        <v>258</v>
      </c>
      <c r="BO21" t="s">
        <v>259</v>
      </c>
      <c r="BP21" t="s">
        <v>260</v>
      </c>
      <c r="BQ21" t="s">
        <v>261</v>
      </c>
      <c r="BR21" t="s">
        <v>262</v>
      </c>
      <c r="BS21" t="s">
        <v>263</v>
      </c>
      <c r="BT21" t="s">
        <v>264</v>
      </c>
      <c r="BU21" t="s">
        <v>265</v>
      </c>
      <c r="BV21" t="s">
        <v>116</v>
      </c>
      <c r="BX21" t="s">
        <v>117</v>
      </c>
    </row>
    <row r="22" spans="1:76">
      <c r="A22" t="s">
        <v>296</v>
      </c>
      <c r="B22">
        <v>677410826</v>
      </c>
      <c r="C22" t="s">
        <v>295</v>
      </c>
      <c r="D22">
        <v>202722</v>
      </c>
      <c r="E22">
        <v>651.82000000000005</v>
      </c>
      <c r="F22" t="str">
        <f t="shared" si="0"/>
        <v>22</v>
      </c>
      <c r="M22" t="s">
        <v>296</v>
      </c>
      <c r="N22">
        <v>677410826</v>
      </c>
      <c r="O22" t="s">
        <v>295</v>
      </c>
      <c r="P22" s="7">
        <v>74787.170000000027</v>
      </c>
      <c r="U22" s="76" t="s">
        <v>116</v>
      </c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</row>
    <row r="23" spans="1:76">
      <c r="A23" t="s">
        <v>296</v>
      </c>
      <c r="B23">
        <v>677410826</v>
      </c>
      <c r="C23" t="s">
        <v>295</v>
      </c>
      <c r="D23">
        <v>202539</v>
      </c>
      <c r="E23">
        <v>737</v>
      </c>
      <c r="F23" t="str">
        <f t="shared" si="0"/>
        <v>39</v>
      </c>
      <c r="M23" t="s">
        <v>304</v>
      </c>
      <c r="N23">
        <v>677536463</v>
      </c>
      <c r="O23" t="s">
        <v>303</v>
      </c>
      <c r="P23" s="7">
        <v>74840.599999999977</v>
      </c>
      <c r="U23" s="76">
        <v>677410826</v>
      </c>
      <c r="V23" s="77">
        <v>1160.3800000000001</v>
      </c>
      <c r="W23" s="77">
        <v>1331.27</v>
      </c>
      <c r="X23" s="77">
        <v>1603.65</v>
      </c>
      <c r="Y23" s="77">
        <v>1828.2199999999998</v>
      </c>
      <c r="Z23" s="77">
        <v>1830.35</v>
      </c>
      <c r="AA23" s="77">
        <v>1625.9099999999999</v>
      </c>
      <c r="AB23" s="77">
        <v>1605.65</v>
      </c>
      <c r="AC23" s="77">
        <v>1579.0900000000001</v>
      </c>
      <c r="AD23" s="77">
        <v>1562.92</v>
      </c>
      <c r="AE23" s="77">
        <v>1492.85</v>
      </c>
      <c r="AF23" s="77">
        <v>1460.1799999999998</v>
      </c>
      <c r="AG23" s="77">
        <v>1371.42</v>
      </c>
      <c r="AH23" s="77">
        <v>1411.15</v>
      </c>
      <c r="AI23" s="77">
        <v>1314.38</v>
      </c>
      <c r="AJ23" s="77">
        <v>1286.22</v>
      </c>
      <c r="AK23" s="77">
        <v>1277.6500000000001</v>
      </c>
      <c r="AL23" s="77">
        <v>1240.1199999999999</v>
      </c>
      <c r="AM23" s="77">
        <v>1338.88</v>
      </c>
      <c r="AN23" s="77">
        <v>1306.26</v>
      </c>
      <c r="AO23" s="77">
        <v>1358.6100000000001</v>
      </c>
      <c r="AP23" s="77">
        <v>1358.6100000000001</v>
      </c>
      <c r="AQ23" s="77">
        <v>1304.0999999999999</v>
      </c>
      <c r="AR23" s="77">
        <v>1299.8900000000001</v>
      </c>
      <c r="AS23" s="77">
        <v>1300.6199999999999</v>
      </c>
      <c r="AT23" s="77">
        <v>1296.68</v>
      </c>
      <c r="AU23" s="77">
        <v>1337.52</v>
      </c>
      <c r="AV23" s="77">
        <v>1330.4099999999999</v>
      </c>
      <c r="AW23" s="77">
        <v>1374.86</v>
      </c>
      <c r="AX23" s="77">
        <v>1356.8400000000001</v>
      </c>
      <c r="AY23" s="77">
        <v>1319.98</v>
      </c>
      <c r="AZ23" s="77">
        <v>1245.1100000000001</v>
      </c>
      <c r="BA23" s="77">
        <v>1348.54</v>
      </c>
      <c r="BB23" s="77">
        <v>1472.72</v>
      </c>
      <c r="BC23" s="77">
        <v>1395.82</v>
      </c>
      <c r="BD23" s="77">
        <v>1533.55</v>
      </c>
      <c r="BE23" s="77">
        <v>1390.35</v>
      </c>
      <c r="BF23" s="77">
        <v>1423.7800000000002</v>
      </c>
      <c r="BG23" s="77">
        <v>1433.92</v>
      </c>
      <c r="BH23" s="77">
        <v>1473.25</v>
      </c>
      <c r="BI23" s="77">
        <v>1498.24</v>
      </c>
      <c r="BJ23" s="77">
        <v>1504.8400000000001</v>
      </c>
      <c r="BK23" s="77">
        <v>1408.22</v>
      </c>
      <c r="BL23" s="77">
        <v>1243.53</v>
      </c>
      <c r="BM23" s="77">
        <v>1543.8600000000001</v>
      </c>
      <c r="BN23" s="77">
        <v>1700.1399999999999</v>
      </c>
      <c r="BO23" s="77">
        <v>2214.56</v>
      </c>
      <c r="BP23" s="77">
        <v>2203.16</v>
      </c>
      <c r="BQ23" s="77">
        <v>1531.5300000000002</v>
      </c>
      <c r="BR23" s="77">
        <v>1450.65</v>
      </c>
      <c r="BS23" s="77">
        <v>1287.48</v>
      </c>
      <c r="BT23" s="77">
        <v>1043.52</v>
      </c>
      <c r="BU23" s="77">
        <v>1175.73</v>
      </c>
      <c r="BV23" s="77"/>
      <c r="BW23" s="77"/>
      <c r="BX23" s="77">
        <v>74787.17</v>
      </c>
    </row>
    <row r="24" spans="1:76">
      <c r="A24" t="s">
        <v>296</v>
      </c>
      <c r="B24">
        <v>677410826</v>
      </c>
      <c r="C24" t="s">
        <v>295</v>
      </c>
      <c r="D24">
        <v>202704</v>
      </c>
      <c r="E24">
        <v>914.67</v>
      </c>
      <c r="F24" t="str">
        <f t="shared" si="0"/>
        <v>04</v>
      </c>
      <c r="M24" t="s">
        <v>117</v>
      </c>
      <c r="P24" s="7">
        <v>149627.77000000002</v>
      </c>
      <c r="U24" s="76">
        <v>677536463</v>
      </c>
      <c r="V24" s="77">
        <v>1071.8399999999999</v>
      </c>
      <c r="W24" s="77">
        <v>1158.21</v>
      </c>
      <c r="X24" s="77">
        <v>1462.58</v>
      </c>
      <c r="Y24" s="77">
        <v>1863.85</v>
      </c>
      <c r="Z24" s="77">
        <v>1753.79</v>
      </c>
      <c r="AA24" s="77">
        <v>1625.82</v>
      </c>
      <c r="AB24" s="77">
        <v>1635.4499999999998</v>
      </c>
      <c r="AC24" s="77">
        <v>1644.69</v>
      </c>
      <c r="AD24" s="77">
        <v>1585.7600000000002</v>
      </c>
      <c r="AE24" s="77">
        <v>1509.54</v>
      </c>
      <c r="AF24" s="77">
        <v>1499.35</v>
      </c>
      <c r="AG24" s="77">
        <v>1398.4099999999999</v>
      </c>
      <c r="AH24" s="77">
        <v>1411.07</v>
      </c>
      <c r="AI24" s="77">
        <v>1267.76</v>
      </c>
      <c r="AJ24" s="77">
        <v>1234.27</v>
      </c>
      <c r="AK24" s="77">
        <v>1166.51</v>
      </c>
      <c r="AL24" s="77">
        <v>1084.74</v>
      </c>
      <c r="AM24" s="77">
        <v>1178.1300000000001</v>
      </c>
      <c r="AN24" s="77">
        <v>1205.8699999999999</v>
      </c>
      <c r="AO24" s="77">
        <v>1247.79</v>
      </c>
      <c r="AP24" s="77">
        <v>1247.79</v>
      </c>
      <c r="AQ24" s="77">
        <v>1212.74</v>
      </c>
      <c r="AR24" s="77">
        <v>1213.9000000000001</v>
      </c>
      <c r="AS24" s="77">
        <v>1201.97</v>
      </c>
      <c r="AT24" s="77">
        <v>1236.6399999999999</v>
      </c>
      <c r="AU24" s="77">
        <v>1338.51</v>
      </c>
      <c r="AV24" s="77">
        <v>1351.23</v>
      </c>
      <c r="AW24" s="77">
        <v>1481.69</v>
      </c>
      <c r="AX24" s="77">
        <v>1338.06</v>
      </c>
      <c r="AY24" s="77">
        <v>1304.04</v>
      </c>
      <c r="AZ24" s="77">
        <v>1215.17</v>
      </c>
      <c r="BA24" s="77">
        <v>1325.2399999999998</v>
      </c>
      <c r="BB24" s="77">
        <v>1459.0900000000001</v>
      </c>
      <c r="BC24" s="77">
        <v>1541.03</v>
      </c>
      <c r="BD24" s="77">
        <v>1679.1399999999999</v>
      </c>
      <c r="BE24" s="77">
        <v>1516.94</v>
      </c>
      <c r="BF24" s="77">
        <v>1494</v>
      </c>
      <c r="BG24" s="77">
        <v>1457.7800000000002</v>
      </c>
      <c r="BH24" s="77">
        <v>1573.19</v>
      </c>
      <c r="BI24" s="77">
        <v>1546.06</v>
      </c>
      <c r="BJ24" s="77">
        <v>1516.1</v>
      </c>
      <c r="BK24" s="77">
        <v>1459.3000000000002</v>
      </c>
      <c r="BL24" s="77">
        <v>1259.8899999999999</v>
      </c>
      <c r="BM24" s="77">
        <v>1640.42</v>
      </c>
      <c r="BN24" s="77">
        <v>1860.19</v>
      </c>
      <c r="BO24" s="77">
        <v>2460.33</v>
      </c>
      <c r="BP24" s="77">
        <v>2534.4499999999998</v>
      </c>
      <c r="BQ24" s="77">
        <v>1546.37</v>
      </c>
      <c r="BR24" s="77">
        <v>1373.72</v>
      </c>
      <c r="BS24" s="77">
        <v>1274.33</v>
      </c>
      <c r="BT24" s="77">
        <v>1062.06</v>
      </c>
      <c r="BU24" s="77">
        <v>1113.8</v>
      </c>
      <c r="BV24" s="77"/>
      <c r="BW24" s="77"/>
      <c r="BX24" s="77">
        <v>74840.599999999991</v>
      </c>
    </row>
    <row r="25" spans="1:76">
      <c r="A25" t="s">
        <v>296</v>
      </c>
      <c r="B25">
        <v>677410826</v>
      </c>
      <c r="C25" t="s">
        <v>295</v>
      </c>
      <c r="D25">
        <v>202702</v>
      </c>
      <c r="E25">
        <v>666.85</v>
      </c>
      <c r="F25" t="str">
        <f t="shared" si="0"/>
        <v>02</v>
      </c>
      <c r="P25"/>
      <c r="U25" s="76" t="s">
        <v>117</v>
      </c>
      <c r="V25" s="77">
        <v>2232.2200000000003</v>
      </c>
      <c r="W25" s="77">
        <v>2489.48</v>
      </c>
      <c r="X25" s="77">
        <v>3066.23</v>
      </c>
      <c r="Y25" s="77">
        <v>3692.0699999999997</v>
      </c>
      <c r="Z25" s="77">
        <v>3584.14</v>
      </c>
      <c r="AA25" s="77">
        <v>3251.7299999999996</v>
      </c>
      <c r="AB25" s="77">
        <v>3241.1</v>
      </c>
      <c r="AC25" s="77">
        <v>3223.78</v>
      </c>
      <c r="AD25" s="77">
        <v>3148.6800000000003</v>
      </c>
      <c r="AE25" s="77">
        <v>3002.39</v>
      </c>
      <c r="AF25" s="77">
        <v>2959.5299999999997</v>
      </c>
      <c r="AG25" s="77">
        <v>2769.83</v>
      </c>
      <c r="AH25" s="77">
        <v>2822.2200000000003</v>
      </c>
      <c r="AI25" s="77">
        <v>2582.1400000000003</v>
      </c>
      <c r="AJ25" s="77">
        <v>2520.4899999999998</v>
      </c>
      <c r="AK25" s="77">
        <v>2444.16</v>
      </c>
      <c r="AL25" s="77">
        <v>2324.8599999999997</v>
      </c>
      <c r="AM25" s="77">
        <v>2517.0100000000002</v>
      </c>
      <c r="AN25" s="77">
        <v>2512.13</v>
      </c>
      <c r="AO25" s="77">
        <v>2606.4</v>
      </c>
      <c r="AP25" s="77">
        <v>2606.4</v>
      </c>
      <c r="AQ25" s="77">
        <v>2516.84</v>
      </c>
      <c r="AR25" s="77">
        <v>2513.79</v>
      </c>
      <c r="AS25" s="77">
        <v>2502.59</v>
      </c>
      <c r="AT25" s="77">
        <v>2533.3199999999997</v>
      </c>
      <c r="AU25" s="77">
        <v>2676.0299999999997</v>
      </c>
      <c r="AV25" s="77">
        <v>2681.64</v>
      </c>
      <c r="AW25" s="77">
        <v>2856.55</v>
      </c>
      <c r="AX25" s="77">
        <v>2694.9</v>
      </c>
      <c r="AY25" s="77">
        <v>2624.02</v>
      </c>
      <c r="AZ25" s="77">
        <v>2460.2800000000002</v>
      </c>
      <c r="BA25" s="77">
        <v>2673.7799999999997</v>
      </c>
      <c r="BB25" s="77">
        <v>2931.8100000000004</v>
      </c>
      <c r="BC25" s="77">
        <v>2936.85</v>
      </c>
      <c r="BD25" s="77">
        <v>3212.6899999999996</v>
      </c>
      <c r="BE25" s="77">
        <v>2907.29</v>
      </c>
      <c r="BF25" s="77">
        <v>2917.78</v>
      </c>
      <c r="BG25" s="77">
        <v>2891.7000000000003</v>
      </c>
      <c r="BH25" s="77">
        <v>3046.44</v>
      </c>
      <c r="BI25" s="77">
        <v>3044.3</v>
      </c>
      <c r="BJ25" s="77">
        <v>3020.94</v>
      </c>
      <c r="BK25" s="77">
        <v>2867.5200000000004</v>
      </c>
      <c r="BL25" s="77">
        <v>2503.42</v>
      </c>
      <c r="BM25" s="77">
        <v>3184.28</v>
      </c>
      <c r="BN25" s="77">
        <v>3560.33</v>
      </c>
      <c r="BO25" s="77">
        <v>4674.8899999999994</v>
      </c>
      <c r="BP25" s="77">
        <v>4737.6099999999997</v>
      </c>
      <c r="BQ25" s="77">
        <v>3077.9</v>
      </c>
      <c r="BR25" s="77">
        <v>2824.37</v>
      </c>
      <c r="BS25" s="77">
        <v>2561.81</v>
      </c>
      <c r="BT25" s="77">
        <v>2105.58</v>
      </c>
      <c r="BU25" s="77">
        <v>2289.5299999999997</v>
      </c>
      <c r="BV25" s="77"/>
      <c r="BW25" s="77"/>
      <c r="BX25" s="77">
        <v>149627.76999999999</v>
      </c>
    </row>
    <row r="26" spans="1:76">
      <c r="A26" t="s">
        <v>296</v>
      </c>
      <c r="B26">
        <v>677410826</v>
      </c>
      <c r="C26" t="s">
        <v>295</v>
      </c>
      <c r="D26">
        <v>202548</v>
      </c>
      <c r="E26">
        <v>766.33</v>
      </c>
      <c r="F26" t="str">
        <f t="shared" si="0"/>
        <v>48</v>
      </c>
      <c r="P26"/>
    </row>
    <row r="27" spans="1:76">
      <c r="A27" t="s">
        <v>296</v>
      </c>
      <c r="B27">
        <v>677410826</v>
      </c>
      <c r="C27" t="s">
        <v>295</v>
      </c>
      <c r="D27">
        <v>202533</v>
      </c>
      <c r="E27">
        <v>740.07</v>
      </c>
      <c r="F27" t="str">
        <f t="shared" si="0"/>
        <v>33</v>
      </c>
      <c r="P27"/>
    </row>
    <row r="28" spans="1:76">
      <c r="A28" t="s">
        <v>296</v>
      </c>
      <c r="B28">
        <v>677410826</v>
      </c>
      <c r="C28" t="s">
        <v>295</v>
      </c>
      <c r="D28">
        <v>202625</v>
      </c>
      <c r="E28">
        <v>648.6</v>
      </c>
      <c r="F28" t="str">
        <f t="shared" si="0"/>
        <v>25</v>
      </c>
      <c r="P28"/>
    </row>
    <row r="29" spans="1:76">
      <c r="A29" t="s">
        <v>296</v>
      </c>
      <c r="B29">
        <v>677410826</v>
      </c>
      <c r="C29" t="s">
        <v>295</v>
      </c>
      <c r="D29">
        <v>202703</v>
      </c>
      <c r="E29">
        <v>801.92</v>
      </c>
      <c r="F29" t="str">
        <f t="shared" si="0"/>
        <v>03</v>
      </c>
      <c r="P29"/>
    </row>
    <row r="30" spans="1:76">
      <c r="A30" t="s">
        <v>296</v>
      </c>
      <c r="B30">
        <v>677410826</v>
      </c>
      <c r="C30" t="s">
        <v>295</v>
      </c>
      <c r="D30">
        <v>202552</v>
      </c>
      <c r="E30">
        <v>588.29999999999995</v>
      </c>
      <c r="F30" t="str">
        <f t="shared" si="0"/>
        <v>52</v>
      </c>
      <c r="P30"/>
    </row>
    <row r="31" spans="1:76">
      <c r="A31" t="s">
        <v>296</v>
      </c>
      <c r="B31">
        <v>677410826</v>
      </c>
      <c r="C31" t="s">
        <v>295</v>
      </c>
      <c r="D31">
        <v>202726</v>
      </c>
      <c r="E31">
        <v>668.51</v>
      </c>
      <c r="F31" t="str">
        <f t="shared" si="0"/>
        <v>26</v>
      </c>
      <c r="P31"/>
    </row>
    <row r="32" spans="1:76">
      <c r="A32" t="s">
        <v>296</v>
      </c>
      <c r="B32">
        <v>677410826</v>
      </c>
      <c r="C32" t="s">
        <v>295</v>
      </c>
      <c r="D32">
        <v>202601</v>
      </c>
      <c r="E32">
        <v>580.77</v>
      </c>
      <c r="F32" t="str">
        <f t="shared" si="0"/>
        <v>01</v>
      </c>
      <c r="P32"/>
    </row>
    <row r="33" spans="1:16">
      <c r="A33" t="s">
        <v>296</v>
      </c>
      <c r="B33">
        <v>677410826</v>
      </c>
      <c r="C33" t="s">
        <v>295</v>
      </c>
      <c r="D33">
        <v>202711</v>
      </c>
      <c r="E33">
        <v>730.64</v>
      </c>
      <c r="F33" t="str">
        <f t="shared" si="0"/>
        <v>11</v>
      </c>
      <c r="P33"/>
    </row>
    <row r="34" spans="1:16">
      <c r="A34" t="s">
        <v>296</v>
      </c>
      <c r="B34">
        <v>677410826</v>
      </c>
      <c r="C34" t="s">
        <v>295</v>
      </c>
      <c r="D34">
        <v>202622</v>
      </c>
      <c r="E34">
        <v>652.28</v>
      </c>
      <c r="F34" t="str">
        <f t="shared" si="0"/>
        <v>22</v>
      </c>
      <c r="P34"/>
    </row>
    <row r="35" spans="1:16">
      <c r="A35" t="s">
        <v>296</v>
      </c>
      <c r="B35">
        <v>677410826</v>
      </c>
      <c r="C35" t="s">
        <v>295</v>
      </c>
      <c r="D35">
        <v>202636</v>
      </c>
      <c r="E35">
        <v>693.34</v>
      </c>
      <c r="F35" t="str">
        <f t="shared" si="0"/>
        <v>36</v>
      </c>
      <c r="P35"/>
    </row>
    <row r="36" spans="1:16">
      <c r="A36" t="s">
        <v>296</v>
      </c>
      <c r="B36">
        <v>677410826</v>
      </c>
      <c r="C36" t="s">
        <v>295</v>
      </c>
      <c r="D36">
        <v>202645</v>
      </c>
      <c r="E36">
        <v>849.93</v>
      </c>
      <c r="F36" t="str">
        <f t="shared" si="0"/>
        <v>45</v>
      </c>
      <c r="P36"/>
    </row>
    <row r="37" spans="1:16">
      <c r="A37" t="s">
        <v>296</v>
      </c>
      <c r="B37">
        <v>677410826</v>
      </c>
      <c r="C37" t="s">
        <v>295</v>
      </c>
      <c r="D37">
        <v>202717</v>
      </c>
      <c r="E37">
        <v>619.92999999999995</v>
      </c>
      <c r="F37" t="str">
        <f t="shared" si="0"/>
        <v>17</v>
      </c>
      <c r="P37"/>
    </row>
    <row r="38" spans="1:16">
      <c r="A38" t="s">
        <v>296</v>
      </c>
      <c r="B38">
        <v>677410826</v>
      </c>
      <c r="C38" t="s">
        <v>295</v>
      </c>
      <c r="D38">
        <v>202647</v>
      </c>
      <c r="E38">
        <v>1100.58</v>
      </c>
      <c r="F38" t="str">
        <f t="shared" si="0"/>
        <v>47</v>
      </c>
      <c r="P38"/>
    </row>
    <row r="39" spans="1:16">
      <c r="A39" t="s">
        <v>296</v>
      </c>
      <c r="B39">
        <v>677410826</v>
      </c>
      <c r="C39" t="s">
        <v>295</v>
      </c>
      <c r="D39">
        <v>202637</v>
      </c>
      <c r="E39">
        <v>711.09</v>
      </c>
      <c r="F39" t="str">
        <f t="shared" si="0"/>
        <v>37</v>
      </c>
      <c r="P39"/>
    </row>
    <row r="40" spans="1:16">
      <c r="A40" t="s">
        <v>296</v>
      </c>
      <c r="B40">
        <v>677410826</v>
      </c>
      <c r="C40" t="s">
        <v>295</v>
      </c>
      <c r="D40">
        <v>202642</v>
      </c>
      <c r="E40">
        <v>703.73</v>
      </c>
      <c r="F40" t="str">
        <f t="shared" si="0"/>
        <v>42</v>
      </c>
      <c r="P40"/>
    </row>
    <row r="41" spans="1:16">
      <c r="A41" t="s">
        <v>296</v>
      </c>
      <c r="B41">
        <v>677410826</v>
      </c>
      <c r="C41" t="s">
        <v>295</v>
      </c>
      <c r="D41">
        <v>202720</v>
      </c>
      <c r="E41">
        <v>678.96</v>
      </c>
      <c r="F41" t="str">
        <f t="shared" si="0"/>
        <v>20</v>
      </c>
      <c r="P41"/>
    </row>
    <row r="42" spans="1:16">
      <c r="A42" t="s">
        <v>296</v>
      </c>
      <c r="B42">
        <v>677410826</v>
      </c>
      <c r="C42" t="s">
        <v>295</v>
      </c>
      <c r="D42">
        <v>202602</v>
      </c>
      <c r="E42">
        <v>664.42</v>
      </c>
      <c r="F42" t="str">
        <f t="shared" si="0"/>
        <v>02</v>
      </c>
      <c r="P42"/>
    </row>
    <row r="43" spans="1:16">
      <c r="A43" t="s">
        <v>296</v>
      </c>
      <c r="B43">
        <v>677410826</v>
      </c>
      <c r="C43" t="s">
        <v>295</v>
      </c>
      <c r="D43">
        <v>202618</v>
      </c>
      <c r="E43">
        <v>669.63</v>
      </c>
      <c r="F43" t="str">
        <f t="shared" si="0"/>
        <v>18</v>
      </c>
      <c r="P43"/>
    </row>
    <row r="44" spans="1:16">
      <c r="A44" t="s">
        <v>296</v>
      </c>
      <c r="B44">
        <v>677410826</v>
      </c>
      <c r="C44" t="s">
        <v>295</v>
      </c>
      <c r="D44">
        <v>202650</v>
      </c>
      <c r="E44">
        <v>642.79999999999995</v>
      </c>
      <c r="F44" t="str">
        <f t="shared" si="0"/>
        <v>50</v>
      </c>
      <c r="P44"/>
    </row>
    <row r="45" spans="1:16">
      <c r="A45" t="s">
        <v>296</v>
      </c>
      <c r="B45">
        <v>677410826</v>
      </c>
      <c r="C45" t="s">
        <v>295</v>
      </c>
      <c r="D45">
        <v>202538</v>
      </c>
      <c r="E45">
        <v>717.61</v>
      </c>
      <c r="F45" t="str">
        <f t="shared" si="0"/>
        <v>38</v>
      </c>
      <c r="P45"/>
    </row>
    <row r="46" spans="1:16">
      <c r="A46" t="s">
        <v>296</v>
      </c>
      <c r="B46">
        <v>677410826</v>
      </c>
      <c r="C46" t="s">
        <v>295</v>
      </c>
      <c r="D46">
        <v>202640</v>
      </c>
      <c r="E46">
        <v>748.8</v>
      </c>
      <c r="F46" t="str">
        <f t="shared" si="0"/>
        <v>40</v>
      </c>
    </row>
    <row r="47" spans="1:16">
      <c r="A47" t="s">
        <v>296</v>
      </c>
      <c r="B47">
        <v>677410826</v>
      </c>
      <c r="C47" t="s">
        <v>295</v>
      </c>
      <c r="D47">
        <v>202705</v>
      </c>
      <c r="E47">
        <v>915.95</v>
      </c>
      <c r="F47" t="str">
        <f t="shared" si="0"/>
        <v>05</v>
      </c>
    </row>
    <row r="48" spans="1:16">
      <c r="A48" t="s">
        <v>296</v>
      </c>
      <c r="B48">
        <v>677410826</v>
      </c>
      <c r="C48" t="s">
        <v>295</v>
      </c>
      <c r="D48">
        <v>202708</v>
      </c>
      <c r="E48">
        <v>789.49</v>
      </c>
      <c r="F48" t="str">
        <f t="shared" si="0"/>
        <v>08</v>
      </c>
    </row>
    <row r="49" spans="1:6">
      <c r="A49" t="s">
        <v>296</v>
      </c>
      <c r="B49">
        <v>677410826</v>
      </c>
      <c r="C49" t="s">
        <v>295</v>
      </c>
      <c r="D49">
        <v>202543</v>
      </c>
      <c r="E49">
        <v>622.02</v>
      </c>
      <c r="F49" t="str">
        <f t="shared" si="0"/>
        <v>43</v>
      </c>
    </row>
    <row r="50" spans="1:6">
      <c r="A50" t="s">
        <v>296</v>
      </c>
      <c r="B50">
        <v>677410826</v>
      </c>
      <c r="C50" t="s">
        <v>295</v>
      </c>
      <c r="D50">
        <v>202632</v>
      </c>
      <c r="E50">
        <v>618.35</v>
      </c>
      <c r="F50" t="str">
        <f t="shared" si="0"/>
        <v>32</v>
      </c>
    </row>
    <row r="51" spans="1:6">
      <c r="A51" t="s">
        <v>296</v>
      </c>
      <c r="B51">
        <v>677410826</v>
      </c>
      <c r="C51" t="s">
        <v>295</v>
      </c>
      <c r="D51">
        <v>202709</v>
      </c>
      <c r="E51">
        <v>781.63</v>
      </c>
      <c r="F51" t="str">
        <f t="shared" si="0"/>
        <v>09</v>
      </c>
    </row>
    <row r="52" spans="1:6">
      <c r="A52" t="s">
        <v>296</v>
      </c>
      <c r="B52">
        <v>677410826</v>
      </c>
      <c r="C52" t="s">
        <v>295</v>
      </c>
      <c r="D52">
        <v>202713</v>
      </c>
      <c r="E52">
        <v>705.95</v>
      </c>
      <c r="F52" t="str">
        <f t="shared" si="0"/>
        <v>13</v>
      </c>
    </row>
    <row r="53" spans="1:6">
      <c r="A53" t="s">
        <v>296</v>
      </c>
      <c r="B53">
        <v>677410826</v>
      </c>
      <c r="C53" t="s">
        <v>295</v>
      </c>
      <c r="D53">
        <v>202643</v>
      </c>
      <c r="E53">
        <v>621.51</v>
      </c>
      <c r="F53" t="str">
        <f t="shared" si="0"/>
        <v>43</v>
      </c>
    </row>
    <row r="54" spans="1:6">
      <c r="A54" t="s">
        <v>296</v>
      </c>
      <c r="B54">
        <v>677410826</v>
      </c>
      <c r="C54" t="s">
        <v>295</v>
      </c>
      <c r="D54">
        <v>202715</v>
      </c>
      <c r="E54">
        <v>642.96</v>
      </c>
      <c r="F54" t="str">
        <f t="shared" si="0"/>
        <v>15</v>
      </c>
    </row>
    <row r="55" spans="1:6">
      <c r="A55" t="s">
        <v>296</v>
      </c>
      <c r="B55">
        <v>677410826</v>
      </c>
      <c r="C55" t="s">
        <v>295</v>
      </c>
      <c r="D55">
        <v>202719</v>
      </c>
      <c r="E55">
        <v>652.86</v>
      </c>
      <c r="F55" t="str">
        <f t="shared" si="0"/>
        <v>19</v>
      </c>
    </row>
    <row r="56" spans="1:6">
      <c r="A56" t="s">
        <v>296</v>
      </c>
      <c r="B56">
        <v>677410826</v>
      </c>
      <c r="C56" t="s">
        <v>295</v>
      </c>
      <c r="D56">
        <v>202649</v>
      </c>
      <c r="E56">
        <v>724.61</v>
      </c>
      <c r="F56" t="str">
        <f t="shared" si="0"/>
        <v>49</v>
      </c>
    </row>
    <row r="57" spans="1:6">
      <c r="A57" t="s">
        <v>296</v>
      </c>
      <c r="B57">
        <v>677410826</v>
      </c>
      <c r="C57" t="s">
        <v>295</v>
      </c>
      <c r="D57">
        <v>202537</v>
      </c>
      <c r="E57">
        <v>712.69</v>
      </c>
      <c r="F57" t="str">
        <f t="shared" si="0"/>
        <v>37</v>
      </c>
    </row>
    <row r="58" spans="1:6">
      <c r="A58" t="s">
        <v>296</v>
      </c>
      <c r="B58">
        <v>677410826</v>
      </c>
      <c r="C58" t="s">
        <v>295</v>
      </c>
      <c r="D58">
        <v>202549</v>
      </c>
      <c r="E58">
        <v>726.04</v>
      </c>
      <c r="F58" t="str">
        <f t="shared" si="0"/>
        <v>49</v>
      </c>
    </row>
    <row r="59" spans="1:6">
      <c r="A59" t="s">
        <v>296</v>
      </c>
      <c r="B59">
        <v>677410826</v>
      </c>
      <c r="C59" t="s">
        <v>295</v>
      </c>
      <c r="D59">
        <v>202701</v>
      </c>
      <c r="E59">
        <v>579.61</v>
      </c>
      <c r="F59" t="str">
        <f t="shared" si="0"/>
        <v>01</v>
      </c>
    </row>
    <row r="60" spans="1:6">
      <c r="A60" t="s">
        <v>296</v>
      </c>
      <c r="B60">
        <v>677410826</v>
      </c>
      <c r="C60" t="s">
        <v>295</v>
      </c>
      <c r="D60">
        <v>202547</v>
      </c>
      <c r="E60">
        <v>1102.58</v>
      </c>
      <c r="F60" t="str">
        <f t="shared" si="0"/>
        <v>47</v>
      </c>
    </row>
    <row r="61" spans="1:6">
      <c r="A61" t="s">
        <v>296</v>
      </c>
      <c r="B61">
        <v>677410826</v>
      </c>
      <c r="C61" t="s">
        <v>295</v>
      </c>
      <c r="D61">
        <v>202604</v>
      </c>
      <c r="E61">
        <v>913.55</v>
      </c>
      <c r="F61" t="str">
        <f t="shared" si="0"/>
        <v>04</v>
      </c>
    </row>
    <row r="62" spans="1:6">
      <c r="A62" t="s">
        <v>296</v>
      </c>
      <c r="B62">
        <v>677410826</v>
      </c>
      <c r="C62" t="s">
        <v>295</v>
      </c>
      <c r="D62">
        <v>202721</v>
      </c>
      <c r="E62">
        <v>678.96</v>
      </c>
      <c r="F62" t="str">
        <f t="shared" si="0"/>
        <v>21</v>
      </c>
    </row>
    <row r="63" spans="1:6">
      <c r="A63" t="s">
        <v>296</v>
      </c>
      <c r="B63">
        <v>677410826</v>
      </c>
      <c r="C63" t="s">
        <v>295</v>
      </c>
      <c r="D63">
        <v>202535</v>
      </c>
      <c r="E63">
        <v>769.15</v>
      </c>
      <c r="F63" t="str">
        <f t="shared" si="0"/>
        <v>35</v>
      </c>
    </row>
    <row r="64" spans="1:6">
      <c r="A64" t="s">
        <v>296</v>
      </c>
      <c r="B64">
        <v>677410826</v>
      </c>
      <c r="C64" t="s">
        <v>295</v>
      </c>
      <c r="D64">
        <v>202616</v>
      </c>
      <c r="E64">
        <v>639.05999999999995</v>
      </c>
      <c r="F64" t="str">
        <f t="shared" si="0"/>
        <v>16</v>
      </c>
    </row>
    <row r="65" spans="1:6">
      <c r="A65" t="s">
        <v>296</v>
      </c>
      <c r="B65">
        <v>677410826</v>
      </c>
      <c r="C65" t="s">
        <v>295</v>
      </c>
      <c r="D65">
        <v>202716</v>
      </c>
      <c r="E65">
        <v>638.59</v>
      </c>
      <c r="F65" t="str">
        <f t="shared" si="0"/>
        <v>16</v>
      </c>
    </row>
    <row r="66" spans="1:6">
      <c r="A66" t="s">
        <v>296</v>
      </c>
      <c r="B66">
        <v>677410826</v>
      </c>
      <c r="C66" t="s">
        <v>295</v>
      </c>
      <c r="D66">
        <v>202608</v>
      </c>
      <c r="E66">
        <v>789.6</v>
      </c>
      <c r="F66" t="str">
        <f t="shared" si="0"/>
        <v>08</v>
      </c>
    </row>
    <row r="67" spans="1:6">
      <c r="A67" t="s">
        <v>296</v>
      </c>
      <c r="B67">
        <v>677410826</v>
      </c>
      <c r="C67" t="s">
        <v>295</v>
      </c>
      <c r="D67">
        <v>202614</v>
      </c>
      <c r="E67">
        <v>657.35</v>
      </c>
      <c r="F67" t="str">
        <f t="shared" si="0"/>
        <v>14</v>
      </c>
    </row>
    <row r="68" spans="1:6">
      <c r="A68" t="s">
        <v>296</v>
      </c>
      <c r="B68">
        <v>677410826</v>
      </c>
      <c r="C68" t="s">
        <v>295</v>
      </c>
      <c r="D68">
        <v>202644</v>
      </c>
      <c r="E68">
        <v>771.92</v>
      </c>
      <c r="F68" t="str">
        <f t="shared" si="0"/>
        <v>44</v>
      </c>
    </row>
    <row r="69" spans="1:6">
      <c r="A69" t="s">
        <v>296</v>
      </c>
      <c r="B69">
        <v>677410826</v>
      </c>
      <c r="C69" t="s">
        <v>295</v>
      </c>
      <c r="D69">
        <v>202718</v>
      </c>
      <c r="E69">
        <v>669.25</v>
      </c>
      <c r="F69" t="str">
        <f t="shared" si="0"/>
        <v>18</v>
      </c>
    </row>
    <row r="70" spans="1:6">
      <c r="A70" t="s">
        <v>296</v>
      </c>
      <c r="B70">
        <v>677410826</v>
      </c>
      <c r="C70" t="s">
        <v>295</v>
      </c>
      <c r="D70">
        <v>202630</v>
      </c>
      <c r="E70">
        <v>678.77</v>
      </c>
      <c r="F70" t="str">
        <f t="shared" si="0"/>
        <v>30</v>
      </c>
    </row>
    <row r="71" spans="1:6">
      <c r="A71" t="s">
        <v>296</v>
      </c>
      <c r="B71">
        <v>677410826</v>
      </c>
      <c r="C71" t="s">
        <v>295</v>
      </c>
      <c r="D71">
        <v>202648</v>
      </c>
      <c r="E71">
        <v>765.2</v>
      </c>
      <c r="F71" t="str">
        <f t="shared" si="0"/>
        <v>48</v>
      </c>
    </row>
    <row r="72" spans="1:6">
      <c r="A72" t="s">
        <v>296</v>
      </c>
      <c r="B72">
        <v>677410826</v>
      </c>
      <c r="C72" t="s">
        <v>295</v>
      </c>
      <c r="D72">
        <v>202626</v>
      </c>
      <c r="E72">
        <v>669.01</v>
      </c>
      <c r="F72" t="str">
        <f t="shared" si="0"/>
        <v>26</v>
      </c>
    </row>
    <row r="73" spans="1:6">
      <c r="A73" t="s">
        <v>296</v>
      </c>
      <c r="B73">
        <v>677410826</v>
      </c>
      <c r="C73" t="s">
        <v>295</v>
      </c>
      <c r="D73">
        <v>202651</v>
      </c>
      <c r="E73">
        <v>520.91</v>
      </c>
      <c r="F73" t="str">
        <f t="shared" si="0"/>
        <v>51</v>
      </c>
    </row>
    <row r="74" spans="1:6">
      <c r="A74" t="s">
        <v>296</v>
      </c>
      <c r="B74">
        <v>677410826</v>
      </c>
      <c r="C74" t="s">
        <v>295</v>
      </c>
      <c r="D74">
        <v>202613</v>
      </c>
      <c r="E74">
        <v>705.2</v>
      </c>
      <c r="F74" t="str">
        <f t="shared" si="0"/>
        <v>13</v>
      </c>
    </row>
    <row r="75" spans="1:6">
      <c r="A75" t="s">
        <v>296</v>
      </c>
      <c r="B75">
        <v>677410826</v>
      </c>
      <c r="C75" t="s">
        <v>295</v>
      </c>
      <c r="D75">
        <v>202611</v>
      </c>
      <c r="E75">
        <v>729.54</v>
      </c>
      <c r="F75" t="str">
        <f t="shared" si="0"/>
        <v>11</v>
      </c>
    </row>
    <row r="76" spans="1:6">
      <c r="A76" t="s">
        <v>296</v>
      </c>
      <c r="B76">
        <v>677410826</v>
      </c>
      <c r="C76" t="s">
        <v>295</v>
      </c>
      <c r="D76">
        <v>202624</v>
      </c>
      <c r="E76">
        <v>650.44000000000005</v>
      </c>
      <c r="F76" t="str">
        <f t="shared" si="0"/>
        <v>24</v>
      </c>
    </row>
    <row r="77" spans="1:6">
      <c r="A77" t="s">
        <v>296</v>
      </c>
      <c r="B77">
        <v>677410826</v>
      </c>
      <c r="C77" t="s">
        <v>295</v>
      </c>
      <c r="D77">
        <v>202714</v>
      </c>
      <c r="E77">
        <v>657.03</v>
      </c>
      <c r="F77" t="str">
        <f t="shared" si="0"/>
        <v>14</v>
      </c>
    </row>
    <row r="78" spans="1:6">
      <c r="A78" t="s">
        <v>296</v>
      </c>
      <c r="B78">
        <v>677410826</v>
      </c>
      <c r="C78" t="s">
        <v>295</v>
      </c>
      <c r="D78">
        <v>202641</v>
      </c>
      <c r="E78">
        <v>752.08</v>
      </c>
      <c r="F78" t="str">
        <f t="shared" si="0"/>
        <v>41</v>
      </c>
    </row>
    <row r="79" spans="1:6">
      <c r="A79" t="s">
        <v>296</v>
      </c>
      <c r="B79">
        <v>677410826</v>
      </c>
      <c r="C79" t="s">
        <v>295</v>
      </c>
      <c r="D79">
        <v>202732</v>
      </c>
      <c r="E79">
        <v>730.19</v>
      </c>
      <c r="F79" t="str">
        <f t="shared" si="0"/>
        <v>32</v>
      </c>
    </row>
    <row r="80" spans="1:6">
      <c r="A80" t="s">
        <v>296</v>
      </c>
      <c r="B80">
        <v>677410826</v>
      </c>
      <c r="C80" t="s">
        <v>295</v>
      </c>
      <c r="D80">
        <v>202550</v>
      </c>
      <c r="E80">
        <v>644.67999999999995</v>
      </c>
      <c r="F80" t="str">
        <f t="shared" si="0"/>
        <v>50</v>
      </c>
    </row>
    <row r="81" spans="1:6">
      <c r="A81" t="s">
        <v>296</v>
      </c>
      <c r="B81">
        <v>677410826</v>
      </c>
      <c r="C81" t="s">
        <v>295</v>
      </c>
      <c r="D81">
        <v>202712</v>
      </c>
      <c r="E81">
        <v>685.96</v>
      </c>
      <c r="F81" t="str">
        <f t="shared" si="0"/>
        <v>12</v>
      </c>
    </row>
    <row r="82" spans="1:6">
      <c r="A82" t="s">
        <v>296</v>
      </c>
      <c r="B82">
        <v>677410826</v>
      </c>
      <c r="C82" t="s">
        <v>295</v>
      </c>
      <c r="D82">
        <v>202638</v>
      </c>
      <c r="E82">
        <v>716.31</v>
      </c>
      <c r="F82" t="str">
        <f t="shared" si="0"/>
        <v>38</v>
      </c>
    </row>
    <row r="83" spans="1:6">
      <c r="A83" t="s">
        <v>296</v>
      </c>
      <c r="B83">
        <v>677410826</v>
      </c>
      <c r="C83" t="s">
        <v>295</v>
      </c>
      <c r="D83">
        <v>202634</v>
      </c>
      <c r="E83">
        <v>695.51</v>
      </c>
      <c r="F83" t="str">
        <f t="shared" si="0"/>
        <v>34</v>
      </c>
    </row>
    <row r="84" spans="1:6">
      <c r="A84" t="s">
        <v>296</v>
      </c>
      <c r="B84">
        <v>677410826</v>
      </c>
      <c r="C84" t="s">
        <v>295</v>
      </c>
      <c r="D84">
        <v>202541</v>
      </c>
      <c r="E84">
        <v>752.76</v>
      </c>
      <c r="F84" t="str">
        <f t="shared" si="0"/>
        <v>41</v>
      </c>
    </row>
    <row r="85" spans="1:6">
      <c r="A85" t="s">
        <v>296</v>
      </c>
      <c r="B85">
        <v>677410826</v>
      </c>
      <c r="C85" t="s">
        <v>295</v>
      </c>
      <c r="D85">
        <v>202534</v>
      </c>
      <c r="E85">
        <v>700.31</v>
      </c>
      <c r="F85" t="str">
        <f t="shared" ref="F85:F148" si="1">RIGHT(D85,2)</f>
        <v>34</v>
      </c>
    </row>
    <row r="86" spans="1:6">
      <c r="A86" t="s">
        <v>296</v>
      </c>
      <c r="B86">
        <v>677410826</v>
      </c>
      <c r="C86" t="s">
        <v>295</v>
      </c>
      <c r="D86">
        <v>202627</v>
      </c>
      <c r="E86">
        <v>665.29</v>
      </c>
      <c r="F86" t="str">
        <f t="shared" si="1"/>
        <v>27</v>
      </c>
    </row>
    <row r="87" spans="1:6">
      <c r="A87" t="s">
        <v>296</v>
      </c>
      <c r="B87">
        <v>677410826</v>
      </c>
      <c r="C87" t="s">
        <v>295</v>
      </c>
      <c r="D87">
        <v>202606</v>
      </c>
      <c r="E87">
        <v>812.76</v>
      </c>
      <c r="F87" t="str">
        <f t="shared" si="1"/>
        <v>06</v>
      </c>
    </row>
    <row r="88" spans="1:6">
      <c r="A88" t="s">
        <v>296</v>
      </c>
      <c r="B88">
        <v>677410826</v>
      </c>
      <c r="C88" t="s">
        <v>295</v>
      </c>
      <c r="D88">
        <v>202542</v>
      </c>
      <c r="E88">
        <v>704.49</v>
      </c>
      <c r="F88" t="str">
        <f t="shared" si="1"/>
        <v>42</v>
      </c>
    </row>
    <row r="89" spans="1:6">
      <c r="A89" t="s">
        <v>296</v>
      </c>
      <c r="B89">
        <v>677410826</v>
      </c>
      <c r="C89" t="s">
        <v>295</v>
      </c>
      <c r="D89">
        <v>202725</v>
      </c>
      <c r="E89">
        <v>648.08000000000004</v>
      </c>
      <c r="F89" t="str">
        <f t="shared" si="1"/>
        <v>25</v>
      </c>
    </row>
    <row r="90" spans="1:6">
      <c r="A90" t="s">
        <v>296</v>
      </c>
      <c r="B90">
        <v>677410826</v>
      </c>
      <c r="C90" t="s">
        <v>295</v>
      </c>
      <c r="D90">
        <v>202536</v>
      </c>
      <c r="E90">
        <v>697.01</v>
      </c>
      <c r="F90" t="str">
        <f t="shared" si="1"/>
        <v>36</v>
      </c>
    </row>
    <row r="91" spans="1:6">
      <c r="A91" t="s">
        <v>296</v>
      </c>
      <c r="B91">
        <v>677410826</v>
      </c>
      <c r="C91" t="s">
        <v>295</v>
      </c>
      <c r="D91">
        <v>202544</v>
      </c>
      <c r="E91">
        <v>771.94</v>
      </c>
      <c r="F91" t="str">
        <f t="shared" si="1"/>
        <v>44</v>
      </c>
    </row>
    <row r="92" spans="1:6">
      <c r="A92" t="s">
        <v>296</v>
      </c>
      <c r="B92">
        <v>677410826</v>
      </c>
      <c r="C92" t="s">
        <v>295</v>
      </c>
      <c r="D92">
        <v>202607</v>
      </c>
      <c r="E92">
        <v>802.9</v>
      </c>
      <c r="F92" t="str">
        <f t="shared" si="1"/>
        <v>07</v>
      </c>
    </row>
    <row r="93" spans="1:6">
      <c r="A93" t="s">
        <v>296</v>
      </c>
      <c r="B93">
        <v>677410826</v>
      </c>
      <c r="C93" t="s">
        <v>295</v>
      </c>
      <c r="D93">
        <v>202727</v>
      </c>
      <c r="E93">
        <v>665.12</v>
      </c>
      <c r="F93" t="str">
        <f t="shared" si="1"/>
        <v>27</v>
      </c>
    </row>
    <row r="94" spans="1:6">
      <c r="A94" t="s">
        <v>296</v>
      </c>
      <c r="B94">
        <v>677410826</v>
      </c>
      <c r="C94" t="s">
        <v>295</v>
      </c>
      <c r="D94">
        <v>202546</v>
      </c>
      <c r="E94">
        <v>1107.21</v>
      </c>
      <c r="F94" t="str">
        <f t="shared" si="1"/>
        <v>46</v>
      </c>
    </row>
    <row r="95" spans="1:6">
      <c r="A95" t="s">
        <v>296</v>
      </c>
      <c r="B95">
        <v>677410826</v>
      </c>
      <c r="C95" t="s">
        <v>295</v>
      </c>
      <c r="D95">
        <v>202610</v>
      </c>
      <c r="E95">
        <v>746.44</v>
      </c>
      <c r="F95" t="str">
        <f t="shared" si="1"/>
        <v>10</v>
      </c>
    </row>
    <row r="96" spans="1:6">
      <c r="A96" t="s">
        <v>296</v>
      </c>
      <c r="B96">
        <v>677410826</v>
      </c>
      <c r="C96" t="s">
        <v>295</v>
      </c>
      <c r="D96">
        <v>202652</v>
      </c>
      <c r="E96">
        <v>587.42999999999995</v>
      </c>
      <c r="F96" t="str">
        <f t="shared" si="1"/>
        <v>52</v>
      </c>
    </row>
    <row r="97" spans="1:6">
      <c r="A97" t="s">
        <v>296</v>
      </c>
      <c r="B97">
        <v>677410826</v>
      </c>
      <c r="C97" t="s">
        <v>295</v>
      </c>
      <c r="D97">
        <v>202631</v>
      </c>
      <c r="E97">
        <v>641.64</v>
      </c>
      <c r="F97" t="str">
        <f t="shared" si="1"/>
        <v>31</v>
      </c>
    </row>
    <row r="98" spans="1:6">
      <c r="A98" t="s">
        <v>296</v>
      </c>
      <c r="B98">
        <v>677410826</v>
      </c>
      <c r="C98" t="s">
        <v>295</v>
      </c>
      <c r="D98">
        <v>202621</v>
      </c>
      <c r="E98">
        <v>679.65</v>
      </c>
      <c r="F98" t="str">
        <f t="shared" si="1"/>
        <v>21</v>
      </c>
    </row>
    <row r="99" spans="1:6">
      <c r="A99" t="s">
        <v>296</v>
      </c>
      <c r="B99">
        <v>677410826</v>
      </c>
      <c r="C99" t="s">
        <v>295</v>
      </c>
      <c r="D99">
        <v>202619</v>
      </c>
      <c r="E99">
        <v>653.4</v>
      </c>
      <c r="F99" t="str">
        <f t="shared" si="1"/>
        <v>19</v>
      </c>
    </row>
    <row r="100" spans="1:6">
      <c r="A100" t="s">
        <v>296</v>
      </c>
      <c r="B100">
        <v>677410826</v>
      </c>
      <c r="C100" t="s">
        <v>295</v>
      </c>
      <c r="D100">
        <v>202612</v>
      </c>
      <c r="E100">
        <v>685.46</v>
      </c>
      <c r="F100" t="str">
        <f t="shared" si="1"/>
        <v>12</v>
      </c>
    </row>
    <row r="101" spans="1:6">
      <c r="A101" t="s">
        <v>296</v>
      </c>
      <c r="B101">
        <v>677410826</v>
      </c>
      <c r="C101" t="s">
        <v>295</v>
      </c>
      <c r="D101">
        <v>202724</v>
      </c>
      <c r="E101">
        <v>650.17999999999995</v>
      </c>
      <c r="F101" t="str">
        <f t="shared" si="1"/>
        <v>24</v>
      </c>
    </row>
    <row r="102" spans="1:6">
      <c r="A102" t="s">
        <v>296</v>
      </c>
      <c r="B102">
        <v>677410826</v>
      </c>
      <c r="C102" t="s">
        <v>295</v>
      </c>
      <c r="D102">
        <v>202639</v>
      </c>
      <c r="E102">
        <v>736.25</v>
      </c>
      <c r="F102" t="str">
        <f t="shared" si="1"/>
        <v>39</v>
      </c>
    </row>
    <row r="103" spans="1:6">
      <c r="A103" t="s">
        <v>296</v>
      </c>
      <c r="B103">
        <v>677410826</v>
      </c>
      <c r="C103" t="s">
        <v>295</v>
      </c>
      <c r="D103">
        <v>202728</v>
      </c>
      <c r="E103">
        <v>687.31</v>
      </c>
      <c r="F103" t="str">
        <f t="shared" si="1"/>
        <v>28</v>
      </c>
    </row>
    <row r="104" spans="1:6">
      <c r="A104" t="s">
        <v>296</v>
      </c>
      <c r="B104">
        <v>677410826</v>
      </c>
      <c r="C104" t="s">
        <v>295</v>
      </c>
      <c r="D104">
        <v>202551</v>
      </c>
      <c r="E104">
        <v>522.61</v>
      </c>
      <c r="F104" t="str">
        <f t="shared" si="1"/>
        <v>51</v>
      </c>
    </row>
    <row r="105" spans="1:6">
      <c r="A105" t="s">
        <v>296</v>
      </c>
      <c r="B105">
        <v>677410826</v>
      </c>
      <c r="C105" t="s">
        <v>295</v>
      </c>
      <c r="D105">
        <v>202540</v>
      </c>
      <c r="E105">
        <v>749.44</v>
      </c>
      <c r="F105" t="str">
        <f t="shared" si="1"/>
        <v>40</v>
      </c>
    </row>
    <row r="106" spans="1:6">
      <c r="A106" t="s">
        <v>296</v>
      </c>
      <c r="B106">
        <v>677410826</v>
      </c>
      <c r="C106" t="s">
        <v>295</v>
      </c>
      <c r="D106">
        <v>202635</v>
      </c>
      <c r="E106">
        <v>764.4</v>
      </c>
      <c r="F106" t="str">
        <f t="shared" si="1"/>
        <v>35</v>
      </c>
    </row>
    <row r="107" spans="1:6">
      <c r="A107" t="s">
        <v>296</v>
      </c>
      <c r="B107">
        <v>677410826</v>
      </c>
      <c r="C107" t="s">
        <v>295</v>
      </c>
      <c r="D107">
        <v>202706</v>
      </c>
      <c r="E107">
        <v>813.15</v>
      </c>
      <c r="F107" t="str">
        <f t="shared" si="1"/>
        <v>06</v>
      </c>
    </row>
    <row r="108" spans="1:6">
      <c r="A108" t="s">
        <v>296</v>
      </c>
      <c r="B108">
        <v>677410826</v>
      </c>
      <c r="C108" t="s">
        <v>295</v>
      </c>
      <c r="D108">
        <v>202615</v>
      </c>
      <c r="E108">
        <v>643.26</v>
      </c>
      <c r="F108" t="str">
        <f t="shared" si="1"/>
        <v>15</v>
      </c>
    </row>
    <row r="109" spans="1:6">
      <c r="A109" t="s">
        <v>296</v>
      </c>
      <c r="B109">
        <v>677410826</v>
      </c>
      <c r="C109" t="s">
        <v>295</v>
      </c>
      <c r="D109">
        <v>202623</v>
      </c>
      <c r="E109">
        <v>650.07000000000005</v>
      </c>
      <c r="F109" t="str">
        <f t="shared" si="1"/>
        <v>23</v>
      </c>
    </row>
    <row r="110" spans="1:6">
      <c r="A110" t="s">
        <v>296</v>
      </c>
      <c r="B110">
        <v>677410826</v>
      </c>
      <c r="C110" t="s">
        <v>295</v>
      </c>
      <c r="D110">
        <v>202609</v>
      </c>
      <c r="E110">
        <v>781.29</v>
      </c>
      <c r="F110" t="str">
        <f t="shared" si="1"/>
        <v>09</v>
      </c>
    </row>
    <row r="111" spans="1:6">
      <c r="A111" t="s">
        <v>296</v>
      </c>
      <c r="B111">
        <v>677410826</v>
      </c>
      <c r="C111" t="s">
        <v>295</v>
      </c>
      <c r="D111">
        <v>202710</v>
      </c>
      <c r="E111">
        <v>746.41</v>
      </c>
      <c r="F111" t="str">
        <f t="shared" si="1"/>
        <v>10</v>
      </c>
    </row>
    <row r="112" spans="1:6">
      <c r="A112" t="s">
        <v>296</v>
      </c>
      <c r="B112">
        <v>677410826</v>
      </c>
      <c r="C112" t="s">
        <v>295</v>
      </c>
      <c r="D112">
        <v>202707</v>
      </c>
      <c r="E112">
        <v>802.75</v>
      </c>
      <c r="F112" t="str">
        <f t="shared" si="1"/>
        <v>07</v>
      </c>
    </row>
    <row r="113" spans="1:6">
      <c r="A113" t="s">
        <v>296</v>
      </c>
      <c r="B113">
        <v>677410826</v>
      </c>
      <c r="C113" t="s">
        <v>295</v>
      </c>
      <c r="D113">
        <v>202633</v>
      </c>
      <c r="E113">
        <v>732.65</v>
      </c>
      <c r="F113" t="str">
        <f t="shared" si="1"/>
        <v>33</v>
      </c>
    </row>
    <row r="114" spans="1:6">
      <c r="A114" t="s">
        <v>296</v>
      </c>
      <c r="B114">
        <v>677410826</v>
      </c>
      <c r="C114" t="s">
        <v>295</v>
      </c>
      <c r="D114">
        <v>202628</v>
      </c>
      <c r="E114">
        <v>687.55</v>
      </c>
      <c r="F114" t="str">
        <f t="shared" si="1"/>
        <v>28</v>
      </c>
    </row>
    <row r="115" spans="1:6">
      <c r="A115" t="s">
        <v>296</v>
      </c>
      <c r="B115">
        <v>677410826</v>
      </c>
      <c r="C115" t="s">
        <v>295</v>
      </c>
      <c r="D115">
        <v>202545</v>
      </c>
      <c r="E115">
        <v>850.21</v>
      </c>
      <c r="F115" t="str">
        <f t="shared" si="1"/>
        <v>45</v>
      </c>
    </row>
    <row r="116" spans="1:6">
      <c r="A116" t="s">
        <v>296</v>
      </c>
      <c r="B116">
        <v>677410826</v>
      </c>
      <c r="C116" t="s">
        <v>295</v>
      </c>
      <c r="D116">
        <v>202605</v>
      </c>
      <c r="E116">
        <v>914.4</v>
      </c>
      <c r="F116" t="str">
        <f t="shared" si="1"/>
        <v>05</v>
      </c>
    </row>
    <row r="117" spans="1:6">
      <c r="A117" t="s">
        <v>296</v>
      </c>
      <c r="B117">
        <v>677410826</v>
      </c>
      <c r="C117" t="s">
        <v>295</v>
      </c>
      <c r="D117">
        <v>202723</v>
      </c>
      <c r="E117">
        <v>649.82000000000005</v>
      </c>
      <c r="F117" t="str">
        <f t="shared" si="1"/>
        <v>23</v>
      </c>
    </row>
    <row r="118" spans="1:6">
      <c r="A118" t="s">
        <v>296</v>
      </c>
      <c r="B118">
        <v>677410826</v>
      </c>
      <c r="C118" t="s">
        <v>295</v>
      </c>
      <c r="D118">
        <v>202730</v>
      </c>
      <c r="E118">
        <v>641.21</v>
      </c>
      <c r="F118" t="str">
        <f t="shared" si="1"/>
        <v>30</v>
      </c>
    </row>
    <row r="119" spans="1:6">
      <c r="A119" t="s">
        <v>296</v>
      </c>
      <c r="B119">
        <v>677410826</v>
      </c>
      <c r="C119" t="s">
        <v>295</v>
      </c>
      <c r="D119">
        <v>202603</v>
      </c>
      <c r="E119">
        <v>801.73</v>
      </c>
      <c r="F119" t="str">
        <f t="shared" si="1"/>
        <v>03</v>
      </c>
    </row>
    <row r="120" spans="1:6">
      <c r="A120" t="s">
        <v>296</v>
      </c>
      <c r="B120">
        <v>677410826</v>
      </c>
      <c r="C120" t="s">
        <v>295</v>
      </c>
      <c r="D120">
        <v>202620</v>
      </c>
      <c r="E120">
        <v>679.65</v>
      </c>
      <c r="F120" t="str">
        <f t="shared" si="1"/>
        <v>20</v>
      </c>
    </row>
    <row r="121" spans="1:6">
      <c r="A121" t="s">
        <v>296</v>
      </c>
      <c r="B121">
        <v>677410826</v>
      </c>
      <c r="C121" t="s">
        <v>295</v>
      </c>
      <c r="D121">
        <v>202731</v>
      </c>
      <c r="E121">
        <v>603.47</v>
      </c>
      <c r="F121" t="str">
        <f t="shared" si="1"/>
        <v>31</v>
      </c>
    </row>
    <row r="122" spans="1:6">
      <c r="A122" t="s">
        <v>296</v>
      </c>
      <c r="B122">
        <v>677410826</v>
      </c>
      <c r="C122" t="s">
        <v>295</v>
      </c>
      <c r="D122">
        <v>202729</v>
      </c>
      <c r="E122">
        <v>678.07</v>
      </c>
      <c r="F122" t="str">
        <f t="shared" si="1"/>
        <v>29</v>
      </c>
    </row>
    <row r="123" spans="1:6">
      <c r="A123" t="s">
        <v>296</v>
      </c>
      <c r="B123">
        <v>677410826</v>
      </c>
      <c r="C123" t="s">
        <v>295</v>
      </c>
      <c r="D123">
        <v>202646</v>
      </c>
      <c r="E123">
        <v>1107.3499999999999</v>
      </c>
      <c r="F123" t="str">
        <f t="shared" si="1"/>
        <v>46</v>
      </c>
    </row>
    <row r="124" spans="1:6">
      <c r="A124" t="s">
        <v>304</v>
      </c>
      <c r="B124">
        <v>677536463</v>
      </c>
      <c r="C124" t="s">
        <v>303</v>
      </c>
      <c r="D124">
        <v>202622</v>
      </c>
      <c r="E124">
        <v>606.66999999999996</v>
      </c>
      <c r="F124" t="str">
        <f t="shared" si="1"/>
        <v>22</v>
      </c>
    </row>
    <row r="125" spans="1:6">
      <c r="A125" t="s">
        <v>304</v>
      </c>
      <c r="B125">
        <v>677536463</v>
      </c>
      <c r="C125" t="s">
        <v>303</v>
      </c>
      <c r="D125">
        <v>202719</v>
      </c>
      <c r="E125">
        <v>602.64</v>
      </c>
      <c r="F125" t="str">
        <f t="shared" si="1"/>
        <v>19</v>
      </c>
    </row>
    <row r="126" spans="1:6">
      <c r="A126" t="s">
        <v>304</v>
      </c>
      <c r="B126">
        <v>677536463</v>
      </c>
      <c r="C126" t="s">
        <v>303</v>
      </c>
      <c r="D126">
        <v>202627</v>
      </c>
      <c r="E126">
        <v>676.03</v>
      </c>
      <c r="F126" t="str">
        <f t="shared" si="1"/>
        <v>27</v>
      </c>
    </row>
    <row r="127" spans="1:6">
      <c r="A127" t="s">
        <v>304</v>
      </c>
      <c r="B127">
        <v>677536463</v>
      </c>
      <c r="C127" t="s">
        <v>303</v>
      </c>
      <c r="D127">
        <v>202608</v>
      </c>
      <c r="E127">
        <v>822.5</v>
      </c>
      <c r="F127" t="str">
        <f t="shared" si="1"/>
        <v>08</v>
      </c>
    </row>
    <row r="128" spans="1:6">
      <c r="A128" t="s">
        <v>304</v>
      </c>
      <c r="B128">
        <v>677536463</v>
      </c>
      <c r="C128" t="s">
        <v>303</v>
      </c>
      <c r="D128">
        <v>202647</v>
      </c>
      <c r="E128">
        <v>1265.56</v>
      </c>
      <c r="F128" t="str">
        <f t="shared" si="1"/>
        <v>47</v>
      </c>
    </row>
    <row r="129" spans="1:6">
      <c r="A129" t="s">
        <v>304</v>
      </c>
      <c r="B129">
        <v>677536463</v>
      </c>
      <c r="C129" t="s">
        <v>303</v>
      </c>
      <c r="D129">
        <v>202616</v>
      </c>
      <c r="E129">
        <v>583.6</v>
      </c>
      <c r="F129" t="str">
        <f t="shared" si="1"/>
        <v>16</v>
      </c>
    </row>
    <row r="130" spans="1:6">
      <c r="A130" t="s">
        <v>304</v>
      </c>
      <c r="B130">
        <v>677536463</v>
      </c>
      <c r="C130" t="s">
        <v>303</v>
      </c>
      <c r="D130">
        <v>202614</v>
      </c>
      <c r="E130">
        <v>634.13</v>
      </c>
      <c r="F130" t="str">
        <f t="shared" si="1"/>
        <v>14</v>
      </c>
    </row>
    <row r="131" spans="1:6">
      <c r="A131" t="s">
        <v>304</v>
      </c>
      <c r="B131">
        <v>677536463</v>
      </c>
      <c r="C131" t="s">
        <v>303</v>
      </c>
      <c r="D131">
        <v>202623</v>
      </c>
      <c r="E131">
        <v>607.27</v>
      </c>
      <c r="F131" t="str">
        <f t="shared" si="1"/>
        <v>23</v>
      </c>
    </row>
    <row r="132" spans="1:6">
      <c r="A132" t="s">
        <v>304</v>
      </c>
      <c r="B132">
        <v>677536463</v>
      </c>
      <c r="C132" t="s">
        <v>303</v>
      </c>
      <c r="D132">
        <v>202728</v>
      </c>
      <c r="E132">
        <v>740.61</v>
      </c>
      <c r="F132" t="str">
        <f t="shared" si="1"/>
        <v>28</v>
      </c>
    </row>
    <row r="133" spans="1:6">
      <c r="A133" t="s">
        <v>304</v>
      </c>
      <c r="B133">
        <v>677536463</v>
      </c>
      <c r="C133" t="s">
        <v>303</v>
      </c>
      <c r="D133">
        <v>202546</v>
      </c>
      <c r="E133">
        <v>1231.73</v>
      </c>
      <c r="F133" t="str">
        <f t="shared" si="1"/>
        <v>46</v>
      </c>
    </row>
    <row r="134" spans="1:6">
      <c r="A134" t="s">
        <v>304</v>
      </c>
      <c r="B134">
        <v>677536463</v>
      </c>
      <c r="C134" t="s">
        <v>303</v>
      </c>
      <c r="D134">
        <v>202714</v>
      </c>
      <c r="E134">
        <v>633.63</v>
      </c>
      <c r="F134" t="str">
        <f t="shared" si="1"/>
        <v>14</v>
      </c>
    </row>
    <row r="135" spans="1:6">
      <c r="A135" t="s">
        <v>304</v>
      </c>
      <c r="B135">
        <v>677536463</v>
      </c>
      <c r="C135" t="s">
        <v>303</v>
      </c>
      <c r="D135">
        <v>202703</v>
      </c>
      <c r="E135">
        <v>730.93</v>
      </c>
      <c r="F135" t="str">
        <f t="shared" si="1"/>
        <v>03</v>
      </c>
    </row>
    <row r="136" spans="1:6">
      <c r="A136" t="s">
        <v>304</v>
      </c>
      <c r="B136">
        <v>677536463</v>
      </c>
      <c r="C136" t="s">
        <v>303</v>
      </c>
      <c r="D136">
        <v>202705</v>
      </c>
      <c r="E136">
        <v>876.48</v>
      </c>
      <c r="F136" t="str">
        <f t="shared" si="1"/>
        <v>05</v>
      </c>
    </row>
    <row r="137" spans="1:6">
      <c r="A137" t="s">
        <v>304</v>
      </c>
      <c r="B137">
        <v>677536463</v>
      </c>
      <c r="C137" t="s">
        <v>303</v>
      </c>
      <c r="D137">
        <v>202618</v>
      </c>
      <c r="E137">
        <v>589.4</v>
      </c>
      <c r="F137" t="str">
        <f t="shared" si="1"/>
        <v>18</v>
      </c>
    </row>
    <row r="138" spans="1:6">
      <c r="A138" t="s">
        <v>304</v>
      </c>
      <c r="B138">
        <v>677536463</v>
      </c>
      <c r="C138" t="s">
        <v>303</v>
      </c>
      <c r="D138">
        <v>202649</v>
      </c>
      <c r="E138">
        <v>686.02</v>
      </c>
      <c r="F138" t="str">
        <f t="shared" si="1"/>
        <v>49</v>
      </c>
    </row>
    <row r="139" spans="1:6">
      <c r="A139" t="s">
        <v>304</v>
      </c>
      <c r="B139">
        <v>677536463</v>
      </c>
      <c r="C139" t="s">
        <v>303</v>
      </c>
      <c r="D139">
        <v>202620</v>
      </c>
      <c r="E139">
        <v>624.25</v>
      </c>
      <c r="F139" t="str">
        <f t="shared" si="1"/>
        <v>20</v>
      </c>
    </row>
    <row r="140" spans="1:6">
      <c r="A140" t="s">
        <v>304</v>
      </c>
      <c r="B140">
        <v>677536463</v>
      </c>
      <c r="C140" t="s">
        <v>303</v>
      </c>
      <c r="D140">
        <v>202539</v>
      </c>
      <c r="E140">
        <v>787.75</v>
      </c>
      <c r="F140" t="str">
        <f t="shared" si="1"/>
        <v>39</v>
      </c>
    </row>
    <row r="141" spans="1:6">
      <c r="A141" t="s">
        <v>304</v>
      </c>
      <c r="B141">
        <v>677536463</v>
      </c>
      <c r="C141" t="s">
        <v>303</v>
      </c>
      <c r="D141">
        <v>202642</v>
      </c>
      <c r="E141">
        <v>728.72</v>
      </c>
      <c r="F141" t="str">
        <f t="shared" si="1"/>
        <v>42</v>
      </c>
    </row>
    <row r="142" spans="1:6">
      <c r="A142" t="s">
        <v>304</v>
      </c>
      <c r="B142">
        <v>677536463</v>
      </c>
      <c r="C142" t="s">
        <v>303</v>
      </c>
      <c r="D142">
        <v>202721</v>
      </c>
      <c r="E142">
        <v>623.54</v>
      </c>
      <c r="F142" t="str">
        <f t="shared" si="1"/>
        <v>21</v>
      </c>
    </row>
    <row r="143" spans="1:6">
      <c r="A143" t="s">
        <v>304</v>
      </c>
      <c r="B143">
        <v>677536463</v>
      </c>
      <c r="C143" t="s">
        <v>303</v>
      </c>
      <c r="D143">
        <v>202610</v>
      </c>
      <c r="E143">
        <v>754.93</v>
      </c>
      <c r="F143" t="str">
        <f t="shared" si="1"/>
        <v>10</v>
      </c>
    </row>
    <row r="144" spans="1:6">
      <c r="A144" t="s">
        <v>304</v>
      </c>
      <c r="B144">
        <v>677536463</v>
      </c>
      <c r="C144" t="s">
        <v>303</v>
      </c>
      <c r="D144">
        <v>202638</v>
      </c>
      <c r="E144">
        <v>727.94</v>
      </c>
      <c r="F144" t="str">
        <f t="shared" si="1"/>
        <v>38</v>
      </c>
    </row>
    <row r="145" spans="1:6">
      <c r="A145" t="s">
        <v>304</v>
      </c>
      <c r="B145">
        <v>677536463</v>
      </c>
      <c r="C145" t="s">
        <v>303</v>
      </c>
      <c r="D145">
        <v>202706</v>
      </c>
      <c r="E145">
        <v>812.8</v>
      </c>
      <c r="F145" t="str">
        <f t="shared" si="1"/>
        <v>06</v>
      </c>
    </row>
    <row r="146" spans="1:6">
      <c r="A146" t="s">
        <v>304</v>
      </c>
      <c r="B146">
        <v>677536463</v>
      </c>
      <c r="C146" t="s">
        <v>303</v>
      </c>
      <c r="D146">
        <v>202542</v>
      </c>
      <c r="E146">
        <v>730.58</v>
      </c>
      <c r="F146" t="str">
        <f t="shared" si="1"/>
        <v>42</v>
      </c>
    </row>
    <row r="147" spans="1:6">
      <c r="A147" t="s">
        <v>304</v>
      </c>
      <c r="B147">
        <v>677536463</v>
      </c>
      <c r="C147" t="s">
        <v>303</v>
      </c>
      <c r="D147">
        <v>202607</v>
      </c>
      <c r="E147">
        <v>818.06</v>
      </c>
      <c r="F147" t="str">
        <f t="shared" si="1"/>
        <v>07</v>
      </c>
    </row>
    <row r="148" spans="1:6">
      <c r="A148" t="s">
        <v>304</v>
      </c>
      <c r="B148">
        <v>677536463</v>
      </c>
      <c r="C148" t="s">
        <v>303</v>
      </c>
      <c r="D148">
        <v>202634</v>
      </c>
      <c r="E148">
        <v>768.85</v>
      </c>
      <c r="F148" t="str">
        <f t="shared" si="1"/>
        <v>34</v>
      </c>
    </row>
    <row r="149" spans="1:6">
      <c r="A149" t="s">
        <v>304</v>
      </c>
      <c r="B149">
        <v>677536463</v>
      </c>
      <c r="C149" t="s">
        <v>303</v>
      </c>
      <c r="D149">
        <v>202552</v>
      </c>
      <c r="E149">
        <v>557.29</v>
      </c>
      <c r="F149" t="str">
        <f t="shared" ref="F149:F212" si="2">RIGHT(D149,2)</f>
        <v>52</v>
      </c>
    </row>
    <row r="150" spans="1:6">
      <c r="A150" t="s">
        <v>304</v>
      </c>
      <c r="B150">
        <v>677536463</v>
      </c>
      <c r="C150" t="s">
        <v>303</v>
      </c>
      <c r="D150">
        <v>202612</v>
      </c>
      <c r="E150">
        <v>699.55</v>
      </c>
      <c r="F150" t="str">
        <f t="shared" si="2"/>
        <v>12</v>
      </c>
    </row>
    <row r="151" spans="1:6">
      <c r="A151" t="s">
        <v>304</v>
      </c>
      <c r="B151">
        <v>677536463</v>
      </c>
      <c r="C151" t="s">
        <v>303</v>
      </c>
      <c r="D151">
        <v>202651</v>
      </c>
      <c r="E151">
        <v>530.53</v>
      </c>
      <c r="F151" t="str">
        <f t="shared" si="2"/>
        <v>51</v>
      </c>
    </row>
    <row r="152" spans="1:6">
      <c r="A152" t="s">
        <v>304</v>
      </c>
      <c r="B152">
        <v>677536463</v>
      </c>
      <c r="C152" t="s">
        <v>303</v>
      </c>
      <c r="D152">
        <v>202604</v>
      </c>
      <c r="E152">
        <v>932.18</v>
      </c>
      <c r="F152" t="str">
        <f t="shared" si="2"/>
        <v>04</v>
      </c>
    </row>
    <row r="153" spans="1:6">
      <c r="A153" t="s">
        <v>304</v>
      </c>
      <c r="B153">
        <v>677536463</v>
      </c>
      <c r="C153" t="s">
        <v>303</v>
      </c>
      <c r="D153">
        <v>202717</v>
      </c>
      <c r="E153">
        <v>541.99</v>
      </c>
      <c r="F153" t="str">
        <f t="shared" si="2"/>
        <v>17</v>
      </c>
    </row>
    <row r="154" spans="1:6">
      <c r="A154" t="s">
        <v>304</v>
      </c>
      <c r="B154">
        <v>677536463</v>
      </c>
      <c r="C154" t="s">
        <v>303</v>
      </c>
      <c r="D154">
        <v>202543</v>
      </c>
      <c r="E154">
        <v>630.79999999999995</v>
      </c>
      <c r="F154" t="str">
        <f t="shared" si="2"/>
        <v>43</v>
      </c>
    </row>
    <row r="155" spans="1:6">
      <c r="A155" t="s">
        <v>304</v>
      </c>
      <c r="B155">
        <v>677536463</v>
      </c>
      <c r="C155" t="s">
        <v>303</v>
      </c>
      <c r="D155">
        <v>202535</v>
      </c>
      <c r="E155">
        <v>841.22</v>
      </c>
      <c r="F155" t="str">
        <f t="shared" si="2"/>
        <v>35</v>
      </c>
    </row>
    <row r="156" spans="1:6">
      <c r="A156" t="s">
        <v>304</v>
      </c>
      <c r="B156">
        <v>677536463</v>
      </c>
      <c r="C156" t="s">
        <v>303</v>
      </c>
      <c r="D156">
        <v>202637</v>
      </c>
      <c r="E156">
        <v>745.65</v>
      </c>
      <c r="F156" t="str">
        <f t="shared" si="2"/>
        <v>37</v>
      </c>
    </row>
    <row r="157" spans="1:6">
      <c r="A157" t="s">
        <v>304</v>
      </c>
      <c r="B157">
        <v>677536463</v>
      </c>
      <c r="C157" t="s">
        <v>303</v>
      </c>
      <c r="D157">
        <v>202732</v>
      </c>
      <c r="E157">
        <v>740.43</v>
      </c>
      <c r="F157" t="str">
        <f t="shared" si="2"/>
        <v>32</v>
      </c>
    </row>
    <row r="158" spans="1:6">
      <c r="A158" t="s">
        <v>304</v>
      </c>
      <c r="B158">
        <v>677536463</v>
      </c>
      <c r="C158" t="s">
        <v>303</v>
      </c>
      <c r="D158">
        <v>202547</v>
      </c>
      <c r="E158">
        <v>1268.8900000000001</v>
      </c>
      <c r="F158" t="str">
        <f t="shared" si="2"/>
        <v>47</v>
      </c>
    </row>
    <row r="159" spans="1:6">
      <c r="A159" t="s">
        <v>304</v>
      </c>
      <c r="B159">
        <v>677536463</v>
      </c>
      <c r="C159" t="s">
        <v>303</v>
      </c>
      <c r="D159">
        <v>202533</v>
      </c>
      <c r="E159">
        <v>730.97</v>
      </c>
      <c r="F159" t="str">
        <f t="shared" si="2"/>
        <v>33</v>
      </c>
    </row>
    <row r="160" spans="1:6">
      <c r="A160" t="s">
        <v>304</v>
      </c>
      <c r="B160">
        <v>677536463</v>
      </c>
      <c r="C160" t="s">
        <v>303</v>
      </c>
      <c r="D160">
        <v>202731</v>
      </c>
      <c r="E160">
        <v>579.53</v>
      </c>
      <c r="F160" t="str">
        <f t="shared" si="2"/>
        <v>31</v>
      </c>
    </row>
    <row r="161" spans="1:6">
      <c r="A161" t="s">
        <v>304</v>
      </c>
      <c r="B161">
        <v>677536463</v>
      </c>
      <c r="C161" t="s">
        <v>303</v>
      </c>
      <c r="D161">
        <v>202643</v>
      </c>
      <c r="E161">
        <v>629.09</v>
      </c>
      <c r="F161" t="str">
        <f t="shared" si="2"/>
        <v>43</v>
      </c>
    </row>
    <row r="162" spans="1:6">
      <c r="A162" t="s">
        <v>304</v>
      </c>
      <c r="B162">
        <v>677536463</v>
      </c>
      <c r="C162" t="s">
        <v>303</v>
      </c>
      <c r="D162">
        <v>202603</v>
      </c>
      <c r="E162">
        <v>731.65</v>
      </c>
      <c r="F162" t="str">
        <f t="shared" si="2"/>
        <v>03</v>
      </c>
    </row>
    <row r="163" spans="1:6">
      <c r="A163" t="s">
        <v>304</v>
      </c>
      <c r="B163">
        <v>677536463</v>
      </c>
      <c r="C163" t="s">
        <v>303</v>
      </c>
      <c r="D163">
        <v>202621</v>
      </c>
      <c r="E163">
        <v>624.25</v>
      </c>
      <c r="F163" t="str">
        <f t="shared" si="2"/>
        <v>21</v>
      </c>
    </row>
    <row r="164" spans="1:6">
      <c r="A164" t="s">
        <v>304</v>
      </c>
      <c r="B164">
        <v>677536463</v>
      </c>
      <c r="C164" t="s">
        <v>303</v>
      </c>
      <c r="D164">
        <v>202641</v>
      </c>
      <c r="E164">
        <v>757.1</v>
      </c>
      <c r="F164" t="str">
        <f t="shared" si="2"/>
        <v>41</v>
      </c>
    </row>
    <row r="165" spans="1:6">
      <c r="A165" t="s">
        <v>304</v>
      </c>
      <c r="B165">
        <v>677536463</v>
      </c>
      <c r="C165" t="s">
        <v>303</v>
      </c>
      <c r="D165">
        <v>202702</v>
      </c>
      <c r="E165">
        <v>578.75</v>
      </c>
      <c r="F165" t="str">
        <f t="shared" si="2"/>
        <v>02</v>
      </c>
    </row>
    <row r="166" spans="1:6">
      <c r="A166" t="s">
        <v>304</v>
      </c>
      <c r="B166">
        <v>677536463</v>
      </c>
      <c r="C166" t="s">
        <v>303</v>
      </c>
      <c r="D166">
        <v>202708</v>
      </c>
      <c r="E166">
        <v>822.19</v>
      </c>
      <c r="F166" t="str">
        <f t="shared" si="2"/>
        <v>08</v>
      </c>
    </row>
    <row r="167" spans="1:6">
      <c r="A167" t="s">
        <v>304</v>
      </c>
      <c r="B167">
        <v>677536463</v>
      </c>
      <c r="C167" t="s">
        <v>303</v>
      </c>
      <c r="D167">
        <v>202716</v>
      </c>
      <c r="E167">
        <v>582.91</v>
      </c>
      <c r="F167" t="str">
        <f t="shared" si="2"/>
        <v>16</v>
      </c>
    </row>
    <row r="168" spans="1:6">
      <c r="A168" t="s">
        <v>304</v>
      </c>
      <c r="B168">
        <v>677536463</v>
      </c>
      <c r="C168" t="s">
        <v>303</v>
      </c>
      <c r="D168">
        <v>202545</v>
      </c>
      <c r="E168">
        <v>931.42</v>
      </c>
      <c r="F168" t="str">
        <f t="shared" si="2"/>
        <v>45</v>
      </c>
    </row>
    <row r="169" spans="1:6">
      <c r="A169" t="s">
        <v>304</v>
      </c>
      <c r="B169">
        <v>677536463</v>
      </c>
      <c r="C169" t="s">
        <v>303</v>
      </c>
      <c r="D169">
        <v>202650</v>
      </c>
      <c r="E169">
        <v>636.25</v>
      </c>
      <c r="F169" t="str">
        <f t="shared" si="2"/>
        <v>50</v>
      </c>
    </row>
    <row r="170" spans="1:6">
      <c r="A170" t="s">
        <v>304</v>
      </c>
      <c r="B170">
        <v>677536463</v>
      </c>
      <c r="C170" t="s">
        <v>303</v>
      </c>
      <c r="D170">
        <v>202720</v>
      </c>
      <c r="E170">
        <v>623.54</v>
      </c>
      <c r="F170" t="str">
        <f t="shared" si="2"/>
        <v>20</v>
      </c>
    </row>
    <row r="171" spans="1:6">
      <c r="A171" t="s">
        <v>304</v>
      </c>
      <c r="B171">
        <v>677536463</v>
      </c>
      <c r="C171" t="s">
        <v>303</v>
      </c>
      <c r="D171">
        <v>202632</v>
      </c>
      <c r="E171">
        <v>584.80999999999995</v>
      </c>
      <c r="F171" t="str">
        <f t="shared" si="2"/>
        <v>32</v>
      </c>
    </row>
    <row r="172" spans="1:6">
      <c r="A172" t="s">
        <v>304</v>
      </c>
      <c r="B172">
        <v>677536463</v>
      </c>
      <c r="C172" t="s">
        <v>303</v>
      </c>
      <c r="D172">
        <v>202704</v>
      </c>
      <c r="E172">
        <v>931.67</v>
      </c>
      <c r="F172" t="str">
        <f t="shared" si="2"/>
        <v>04</v>
      </c>
    </row>
    <row r="173" spans="1:6">
      <c r="A173" t="s">
        <v>304</v>
      </c>
      <c r="B173">
        <v>677536463</v>
      </c>
      <c r="C173" t="s">
        <v>303</v>
      </c>
      <c r="D173">
        <v>202626</v>
      </c>
      <c r="E173">
        <v>669.88</v>
      </c>
      <c r="F173" t="str">
        <f t="shared" si="2"/>
        <v>26</v>
      </c>
    </row>
    <row r="174" spans="1:6">
      <c r="A174" t="s">
        <v>304</v>
      </c>
      <c r="B174">
        <v>677536463</v>
      </c>
      <c r="C174" t="s">
        <v>303</v>
      </c>
      <c r="D174">
        <v>202629</v>
      </c>
      <c r="E174">
        <v>669.34</v>
      </c>
      <c r="F174" t="str">
        <f t="shared" si="2"/>
        <v>29</v>
      </c>
    </row>
    <row r="175" spans="1:6">
      <c r="A175" t="s">
        <v>304</v>
      </c>
      <c r="B175">
        <v>677536463</v>
      </c>
      <c r="C175" t="s">
        <v>303</v>
      </c>
      <c r="D175">
        <v>202710</v>
      </c>
      <c r="E175">
        <v>754.61</v>
      </c>
      <c r="F175" t="str">
        <f t="shared" si="2"/>
        <v>10</v>
      </c>
    </row>
    <row r="176" spans="1:6">
      <c r="A176" t="s">
        <v>304</v>
      </c>
      <c r="B176">
        <v>677536463</v>
      </c>
      <c r="C176" t="s">
        <v>303</v>
      </c>
      <c r="D176">
        <v>202536</v>
      </c>
      <c r="E176">
        <v>759.64</v>
      </c>
      <c r="F176" t="str">
        <f t="shared" si="2"/>
        <v>36</v>
      </c>
    </row>
    <row r="177" spans="1:6">
      <c r="A177" t="s">
        <v>304</v>
      </c>
      <c r="B177">
        <v>677536463</v>
      </c>
      <c r="C177" t="s">
        <v>303</v>
      </c>
      <c r="D177">
        <v>202711</v>
      </c>
      <c r="E177">
        <v>749.35</v>
      </c>
      <c r="F177" t="str">
        <f t="shared" si="2"/>
        <v>11</v>
      </c>
    </row>
    <row r="178" spans="1:6">
      <c r="A178" t="s">
        <v>304</v>
      </c>
      <c r="B178">
        <v>677536463</v>
      </c>
      <c r="C178" t="s">
        <v>303</v>
      </c>
      <c r="D178">
        <v>202709</v>
      </c>
      <c r="E178">
        <v>792.69</v>
      </c>
      <c r="F178" t="str">
        <f t="shared" si="2"/>
        <v>09</v>
      </c>
    </row>
    <row r="179" spans="1:6">
      <c r="A179" t="s">
        <v>304</v>
      </c>
      <c r="B179">
        <v>677536463</v>
      </c>
      <c r="C179" t="s">
        <v>303</v>
      </c>
      <c r="D179">
        <v>202724</v>
      </c>
      <c r="E179">
        <v>600.65</v>
      </c>
      <c r="F179" t="str">
        <f t="shared" si="2"/>
        <v>24</v>
      </c>
    </row>
    <row r="180" spans="1:6">
      <c r="A180" t="s">
        <v>304</v>
      </c>
      <c r="B180">
        <v>677536463</v>
      </c>
      <c r="C180" t="s">
        <v>303</v>
      </c>
      <c r="D180">
        <v>202538</v>
      </c>
      <c r="E180">
        <v>729.84</v>
      </c>
      <c r="F180" t="str">
        <f t="shared" si="2"/>
        <v>38</v>
      </c>
    </row>
    <row r="181" spans="1:6">
      <c r="A181" t="s">
        <v>304</v>
      </c>
      <c r="B181">
        <v>677536463</v>
      </c>
      <c r="C181" t="s">
        <v>303</v>
      </c>
      <c r="D181">
        <v>202631</v>
      </c>
      <c r="E181">
        <v>635.64</v>
      </c>
      <c r="F181" t="str">
        <f t="shared" si="2"/>
        <v>31</v>
      </c>
    </row>
    <row r="182" spans="1:6">
      <c r="A182" t="s">
        <v>304</v>
      </c>
      <c r="B182">
        <v>677536463</v>
      </c>
      <c r="C182" t="s">
        <v>303</v>
      </c>
      <c r="D182">
        <v>202615</v>
      </c>
      <c r="E182">
        <v>617.39</v>
      </c>
      <c r="F182" t="str">
        <f t="shared" si="2"/>
        <v>15</v>
      </c>
    </row>
    <row r="183" spans="1:6">
      <c r="A183" t="s">
        <v>304</v>
      </c>
      <c r="B183">
        <v>677536463</v>
      </c>
      <c r="C183" t="s">
        <v>303</v>
      </c>
      <c r="D183">
        <v>202718</v>
      </c>
      <c r="E183">
        <v>588.73</v>
      </c>
      <c r="F183" t="str">
        <f t="shared" si="2"/>
        <v>18</v>
      </c>
    </row>
    <row r="184" spans="1:6">
      <c r="A184" t="s">
        <v>304</v>
      </c>
      <c r="B184">
        <v>677536463</v>
      </c>
      <c r="C184" t="s">
        <v>303</v>
      </c>
      <c r="D184">
        <v>202611</v>
      </c>
      <c r="E184">
        <v>750</v>
      </c>
      <c r="F184" t="str">
        <f t="shared" si="2"/>
        <v>11</v>
      </c>
    </row>
    <row r="185" spans="1:6">
      <c r="A185" t="s">
        <v>304</v>
      </c>
      <c r="B185">
        <v>677536463</v>
      </c>
      <c r="C185" t="s">
        <v>303</v>
      </c>
      <c r="D185">
        <v>202729</v>
      </c>
      <c r="E185">
        <v>668.72</v>
      </c>
      <c r="F185" t="str">
        <f t="shared" si="2"/>
        <v>29</v>
      </c>
    </row>
    <row r="186" spans="1:6">
      <c r="A186" t="s">
        <v>304</v>
      </c>
      <c r="B186">
        <v>677536463</v>
      </c>
      <c r="C186" t="s">
        <v>303</v>
      </c>
      <c r="D186">
        <v>202645</v>
      </c>
      <c r="E186">
        <v>928.77</v>
      </c>
      <c r="F186" t="str">
        <f t="shared" si="2"/>
        <v>45</v>
      </c>
    </row>
    <row r="187" spans="1:6">
      <c r="A187" t="s">
        <v>304</v>
      </c>
      <c r="B187">
        <v>677536463</v>
      </c>
      <c r="C187" t="s">
        <v>303</v>
      </c>
      <c r="D187">
        <v>202712</v>
      </c>
      <c r="E187">
        <v>698.86</v>
      </c>
      <c r="F187" t="str">
        <f t="shared" si="2"/>
        <v>12</v>
      </c>
    </row>
    <row r="188" spans="1:6">
      <c r="A188" t="s">
        <v>304</v>
      </c>
      <c r="B188">
        <v>677536463</v>
      </c>
      <c r="C188" t="s">
        <v>303</v>
      </c>
      <c r="D188">
        <v>202648</v>
      </c>
      <c r="E188">
        <v>772.17</v>
      </c>
      <c r="F188" t="str">
        <f t="shared" si="2"/>
        <v>48</v>
      </c>
    </row>
    <row r="189" spans="1:6">
      <c r="A189" t="s">
        <v>304</v>
      </c>
      <c r="B189">
        <v>677536463</v>
      </c>
      <c r="C189" t="s">
        <v>303</v>
      </c>
      <c r="D189">
        <v>202630</v>
      </c>
      <c r="E189">
        <v>669.34</v>
      </c>
      <c r="F189" t="str">
        <f t="shared" si="2"/>
        <v>30</v>
      </c>
    </row>
    <row r="190" spans="1:6">
      <c r="A190" t="s">
        <v>304</v>
      </c>
      <c r="B190">
        <v>677536463</v>
      </c>
      <c r="C190" t="s">
        <v>303</v>
      </c>
      <c r="D190">
        <v>202537</v>
      </c>
      <c r="E190">
        <v>748.35</v>
      </c>
      <c r="F190" t="str">
        <f t="shared" si="2"/>
        <v>37</v>
      </c>
    </row>
    <row r="191" spans="1:6">
      <c r="A191" t="s">
        <v>304</v>
      </c>
      <c r="B191">
        <v>677536463</v>
      </c>
      <c r="C191" t="s">
        <v>303</v>
      </c>
      <c r="D191">
        <v>202730</v>
      </c>
      <c r="E191">
        <v>634.70000000000005</v>
      </c>
      <c r="F191" t="str">
        <f t="shared" si="2"/>
        <v>30</v>
      </c>
    </row>
    <row r="192" spans="1:6">
      <c r="A192" t="s">
        <v>304</v>
      </c>
      <c r="B192">
        <v>677536463</v>
      </c>
      <c r="C192" t="s">
        <v>303</v>
      </c>
      <c r="D192">
        <v>202725</v>
      </c>
      <c r="E192">
        <v>617.75</v>
      </c>
      <c r="F192" t="str">
        <f t="shared" si="2"/>
        <v>25</v>
      </c>
    </row>
    <row r="193" spans="1:6">
      <c r="A193" t="s">
        <v>304</v>
      </c>
      <c r="B193">
        <v>677536463</v>
      </c>
      <c r="C193" t="s">
        <v>303</v>
      </c>
      <c r="D193">
        <v>202624</v>
      </c>
      <c r="E193">
        <v>601.32000000000005</v>
      </c>
      <c r="F193" t="str">
        <f t="shared" si="2"/>
        <v>24</v>
      </c>
    </row>
    <row r="194" spans="1:6">
      <c r="A194" t="s">
        <v>304</v>
      </c>
      <c r="B194">
        <v>677536463</v>
      </c>
      <c r="C194" t="s">
        <v>303</v>
      </c>
      <c r="D194">
        <v>202713</v>
      </c>
      <c r="E194">
        <v>705.26</v>
      </c>
      <c r="F194" t="str">
        <f t="shared" si="2"/>
        <v>13</v>
      </c>
    </row>
    <row r="195" spans="1:6">
      <c r="A195" t="s">
        <v>304</v>
      </c>
      <c r="B195">
        <v>677536463</v>
      </c>
      <c r="C195" t="s">
        <v>303</v>
      </c>
      <c r="D195">
        <v>202635</v>
      </c>
      <c r="E195">
        <v>837.92</v>
      </c>
      <c r="F195" t="str">
        <f t="shared" si="2"/>
        <v>35</v>
      </c>
    </row>
    <row r="196" spans="1:6">
      <c r="A196" t="s">
        <v>304</v>
      </c>
      <c r="B196">
        <v>677536463</v>
      </c>
      <c r="C196" t="s">
        <v>303</v>
      </c>
      <c r="D196">
        <v>202722</v>
      </c>
      <c r="E196">
        <v>606.07000000000005</v>
      </c>
      <c r="F196" t="str">
        <f t="shared" si="2"/>
        <v>22</v>
      </c>
    </row>
    <row r="197" spans="1:6">
      <c r="A197" t="s">
        <v>304</v>
      </c>
      <c r="B197">
        <v>677536463</v>
      </c>
      <c r="C197" t="s">
        <v>303</v>
      </c>
      <c r="D197">
        <v>202541</v>
      </c>
      <c r="E197">
        <v>759</v>
      </c>
      <c r="F197" t="str">
        <f t="shared" si="2"/>
        <v>41</v>
      </c>
    </row>
    <row r="198" spans="1:6">
      <c r="A198" t="s">
        <v>304</v>
      </c>
      <c r="B198">
        <v>677536463</v>
      </c>
      <c r="C198" t="s">
        <v>303</v>
      </c>
      <c r="D198">
        <v>202605</v>
      </c>
      <c r="E198">
        <v>877.31</v>
      </c>
      <c r="F198" t="str">
        <f t="shared" si="2"/>
        <v>05</v>
      </c>
    </row>
    <row r="199" spans="1:6">
      <c r="A199" t="s">
        <v>304</v>
      </c>
      <c r="B199">
        <v>677536463</v>
      </c>
      <c r="C199" t="s">
        <v>303</v>
      </c>
      <c r="D199">
        <v>202715</v>
      </c>
      <c r="E199">
        <v>616.88</v>
      </c>
      <c r="F199" t="str">
        <f t="shared" si="2"/>
        <v>15</v>
      </c>
    </row>
    <row r="200" spans="1:6">
      <c r="A200" t="s">
        <v>304</v>
      </c>
      <c r="B200">
        <v>677536463</v>
      </c>
      <c r="C200" t="s">
        <v>303</v>
      </c>
      <c r="D200">
        <v>202726</v>
      </c>
      <c r="E200">
        <v>668.63</v>
      </c>
      <c r="F200" t="str">
        <f t="shared" si="2"/>
        <v>26</v>
      </c>
    </row>
    <row r="201" spans="1:6">
      <c r="A201" t="s">
        <v>304</v>
      </c>
      <c r="B201">
        <v>677536463</v>
      </c>
      <c r="C201" t="s">
        <v>303</v>
      </c>
      <c r="D201">
        <v>202551</v>
      </c>
      <c r="E201">
        <v>531.53</v>
      </c>
      <c r="F201" t="str">
        <f t="shared" si="2"/>
        <v>51</v>
      </c>
    </row>
    <row r="202" spans="1:6">
      <c r="A202" t="s">
        <v>304</v>
      </c>
      <c r="B202">
        <v>677536463</v>
      </c>
      <c r="C202" t="s">
        <v>303</v>
      </c>
      <c r="D202">
        <v>202640</v>
      </c>
      <c r="E202">
        <v>772.03</v>
      </c>
      <c r="F202" t="str">
        <f t="shared" si="2"/>
        <v>40</v>
      </c>
    </row>
    <row r="203" spans="1:6">
      <c r="A203" t="s">
        <v>304</v>
      </c>
      <c r="B203">
        <v>677536463</v>
      </c>
      <c r="C203" t="s">
        <v>303</v>
      </c>
      <c r="D203">
        <v>202646</v>
      </c>
      <c r="E203">
        <v>1228.5999999999999</v>
      </c>
      <c r="F203" t="str">
        <f t="shared" si="2"/>
        <v>46</v>
      </c>
    </row>
    <row r="204" spans="1:6">
      <c r="A204" t="s">
        <v>304</v>
      </c>
      <c r="B204">
        <v>677536463</v>
      </c>
      <c r="C204" t="s">
        <v>303</v>
      </c>
      <c r="D204">
        <v>202652</v>
      </c>
      <c r="E204">
        <v>556.51</v>
      </c>
      <c r="F204" t="str">
        <f t="shared" si="2"/>
        <v>52</v>
      </c>
    </row>
    <row r="205" spans="1:6">
      <c r="A205" t="s">
        <v>304</v>
      </c>
      <c r="B205">
        <v>677536463</v>
      </c>
      <c r="C205" t="s">
        <v>303</v>
      </c>
      <c r="D205">
        <v>202602</v>
      </c>
      <c r="E205">
        <v>579.46</v>
      </c>
      <c r="F205" t="str">
        <f t="shared" si="2"/>
        <v>02</v>
      </c>
    </row>
    <row r="206" spans="1:6">
      <c r="A206" t="s">
        <v>304</v>
      </c>
      <c r="B206">
        <v>677536463</v>
      </c>
      <c r="C206" t="s">
        <v>303</v>
      </c>
      <c r="D206">
        <v>202633</v>
      </c>
      <c r="E206">
        <v>728.12</v>
      </c>
      <c r="F206" t="str">
        <f t="shared" si="2"/>
        <v>33</v>
      </c>
    </row>
    <row r="207" spans="1:6">
      <c r="A207" t="s">
        <v>304</v>
      </c>
      <c r="B207">
        <v>677536463</v>
      </c>
      <c r="C207" t="s">
        <v>303</v>
      </c>
      <c r="D207">
        <v>202619</v>
      </c>
      <c r="E207">
        <v>603.23</v>
      </c>
      <c r="F207" t="str">
        <f t="shared" si="2"/>
        <v>19</v>
      </c>
    </row>
    <row r="208" spans="1:6">
      <c r="A208" t="s">
        <v>304</v>
      </c>
      <c r="B208">
        <v>677536463</v>
      </c>
      <c r="C208" t="s">
        <v>303</v>
      </c>
      <c r="D208">
        <v>202639</v>
      </c>
      <c r="E208">
        <v>785.44</v>
      </c>
      <c r="F208" t="str">
        <f t="shared" si="2"/>
        <v>39</v>
      </c>
    </row>
    <row r="209" spans="1:6">
      <c r="A209" t="s">
        <v>304</v>
      </c>
      <c r="B209">
        <v>677536463</v>
      </c>
      <c r="C209" t="s">
        <v>303</v>
      </c>
      <c r="D209">
        <v>202540</v>
      </c>
      <c r="E209">
        <v>774.03</v>
      </c>
      <c r="F209" t="str">
        <f t="shared" si="2"/>
        <v>40</v>
      </c>
    </row>
    <row r="210" spans="1:6">
      <c r="A210" t="s">
        <v>304</v>
      </c>
      <c r="B210">
        <v>677536463</v>
      </c>
      <c r="C210" t="s">
        <v>303</v>
      </c>
      <c r="D210">
        <v>202613</v>
      </c>
      <c r="E210">
        <v>705.81</v>
      </c>
      <c r="F210" t="str">
        <f t="shared" si="2"/>
        <v>13</v>
      </c>
    </row>
    <row r="211" spans="1:6">
      <c r="A211" t="s">
        <v>304</v>
      </c>
      <c r="B211">
        <v>677536463</v>
      </c>
      <c r="C211" t="s">
        <v>303</v>
      </c>
      <c r="D211">
        <v>202549</v>
      </c>
      <c r="E211">
        <v>687.7</v>
      </c>
      <c r="F211" t="str">
        <f t="shared" si="2"/>
        <v>49</v>
      </c>
    </row>
    <row r="212" spans="1:6">
      <c r="A212" t="s">
        <v>304</v>
      </c>
      <c r="B212">
        <v>677536463</v>
      </c>
      <c r="C212" t="s">
        <v>303</v>
      </c>
      <c r="D212">
        <v>202707</v>
      </c>
      <c r="E212">
        <v>817.39</v>
      </c>
      <c r="F212" t="str">
        <f t="shared" si="2"/>
        <v>07</v>
      </c>
    </row>
    <row r="213" spans="1:6">
      <c r="A213" t="s">
        <v>304</v>
      </c>
      <c r="B213">
        <v>677536463</v>
      </c>
      <c r="C213" t="s">
        <v>303</v>
      </c>
      <c r="D213">
        <v>202617</v>
      </c>
      <c r="E213">
        <v>542.75</v>
      </c>
      <c r="F213" t="str">
        <f t="shared" ref="F213:F227" si="3">RIGHT(D213,2)</f>
        <v>17</v>
      </c>
    </row>
    <row r="214" spans="1:6">
      <c r="A214" t="s">
        <v>304</v>
      </c>
      <c r="B214">
        <v>677536463</v>
      </c>
      <c r="C214" t="s">
        <v>303</v>
      </c>
      <c r="D214">
        <v>202636</v>
      </c>
      <c r="E214">
        <v>757.3</v>
      </c>
      <c r="F214" t="str">
        <f t="shared" si="3"/>
        <v>36</v>
      </c>
    </row>
    <row r="215" spans="1:6">
      <c r="A215" t="s">
        <v>304</v>
      </c>
      <c r="B215">
        <v>677536463</v>
      </c>
      <c r="C215" t="s">
        <v>303</v>
      </c>
      <c r="D215">
        <v>202625</v>
      </c>
      <c r="E215">
        <v>618.89</v>
      </c>
      <c r="F215" t="str">
        <f t="shared" si="3"/>
        <v>25</v>
      </c>
    </row>
    <row r="216" spans="1:6">
      <c r="A216" t="s">
        <v>304</v>
      </c>
      <c r="B216">
        <v>677536463</v>
      </c>
      <c r="C216" t="s">
        <v>303</v>
      </c>
      <c r="D216">
        <v>202550</v>
      </c>
      <c r="E216">
        <v>638.08000000000004</v>
      </c>
      <c r="F216" t="str">
        <f t="shared" si="3"/>
        <v>50</v>
      </c>
    </row>
    <row r="217" spans="1:6">
      <c r="A217" t="s">
        <v>304</v>
      </c>
      <c r="B217">
        <v>677536463</v>
      </c>
      <c r="C217" t="s">
        <v>303</v>
      </c>
      <c r="D217">
        <v>202701</v>
      </c>
      <c r="E217">
        <v>535.42999999999995</v>
      </c>
      <c r="F217" t="str">
        <f t="shared" si="3"/>
        <v>01</v>
      </c>
    </row>
    <row r="218" spans="1:6">
      <c r="A218" t="s">
        <v>304</v>
      </c>
      <c r="B218">
        <v>677536463</v>
      </c>
      <c r="C218" t="s">
        <v>303</v>
      </c>
      <c r="D218">
        <v>202727</v>
      </c>
      <c r="E218">
        <v>675.2</v>
      </c>
      <c r="F218" t="str">
        <f t="shared" si="3"/>
        <v>27</v>
      </c>
    </row>
    <row r="219" spans="1:6">
      <c r="A219" t="s">
        <v>304</v>
      </c>
      <c r="B219">
        <v>677536463</v>
      </c>
      <c r="C219" t="s">
        <v>303</v>
      </c>
      <c r="D219">
        <v>202644</v>
      </c>
      <c r="E219">
        <v>819.01</v>
      </c>
      <c r="F219" t="str">
        <f t="shared" si="3"/>
        <v>44</v>
      </c>
    </row>
    <row r="220" spans="1:6">
      <c r="A220" t="s">
        <v>304</v>
      </c>
      <c r="B220">
        <v>677536463</v>
      </c>
      <c r="C220" t="s">
        <v>303</v>
      </c>
      <c r="D220">
        <v>202534</v>
      </c>
      <c r="E220">
        <v>772.18</v>
      </c>
      <c r="F220" t="str">
        <f t="shared" si="3"/>
        <v>34</v>
      </c>
    </row>
    <row r="221" spans="1:6">
      <c r="A221" t="s">
        <v>304</v>
      </c>
      <c r="B221">
        <v>677536463</v>
      </c>
      <c r="C221" t="s">
        <v>303</v>
      </c>
      <c r="D221">
        <v>202606</v>
      </c>
      <c r="E221">
        <v>813.02</v>
      </c>
      <c r="F221" t="str">
        <f t="shared" si="3"/>
        <v>06</v>
      </c>
    </row>
    <row r="222" spans="1:6">
      <c r="A222" t="s">
        <v>304</v>
      </c>
      <c r="B222">
        <v>677536463</v>
      </c>
      <c r="C222" t="s">
        <v>303</v>
      </c>
      <c r="D222">
        <v>202609</v>
      </c>
      <c r="E222">
        <v>793.07</v>
      </c>
      <c r="F222" t="str">
        <f t="shared" si="3"/>
        <v>09</v>
      </c>
    </row>
    <row r="223" spans="1:6">
      <c r="A223" t="s">
        <v>304</v>
      </c>
      <c r="B223">
        <v>677536463</v>
      </c>
      <c r="C223" t="s">
        <v>303</v>
      </c>
      <c r="D223">
        <v>202628</v>
      </c>
      <c r="E223">
        <v>741.08</v>
      </c>
      <c r="F223" t="str">
        <f t="shared" si="3"/>
        <v>28</v>
      </c>
    </row>
    <row r="224" spans="1:6">
      <c r="A224" t="s">
        <v>304</v>
      </c>
      <c r="B224">
        <v>677536463</v>
      </c>
      <c r="C224" t="s">
        <v>303</v>
      </c>
      <c r="D224">
        <v>202544</v>
      </c>
      <c r="E224">
        <v>821.41</v>
      </c>
      <c r="F224" t="str">
        <f t="shared" si="3"/>
        <v>44</v>
      </c>
    </row>
    <row r="225" spans="1:6">
      <c r="A225" t="s">
        <v>304</v>
      </c>
      <c r="B225">
        <v>677536463</v>
      </c>
      <c r="C225" t="s">
        <v>303</v>
      </c>
      <c r="D225">
        <v>202601</v>
      </c>
      <c r="E225">
        <v>536.41</v>
      </c>
      <c r="F225" t="str">
        <f t="shared" si="3"/>
        <v>01</v>
      </c>
    </row>
    <row r="226" spans="1:6">
      <c r="A226" t="s">
        <v>304</v>
      </c>
      <c r="B226">
        <v>677536463</v>
      </c>
      <c r="C226" t="s">
        <v>303</v>
      </c>
      <c r="D226">
        <v>202548</v>
      </c>
      <c r="E226">
        <v>774.2</v>
      </c>
      <c r="F226" t="str">
        <f t="shared" si="3"/>
        <v>48</v>
      </c>
    </row>
    <row r="227" spans="1:6">
      <c r="A227" t="s">
        <v>304</v>
      </c>
      <c r="B227">
        <v>677536463</v>
      </c>
      <c r="C227" t="s">
        <v>303</v>
      </c>
      <c r="D227">
        <v>202723</v>
      </c>
      <c r="E227">
        <v>606.63</v>
      </c>
      <c r="F227" t="str">
        <f t="shared" si="3"/>
        <v>23</v>
      </c>
    </row>
    <row r="228" spans="1:6">
      <c r="F228" t="str">
        <f t="shared" ref="F228:F268" si="4">RIGHT(D228,2)</f>
        <v/>
      </c>
    </row>
    <row r="229" spans="1:6">
      <c r="F229" t="str">
        <f t="shared" si="4"/>
        <v/>
      </c>
    </row>
    <row r="230" spans="1:6">
      <c r="F230" t="str">
        <f t="shared" si="4"/>
        <v/>
      </c>
    </row>
    <row r="231" spans="1:6">
      <c r="F231" t="str">
        <f t="shared" si="4"/>
        <v/>
      </c>
    </row>
    <row r="232" spans="1:6">
      <c r="F232" t="str">
        <f t="shared" si="4"/>
        <v/>
      </c>
    </row>
    <row r="233" spans="1:6">
      <c r="F233" t="str">
        <f t="shared" si="4"/>
        <v/>
      </c>
    </row>
    <row r="234" spans="1:6">
      <c r="F234" t="str">
        <f t="shared" si="4"/>
        <v/>
      </c>
    </row>
    <row r="235" spans="1:6">
      <c r="F235" t="str">
        <f t="shared" si="4"/>
        <v/>
      </c>
    </row>
    <row r="236" spans="1:6">
      <c r="F236" t="str">
        <f t="shared" si="4"/>
        <v/>
      </c>
    </row>
    <row r="237" spans="1:6">
      <c r="F237" t="str">
        <f t="shared" si="4"/>
        <v/>
      </c>
    </row>
    <row r="238" spans="1:6">
      <c r="F238" t="str">
        <f t="shared" si="4"/>
        <v/>
      </c>
    </row>
    <row r="239" spans="1:6">
      <c r="F239" t="str">
        <f t="shared" si="4"/>
        <v/>
      </c>
    </row>
    <row r="240" spans="1:6">
      <c r="F240" t="str">
        <f t="shared" si="4"/>
        <v/>
      </c>
    </row>
    <row r="241" spans="6:6">
      <c r="F241" t="str">
        <f t="shared" si="4"/>
        <v/>
      </c>
    </row>
    <row r="242" spans="6:6">
      <c r="F242" t="str">
        <f t="shared" si="4"/>
        <v/>
      </c>
    </row>
    <row r="243" spans="6:6">
      <c r="F243" t="str">
        <f t="shared" si="4"/>
        <v/>
      </c>
    </row>
    <row r="244" spans="6:6">
      <c r="F244" t="str">
        <f t="shared" si="4"/>
        <v/>
      </c>
    </row>
    <row r="245" spans="6:6">
      <c r="F245" t="str">
        <f t="shared" si="4"/>
        <v/>
      </c>
    </row>
    <row r="246" spans="6:6">
      <c r="F246" t="str">
        <f t="shared" si="4"/>
        <v/>
      </c>
    </row>
    <row r="247" spans="6:6">
      <c r="F247" t="str">
        <f t="shared" si="4"/>
        <v/>
      </c>
    </row>
    <row r="248" spans="6:6">
      <c r="F248" t="str">
        <f t="shared" si="4"/>
        <v/>
      </c>
    </row>
    <row r="249" spans="6:6">
      <c r="F249" t="str">
        <f t="shared" si="4"/>
        <v/>
      </c>
    </row>
    <row r="250" spans="6:6">
      <c r="F250" t="str">
        <f t="shared" si="4"/>
        <v/>
      </c>
    </row>
    <row r="251" spans="6:6">
      <c r="F251" t="str">
        <f t="shared" si="4"/>
        <v/>
      </c>
    </row>
    <row r="252" spans="6:6">
      <c r="F252" t="str">
        <f t="shared" si="4"/>
        <v/>
      </c>
    </row>
    <row r="253" spans="6:6">
      <c r="F253" t="str">
        <f t="shared" si="4"/>
        <v/>
      </c>
    </row>
    <row r="254" spans="6:6">
      <c r="F254" t="str">
        <f t="shared" si="4"/>
        <v/>
      </c>
    </row>
    <row r="255" spans="6:6">
      <c r="F255" t="str">
        <f t="shared" si="4"/>
        <v/>
      </c>
    </row>
    <row r="256" spans="6:6">
      <c r="F256" t="str">
        <f t="shared" si="4"/>
        <v/>
      </c>
    </row>
    <row r="257" spans="6:6">
      <c r="F257" t="str">
        <f t="shared" si="4"/>
        <v/>
      </c>
    </row>
    <row r="258" spans="6:6">
      <c r="F258" t="str">
        <f t="shared" si="4"/>
        <v/>
      </c>
    </row>
    <row r="259" spans="6:6">
      <c r="F259" t="str">
        <f t="shared" si="4"/>
        <v/>
      </c>
    </row>
    <row r="260" spans="6:6">
      <c r="F260" t="str">
        <f t="shared" si="4"/>
        <v/>
      </c>
    </row>
    <row r="261" spans="6:6">
      <c r="F261" t="str">
        <f t="shared" si="4"/>
        <v/>
      </c>
    </row>
    <row r="262" spans="6:6">
      <c r="F262" t="str">
        <f t="shared" si="4"/>
        <v/>
      </c>
    </row>
    <row r="263" spans="6:6">
      <c r="F263" t="str">
        <f t="shared" si="4"/>
        <v/>
      </c>
    </row>
    <row r="264" spans="6:6">
      <c r="F264" t="str">
        <f t="shared" si="4"/>
        <v/>
      </c>
    </row>
    <row r="265" spans="6:6">
      <c r="F265" t="str">
        <f t="shared" si="4"/>
        <v/>
      </c>
    </row>
    <row r="266" spans="6:6">
      <c r="F266" t="str">
        <f t="shared" si="4"/>
        <v/>
      </c>
    </row>
    <row r="267" spans="6:6">
      <c r="F267" t="str">
        <f t="shared" si="4"/>
        <v/>
      </c>
    </row>
    <row r="268" spans="6:6">
      <c r="F268" t="str">
        <f t="shared" si="4"/>
        <v/>
      </c>
    </row>
    <row r="269" spans="6:6">
      <c r="F269" t="str">
        <f t="shared" ref="F269:F332" si="5">RIGHT(D269,2)</f>
        <v/>
      </c>
    </row>
    <row r="270" spans="6:6">
      <c r="F270" t="str">
        <f t="shared" si="5"/>
        <v/>
      </c>
    </row>
    <row r="271" spans="6:6">
      <c r="F271" t="str">
        <f t="shared" si="5"/>
        <v/>
      </c>
    </row>
    <row r="272" spans="6:6">
      <c r="F272" t="str">
        <f t="shared" si="5"/>
        <v/>
      </c>
    </row>
    <row r="273" spans="6:6">
      <c r="F273" t="str">
        <f t="shared" si="5"/>
        <v/>
      </c>
    </row>
    <row r="274" spans="6:6">
      <c r="F274" t="str">
        <f t="shared" si="5"/>
        <v/>
      </c>
    </row>
    <row r="275" spans="6:6">
      <c r="F275" t="str">
        <f t="shared" si="5"/>
        <v/>
      </c>
    </row>
    <row r="276" spans="6:6">
      <c r="F276" t="str">
        <f t="shared" si="5"/>
        <v/>
      </c>
    </row>
    <row r="277" spans="6:6">
      <c r="F277" t="str">
        <f t="shared" si="5"/>
        <v/>
      </c>
    </row>
    <row r="278" spans="6:6">
      <c r="F278" t="str">
        <f t="shared" si="5"/>
        <v/>
      </c>
    </row>
    <row r="279" spans="6:6">
      <c r="F279" t="str">
        <f t="shared" si="5"/>
        <v/>
      </c>
    </row>
    <row r="280" spans="6:6">
      <c r="F280" t="str">
        <f t="shared" si="5"/>
        <v/>
      </c>
    </row>
    <row r="281" spans="6:6">
      <c r="F281" t="str">
        <f t="shared" si="5"/>
        <v/>
      </c>
    </row>
    <row r="282" spans="6:6">
      <c r="F282" t="str">
        <f t="shared" si="5"/>
        <v/>
      </c>
    </row>
    <row r="283" spans="6:6">
      <c r="F283" t="str">
        <f t="shared" si="5"/>
        <v/>
      </c>
    </row>
    <row r="284" spans="6:6">
      <c r="F284" t="str">
        <f t="shared" si="5"/>
        <v/>
      </c>
    </row>
    <row r="285" spans="6:6">
      <c r="F285" t="str">
        <f t="shared" si="5"/>
        <v/>
      </c>
    </row>
    <row r="286" spans="6:6">
      <c r="F286" t="str">
        <f t="shared" si="5"/>
        <v/>
      </c>
    </row>
    <row r="287" spans="6:6">
      <c r="F287" t="str">
        <f t="shared" si="5"/>
        <v/>
      </c>
    </row>
    <row r="288" spans="6:6">
      <c r="F288" t="str">
        <f t="shared" si="5"/>
        <v/>
      </c>
    </row>
    <row r="289" spans="6:6">
      <c r="F289" t="str">
        <f t="shared" si="5"/>
        <v/>
      </c>
    </row>
    <row r="290" spans="6:6">
      <c r="F290" t="str">
        <f t="shared" si="5"/>
        <v/>
      </c>
    </row>
    <row r="291" spans="6:6">
      <c r="F291" t="str">
        <f t="shared" si="5"/>
        <v/>
      </c>
    </row>
    <row r="292" spans="6:6">
      <c r="F292" t="str">
        <f t="shared" si="5"/>
        <v/>
      </c>
    </row>
    <row r="293" spans="6:6">
      <c r="F293" t="str">
        <f t="shared" si="5"/>
        <v/>
      </c>
    </row>
    <row r="294" spans="6:6">
      <c r="F294" t="str">
        <f t="shared" si="5"/>
        <v/>
      </c>
    </row>
    <row r="295" spans="6:6">
      <c r="F295" t="str">
        <f t="shared" si="5"/>
        <v/>
      </c>
    </row>
    <row r="296" spans="6:6">
      <c r="F296" t="str">
        <f t="shared" si="5"/>
        <v/>
      </c>
    </row>
    <row r="297" spans="6:6">
      <c r="F297" t="str">
        <f t="shared" si="5"/>
        <v/>
      </c>
    </row>
    <row r="298" spans="6:6">
      <c r="F298" t="str">
        <f t="shared" si="5"/>
        <v/>
      </c>
    </row>
    <row r="299" spans="6:6">
      <c r="F299" t="str">
        <f t="shared" si="5"/>
        <v/>
      </c>
    </row>
    <row r="300" spans="6:6">
      <c r="F300" t="str">
        <f t="shared" si="5"/>
        <v/>
      </c>
    </row>
    <row r="301" spans="6:6">
      <c r="F301" t="str">
        <f t="shared" si="5"/>
        <v/>
      </c>
    </row>
    <row r="302" spans="6:6">
      <c r="F302" t="str">
        <f t="shared" si="5"/>
        <v/>
      </c>
    </row>
    <row r="303" spans="6:6">
      <c r="F303" t="str">
        <f t="shared" si="5"/>
        <v/>
      </c>
    </row>
    <row r="304" spans="6:6">
      <c r="F304" t="str">
        <f t="shared" si="5"/>
        <v/>
      </c>
    </row>
    <row r="305" spans="6:6">
      <c r="F305" t="str">
        <f t="shared" si="5"/>
        <v/>
      </c>
    </row>
    <row r="306" spans="6:6">
      <c r="F306" t="str">
        <f t="shared" si="5"/>
        <v/>
      </c>
    </row>
    <row r="307" spans="6:6">
      <c r="F307" t="str">
        <f t="shared" si="5"/>
        <v/>
      </c>
    </row>
    <row r="308" spans="6:6">
      <c r="F308" t="str">
        <f t="shared" si="5"/>
        <v/>
      </c>
    </row>
    <row r="309" spans="6:6">
      <c r="F309" t="str">
        <f t="shared" si="5"/>
        <v/>
      </c>
    </row>
    <row r="310" spans="6:6">
      <c r="F310" t="str">
        <f t="shared" si="5"/>
        <v/>
      </c>
    </row>
    <row r="311" spans="6:6">
      <c r="F311" t="str">
        <f t="shared" si="5"/>
        <v/>
      </c>
    </row>
    <row r="312" spans="6:6">
      <c r="F312" t="str">
        <f t="shared" si="5"/>
        <v/>
      </c>
    </row>
    <row r="313" spans="6:6">
      <c r="F313" t="str">
        <f t="shared" si="5"/>
        <v/>
      </c>
    </row>
    <row r="314" spans="6:6">
      <c r="F314" t="str">
        <f t="shared" si="5"/>
        <v/>
      </c>
    </row>
    <row r="315" spans="6:6">
      <c r="F315" t="str">
        <f t="shared" si="5"/>
        <v/>
      </c>
    </row>
    <row r="316" spans="6:6">
      <c r="F316" t="str">
        <f t="shared" si="5"/>
        <v/>
      </c>
    </row>
    <row r="317" spans="6:6">
      <c r="F317" t="str">
        <f t="shared" si="5"/>
        <v/>
      </c>
    </row>
    <row r="318" spans="6:6">
      <c r="F318" t="str">
        <f t="shared" si="5"/>
        <v/>
      </c>
    </row>
    <row r="319" spans="6:6">
      <c r="F319" t="str">
        <f t="shared" si="5"/>
        <v/>
      </c>
    </row>
    <row r="320" spans="6:6">
      <c r="F320" t="str">
        <f t="shared" si="5"/>
        <v/>
      </c>
    </row>
    <row r="321" spans="6:6">
      <c r="F321" t="str">
        <f t="shared" si="5"/>
        <v/>
      </c>
    </row>
    <row r="322" spans="6:6">
      <c r="F322" t="str">
        <f t="shared" si="5"/>
        <v/>
      </c>
    </row>
    <row r="323" spans="6:6">
      <c r="F323" t="str">
        <f t="shared" si="5"/>
        <v/>
      </c>
    </row>
    <row r="324" spans="6:6">
      <c r="F324" t="str">
        <f t="shared" si="5"/>
        <v/>
      </c>
    </row>
    <row r="325" spans="6:6">
      <c r="F325" t="str">
        <f t="shared" si="5"/>
        <v/>
      </c>
    </row>
    <row r="326" spans="6:6">
      <c r="F326" t="str">
        <f t="shared" si="5"/>
        <v/>
      </c>
    </row>
    <row r="327" spans="6:6">
      <c r="F327" t="str">
        <f t="shared" si="5"/>
        <v/>
      </c>
    </row>
    <row r="328" spans="6:6">
      <c r="F328" t="str">
        <f t="shared" si="5"/>
        <v/>
      </c>
    </row>
    <row r="329" spans="6:6">
      <c r="F329" t="str">
        <f t="shared" si="5"/>
        <v/>
      </c>
    </row>
    <row r="330" spans="6:6">
      <c r="F330" t="str">
        <f t="shared" si="5"/>
        <v/>
      </c>
    </row>
    <row r="331" spans="6:6">
      <c r="F331" t="str">
        <f t="shared" si="5"/>
        <v/>
      </c>
    </row>
    <row r="332" spans="6:6">
      <c r="F332" t="str">
        <f t="shared" si="5"/>
        <v/>
      </c>
    </row>
    <row r="333" spans="6:6">
      <c r="F333" t="str">
        <f t="shared" ref="F333:F396" si="6">RIGHT(D333,2)</f>
        <v/>
      </c>
    </row>
    <row r="334" spans="6:6">
      <c r="F334" t="str">
        <f t="shared" si="6"/>
        <v/>
      </c>
    </row>
    <row r="335" spans="6:6">
      <c r="F335" t="str">
        <f t="shared" si="6"/>
        <v/>
      </c>
    </row>
    <row r="336" spans="6:6">
      <c r="F336" t="str">
        <f t="shared" si="6"/>
        <v/>
      </c>
    </row>
    <row r="337" spans="6:6">
      <c r="F337" t="str">
        <f t="shared" si="6"/>
        <v/>
      </c>
    </row>
    <row r="338" spans="6:6">
      <c r="F338" t="str">
        <f t="shared" si="6"/>
        <v/>
      </c>
    </row>
    <row r="339" spans="6:6">
      <c r="F339" t="str">
        <f t="shared" si="6"/>
        <v/>
      </c>
    </row>
    <row r="340" spans="6:6">
      <c r="F340" t="str">
        <f t="shared" si="6"/>
        <v/>
      </c>
    </row>
    <row r="341" spans="6:6">
      <c r="F341" t="str">
        <f t="shared" si="6"/>
        <v/>
      </c>
    </row>
    <row r="342" spans="6:6">
      <c r="F342" t="str">
        <f t="shared" si="6"/>
        <v/>
      </c>
    </row>
    <row r="343" spans="6:6">
      <c r="F343" t="str">
        <f t="shared" si="6"/>
        <v/>
      </c>
    </row>
    <row r="344" spans="6:6">
      <c r="F344" t="str">
        <f t="shared" si="6"/>
        <v/>
      </c>
    </row>
    <row r="345" spans="6:6">
      <c r="F345" t="str">
        <f t="shared" si="6"/>
        <v/>
      </c>
    </row>
    <row r="346" spans="6:6">
      <c r="F346" t="str">
        <f t="shared" si="6"/>
        <v/>
      </c>
    </row>
    <row r="347" spans="6:6">
      <c r="F347" t="str">
        <f t="shared" si="6"/>
        <v/>
      </c>
    </row>
    <row r="348" spans="6:6">
      <c r="F348" t="str">
        <f t="shared" si="6"/>
        <v/>
      </c>
    </row>
    <row r="349" spans="6:6">
      <c r="F349" t="str">
        <f t="shared" si="6"/>
        <v/>
      </c>
    </row>
    <row r="350" spans="6:6">
      <c r="F350" t="str">
        <f t="shared" si="6"/>
        <v/>
      </c>
    </row>
    <row r="351" spans="6:6">
      <c r="F351" t="str">
        <f t="shared" si="6"/>
        <v/>
      </c>
    </row>
    <row r="352" spans="6:6">
      <c r="F352" t="str">
        <f t="shared" si="6"/>
        <v/>
      </c>
    </row>
    <row r="353" spans="6:6">
      <c r="F353" t="str">
        <f t="shared" si="6"/>
        <v/>
      </c>
    </row>
    <row r="354" spans="6:6">
      <c r="F354" t="str">
        <f t="shared" si="6"/>
        <v/>
      </c>
    </row>
    <row r="355" spans="6:6">
      <c r="F355" t="str">
        <f t="shared" si="6"/>
        <v/>
      </c>
    </row>
    <row r="356" spans="6:6">
      <c r="F356" t="str">
        <f t="shared" si="6"/>
        <v/>
      </c>
    </row>
    <row r="357" spans="6:6">
      <c r="F357" t="str">
        <f t="shared" si="6"/>
        <v/>
      </c>
    </row>
    <row r="358" spans="6:6">
      <c r="F358" t="str">
        <f t="shared" si="6"/>
        <v/>
      </c>
    </row>
    <row r="359" spans="6:6">
      <c r="F359" t="str">
        <f t="shared" si="6"/>
        <v/>
      </c>
    </row>
    <row r="360" spans="6:6">
      <c r="F360" t="str">
        <f t="shared" si="6"/>
        <v/>
      </c>
    </row>
    <row r="361" spans="6:6">
      <c r="F361" t="str">
        <f t="shared" si="6"/>
        <v/>
      </c>
    </row>
    <row r="362" spans="6:6">
      <c r="F362" t="str">
        <f t="shared" si="6"/>
        <v/>
      </c>
    </row>
    <row r="363" spans="6:6">
      <c r="F363" t="str">
        <f t="shared" si="6"/>
        <v/>
      </c>
    </row>
    <row r="364" spans="6:6">
      <c r="F364" t="str">
        <f t="shared" si="6"/>
        <v/>
      </c>
    </row>
    <row r="365" spans="6:6">
      <c r="F365" t="str">
        <f t="shared" si="6"/>
        <v/>
      </c>
    </row>
    <row r="366" spans="6:6">
      <c r="F366" t="str">
        <f t="shared" si="6"/>
        <v/>
      </c>
    </row>
    <row r="367" spans="6:6">
      <c r="F367" t="str">
        <f t="shared" si="6"/>
        <v/>
      </c>
    </row>
    <row r="368" spans="6:6">
      <c r="F368" t="str">
        <f t="shared" si="6"/>
        <v/>
      </c>
    </row>
    <row r="369" spans="6:6">
      <c r="F369" t="str">
        <f t="shared" si="6"/>
        <v/>
      </c>
    </row>
    <row r="370" spans="6:6">
      <c r="F370" t="str">
        <f t="shared" si="6"/>
        <v/>
      </c>
    </row>
    <row r="371" spans="6:6">
      <c r="F371" t="str">
        <f t="shared" si="6"/>
        <v/>
      </c>
    </row>
    <row r="372" spans="6:6">
      <c r="F372" t="str">
        <f t="shared" si="6"/>
        <v/>
      </c>
    </row>
    <row r="373" spans="6:6">
      <c r="F373" t="str">
        <f t="shared" si="6"/>
        <v/>
      </c>
    </row>
    <row r="374" spans="6:6">
      <c r="F374" t="str">
        <f t="shared" si="6"/>
        <v/>
      </c>
    </row>
    <row r="375" spans="6:6">
      <c r="F375" t="str">
        <f t="shared" si="6"/>
        <v/>
      </c>
    </row>
    <row r="376" spans="6:6">
      <c r="F376" t="str">
        <f t="shared" si="6"/>
        <v/>
      </c>
    </row>
    <row r="377" spans="6:6">
      <c r="F377" t="str">
        <f t="shared" si="6"/>
        <v/>
      </c>
    </row>
    <row r="378" spans="6:6">
      <c r="F378" t="str">
        <f t="shared" si="6"/>
        <v/>
      </c>
    </row>
    <row r="379" spans="6:6">
      <c r="F379" t="str">
        <f t="shared" si="6"/>
        <v/>
      </c>
    </row>
    <row r="380" spans="6:6">
      <c r="F380" t="str">
        <f t="shared" si="6"/>
        <v/>
      </c>
    </row>
    <row r="381" spans="6:6">
      <c r="F381" t="str">
        <f t="shared" si="6"/>
        <v/>
      </c>
    </row>
    <row r="382" spans="6:6">
      <c r="F382" t="str">
        <f t="shared" si="6"/>
        <v/>
      </c>
    </row>
    <row r="383" spans="6:6">
      <c r="F383" t="str">
        <f t="shared" si="6"/>
        <v/>
      </c>
    </row>
    <row r="384" spans="6:6">
      <c r="F384" t="str">
        <f t="shared" si="6"/>
        <v/>
      </c>
    </row>
    <row r="385" spans="6:6">
      <c r="F385" t="str">
        <f t="shared" si="6"/>
        <v/>
      </c>
    </row>
    <row r="386" spans="6:6">
      <c r="F386" t="str">
        <f t="shared" si="6"/>
        <v/>
      </c>
    </row>
    <row r="387" spans="6:6">
      <c r="F387" t="str">
        <f t="shared" si="6"/>
        <v/>
      </c>
    </row>
    <row r="388" spans="6:6">
      <c r="F388" t="str">
        <f t="shared" si="6"/>
        <v/>
      </c>
    </row>
    <row r="389" spans="6:6">
      <c r="F389" t="str">
        <f t="shared" si="6"/>
        <v/>
      </c>
    </row>
    <row r="390" spans="6:6">
      <c r="F390" t="str">
        <f t="shared" si="6"/>
        <v/>
      </c>
    </row>
    <row r="391" spans="6:6">
      <c r="F391" t="str">
        <f t="shared" si="6"/>
        <v/>
      </c>
    </row>
    <row r="392" spans="6:6">
      <c r="F392" t="str">
        <f t="shared" si="6"/>
        <v/>
      </c>
    </row>
    <row r="393" spans="6:6">
      <c r="F393" t="str">
        <f t="shared" si="6"/>
        <v/>
      </c>
    </row>
    <row r="394" spans="6:6">
      <c r="F394" t="str">
        <f t="shared" si="6"/>
        <v/>
      </c>
    </row>
    <row r="395" spans="6:6">
      <c r="F395" t="str">
        <f t="shared" si="6"/>
        <v/>
      </c>
    </row>
    <row r="396" spans="6:6">
      <c r="F396" t="str">
        <f t="shared" si="6"/>
        <v/>
      </c>
    </row>
    <row r="397" spans="6:6">
      <c r="F397" t="str">
        <f t="shared" ref="F397:F460" si="7">RIGHT(D397,2)</f>
        <v/>
      </c>
    </row>
    <row r="398" spans="6:6">
      <c r="F398" t="str">
        <f t="shared" si="7"/>
        <v/>
      </c>
    </row>
    <row r="399" spans="6:6">
      <c r="F399" t="str">
        <f t="shared" si="7"/>
        <v/>
      </c>
    </row>
    <row r="400" spans="6:6">
      <c r="F400" t="str">
        <f t="shared" si="7"/>
        <v/>
      </c>
    </row>
    <row r="401" spans="6:6">
      <c r="F401" t="str">
        <f t="shared" si="7"/>
        <v/>
      </c>
    </row>
    <row r="402" spans="6:6">
      <c r="F402" t="str">
        <f t="shared" si="7"/>
        <v/>
      </c>
    </row>
    <row r="403" spans="6:6">
      <c r="F403" t="str">
        <f t="shared" si="7"/>
        <v/>
      </c>
    </row>
    <row r="404" spans="6:6">
      <c r="F404" t="str">
        <f t="shared" si="7"/>
        <v/>
      </c>
    </row>
    <row r="405" spans="6:6">
      <c r="F405" t="str">
        <f t="shared" si="7"/>
        <v/>
      </c>
    </row>
    <row r="406" spans="6:6">
      <c r="F406" t="str">
        <f t="shared" si="7"/>
        <v/>
      </c>
    </row>
    <row r="407" spans="6:6">
      <c r="F407" t="str">
        <f t="shared" si="7"/>
        <v/>
      </c>
    </row>
    <row r="408" spans="6:6">
      <c r="F408" t="str">
        <f t="shared" si="7"/>
        <v/>
      </c>
    </row>
    <row r="409" spans="6:6">
      <c r="F409" t="str">
        <f t="shared" si="7"/>
        <v/>
      </c>
    </row>
    <row r="410" spans="6:6">
      <c r="F410" t="str">
        <f t="shared" si="7"/>
        <v/>
      </c>
    </row>
    <row r="411" spans="6:6">
      <c r="F411" t="str">
        <f t="shared" si="7"/>
        <v/>
      </c>
    </row>
    <row r="412" spans="6:6">
      <c r="F412" t="str">
        <f t="shared" si="7"/>
        <v/>
      </c>
    </row>
    <row r="413" spans="6:6">
      <c r="F413" t="str">
        <f t="shared" si="7"/>
        <v/>
      </c>
    </row>
    <row r="414" spans="6:6">
      <c r="F414" t="str">
        <f t="shared" si="7"/>
        <v/>
      </c>
    </row>
    <row r="415" spans="6:6">
      <c r="F415" t="str">
        <f t="shared" si="7"/>
        <v/>
      </c>
    </row>
    <row r="416" spans="6:6">
      <c r="F416" t="str">
        <f t="shared" si="7"/>
        <v/>
      </c>
    </row>
    <row r="417" spans="6:6">
      <c r="F417" t="str">
        <f t="shared" si="7"/>
        <v/>
      </c>
    </row>
    <row r="418" spans="6:6">
      <c r="F418" t="str">
        <f t="shared" si="7"/>
        <v/>
      </c>
    </row>
    <row r="419" spans="6:6">
      <c r="F419" t="str">
        <f t="shared" si="7"/>
        <v/>
      </c>
    </row>
    <row r="420" spans="6:6">
      <c r="F420" t="str">
        <f t="shared" si="7"/>
        <v/>
      </c>
    </row>
    <row r="421" spans="6:6">
      <c r="F421" t="str">
        <f t="shared" si="7"/>
        <v/>
      </c>
    </row>
    <row r="422" spans="6:6">
      <c r="F422" t="str">
        <f t="shared" si="7"/>
        <v/>
      </c>
    </row>
    <row r="423" spans="6:6">
      <c r="F423" t="str">
        <f t="shared" si="7"/>
        <v/>
      </c>
    </row>
    <row r="424" spans="6:6">
      <c r="F424" t="str">
        <f t="shared" si="7"/>
        <v/>
      </c>
    </row>
    <row r="425" spans="6:6">
      <c r="F425" t="str">
        <f t="shared" si="7"/>
        <v/>
      </c>
    </row>
    <row r="426" spans="6:6">
      <c r="F426" t="str">
        <f t="shared" si="7"/>
        <v/>
      </c>
    </row>
    <row r="427" spans="6:6">
      <c r="F427" t="str">
        <f t="shared" si="7"/>
        <v/>
      </c>
    </row>
    <row r="428" spans="6:6">
      <c r="F428" t="str">
        <f t="shared" si="7"/>
        <v/>
      </c>
    </row>
    <row r="429" spans="6:6">
      <c r="F429" t="str">
        <f t="shared" si="7"/>
        <v/>
      </c>
    </row>
    <row r="430" spans="6:6">
      <c r="F430" t="str">
        <f t="shared" si="7"/>
        <v/>
      </c>
    </row>
    <row r="431" spans="6:6">
      <c r="F431" t="str">
        <f t="shared" si="7"/>
        <v/>
      </c>
    </row>
    <row r="432" spans="6:6">
      <c r="F432" t="str">
        <f t="shared" si="7"/>
        <v/>
      </c>
    </row>
    <row r="433" spans="6:6">
      <c r="F433" t="str">
        <f t="shared" si="7"/>
        <v/>
      </c>
    </row>
    <row r="434" spans="6:6">
      <c r="F434" t="str">
        <f t="shared" si="7"/>
        <v/>
      </c>
    </row>
    <row r="435" spans="6:6">
      <c r="F435" t="str">
        <f t="shared" si="7"/>
        <v/>
      </c>
    </row>
    <row r="436" spans="6:6">
      <c r="F436" t="str">
        <f t="shared" si="7"/>
        <v/>
      </c>
    </row>
    <row r="437" spans="6:6">
      <c r="F437" t="str">
        <f t="shared" si="7"/>
        <v/>
      </c>
    </row>
    <row r="438" spans="6:6">
      <c r="F438" t="str">
        <f t="shared" si="7"/>
        <v/>
      </c>
    </row>
    <row r="439" spans="6:6">
      <c r="F439" t="str">
        <f t="shared" si="7"/>
        <v/>
      </c>
    </row>
    <row r="440" spans="6:6">
      <c r="F440" t="str">
        <f t="shared" si="7"/>
        <v/>
      </c>
    </row>
    <row r="441" spans="6:6">
      <c r="F441" t="str">
        <f t="shared" si="7"/>
        <v/>
      </c>
    </row>
    <row r="442" spans="6:6">
      <c r="F442" t="str">
        <f t="shared" si="7"/>
        <v/>
      </c>
    </row>
    <row r="443" spans="6:6">
      <c r="F443" t="str">
        <f t="shared" si="7"/>
        <v/>
      </c>
    </row>
    <row r="444" spans="6:6">
      <c r="F444" t="str">
        <f t="shared" si="7"/>
        <v/>
      </c>
    </row>
    <row r="445" spans="6:6">
      <c r="F445" t="str">
        <f t="shared" si="7"/>
        <v/>
      </c>
    </row>
    <row r="446" spans="6:6">
      <c r="F446" t="str">
        <f t="shared" si="7"/>
        <v/>
      </c>
    </row>
    <row r="447" spans="6:6">
      <c r="F447" t="str">
        <f t="shared" si="7"/>
        <v/>
      </c>
    </row>
    <row r="448" spans="6:6">
      <c r="F448" t="str">
        <f t="shared" si="7"/>
        <v/>
      </c>
    </row>
    <row r="449" spans="6:6">
      <c r="F449" t="str">
        <f t="shared" si="7"/>
        <v/>
      </c>
    </row>
    <row r="450" spans="6:6">
      <c r="F450" t="str">
        <f t="shared" si="7"/>
        <v/>
      </c>
    </row>
    <row r="451" spans="6:6">
      <c r="F451" t="str">
        <f t="shared" si="7"/>
        <v/>
      </c>
    </row>
    <row r="452" spans="6:6">
      <c r="F452" t="str">
        <f t="shared" si="7"/>
        <v/>
      </c>
    </row>
    <row r="453" spans="6:6">
      <c r="F453" t="str">
        <f t="shared" si="7"/>
        <v/>
      </c>
    </row>
    <row r="454" spans="6:6">
      <c r="F454" t="str">
        <f t="shared" si="7"/>
        <v/>
      </c>
    </row>
    <row r="455" spans="6:6">
      <c r="F455" t="str">
        <f t="shared" si="7"/>
        <v/>
      </c>
    </row>
    <row r="456" spans="6:6">
      <c r="F456" t="str">
        <f t="shared" si="7"/>
        <v/>
      </c>
    </row>
    <row r="457" spans="6:6">
      <c r="F457" t="str">
        <f t="shared" si="7"/>
        <v/>
      </c>
    </row>
    <row r="458" spans="6:6">
      <c r="F458" t="str">
        <f t="shared" si="7"/>
        <v/>
      </c>
    </row>
    <row r="459" spans="6:6">
      <c r="F459" t="str">
        <f t="shared" si="7"/>
        <v/>
      </c>
    </row>
    <row r="460" spans="6:6">
      <c r="F460" t="str">
        <f t="shared" si="7"/>
        <v/>
      </c>
    </row>
    <row r="461" spans="6:6">
      <c r="F461" t="str">
        <f t="shared" ref="F461:F524" si="8">RIGHT(D461,2)</f>
        <v/>
      </c>
    </row>
    <row r="462" spans="6:6">
      <c r="F462" t="str">
        <f t="shared" si="8"/>
        <v/>
      </c>
    </row>
    <row r="463" spans="6:6">
      <c r="F463" t="str">
        <f t="shared" si="8"/>
        <v/>
      </c>
    </row>
    <row r="464" spans="6:6">
      <c r="F464" t="str">
        <f t="shared" si="8"/>
        <v/>
      </c>
    </row>
    <row r="465" spans="6:6">
      <c r="F465" t="str">
        <f t="shared" si="8"/>
        <v/>
      </c>
    </row>
    <row r="466" spans="6:6">
      <c r="F466" t="str">
        <f t="shared" si="8"/>
        <v/>
      </c>
    </row>
    <row r="467" spans="6:6">
      <c r="F467" t="str">
        <f t="shared" si="8"/>
        <v/>
      </c>
    </row>
    <row r="468" spans="6:6">
      <c r="F468" t="str">
        <f t="shared" si="8"/>
        <v/>
      </c>
    </row>
    <row r="469" spans="6:6">
      <c r="F469" t="str">
        <f t="shared" si="8"/>
        <v/>
      </c>
    </row>
    <row r="470" spans="6:6">
      <c r="F470" t="str">
        <f t="shared" si="8"/>
        <v/>
      </c>
    </row>
    <row r="471" spans="6:6">
      <c r="F471" t="str">
        <f t="shared" si="8"/>
        <v/>
      </c>
    </row>
    <row r="472" spans="6:6">
      <c r="F472" t="str">
        <f t="shared" si="8"/>
        <v/>
      </c>
    </row>
    <row r="473" spans="6:6">
      <c r="F473" t="str">
        <f t="shared" si="8"/>
        <v/>
      </c>
    </row>
    <row r="474" spans="6:6">
      <c r="F474" t="str">
        <f t="shared" si="8"/>
        <v/>
      </c>
    </row>
    <row r="475" spans="6:6">
      <c r="F475" t="str">
        <f t="shared" si="8"/>
        <v/>
      </c>
    </row>
    <row r="476" spans="6:6">
      <c r="F476" t="str">
        <f t="shared" si="8"/>
        <v/>
      </c>
    </row>
    <row r="477" spans="6:6">
      <c r="F477" t="str">
        <f t="shared" si="8"/>
        <v/>
      </c>
    </row>
    <row r="478" spans="6:6">
      <c r="F478" t="str">
        <f t="shared" si="8"/>
        <v/>
      </c>
    </row>
    <row r="479" spans="6:6">
      <c r="F479" t="str">
        <f t="shared" si="8"/>
        <v/>
      </c>
    </row>
    <row r="480" spans="6:6">
      <c r="F480" t="str">
        <f t="shared" si="8"/>
        <v/>
      </c>
    </row>
    <row r="481" spans="6:6">
      <c r="F481" t="str">
        <f t="shared" si="8"/>
        <v/>
      </c>
    </row>
    <row r="482" spans="6:6">
      <c r="F482" t="str">
        <f t="shared" si="8"/>
        <v/>
      </c>
    </row>
    <row r="483" spans="6:6">
      <c r="F483" t="str">
        <f t="shared" si="8"/>
        <v/>
      </c>
    </row>
    <row r="484" spans="6:6">
      <c r="F484" t="str">
        <f t="shared" si="8"/>
        <v/>
      </c>
    </row>
    <row r="485" spans="6:6">
      <c r="F485" t="str">
        <f t="shared" si="8"/>
        <v/>
      </c>
    </row>
    <row r="486" spans="6:6">
      <c r="F486" t="str">
        <f t="shared" si="8"/>
        <v/>
      </c>
    </row>
    <row r="487" spans="6:6">
      <c r="F487" t="str">
        <f t="shared" si="8"/>
        <v/>
      </c>
    </row>
    <row r="488" spans="6:6">
      <c r="F488" t="str">
        <f t="shared" si="8"/>
        <v/>
      </c>
    </row>
    <row r="489" spans="6:6">
      <c r="F489" t="str">
        <f t="shared" si="8"/>
        <v/>
      </c>
    </row>
    <row r="490" spans="6:6">
      <c r="F490" t="str">
        <f t="shared" si="8"/>
        <v/>
      </c>
    </row>
    <row r="491" spans="6:6">
      <c r="F491" t="str">
        <f t="shared" si="8"/>
        <v/>
      </c>
    </row>
    <row r="492" spans="6:6">
      <c r="F492" t="str">
        <f t="shared" si="8"/>
        <v/>
      </c>
    </row>
    <row r="493" spans="6:6">
      <c r="F493" t="str">
        <f t="shared" si="8"/>
        <v/>
      </c>
    </row>
    <row r="494" spans="6:6">
      <c r="F494" t="str">
        <f t="shared" si="8"/>
        <v/>
      </c>
    </row>
    <row r="495" spans="6:6">
      <c r="F495" t="str">
        <f t="shared" si="8"/>
        <v/>
      </c>
    </row>
    <row r="496" spans="6:6">
      <c r="F496" t="str">
        <f t="shared" si="8"/>
        <v/>
      </c>
    </row>
    <row r="497" spans="6:6">
      <c r="F497" t="str">
        <f t="shared" si="8"/>
        <v/>
      </c>
    </row>
    <row r="498" spans="6:6">
      <c r="F498" t="str">
        <f t="shared" si="8"/>
        <v/>
      </c>
    </row>
    <row r="499" spans="6:6">
      <c r="F499" t="str">
        <f t="shared" si="8"/>
        <v/>
      </c>
    </row>
    <row r="500" spans="6:6">
      <c r="F500" t="str">
        <f t="shared" si="8"/>
        <v/>
      </c>
    </row>
    <row r="501" spans="6:6">
      <c r="F501" t="str">
        <f t="shared" si="8"/>
        <v/>
      </c>
    </row>
    <row r="502" spans="6:6">
      <c r="F502" t="str">
        <f t="shared" si="8"/>
        <v/>
      </c>
    </row>
    <row r="503" spans="6:6">
      <c r="F503" t="str">
        <f t="shared" si="8"/>
        <v/>
      </c>
    </row>
    <row r="504" spans="6:6">
      <c r="F504" t="str">
        <f t="shared" si="8"/>
        <v/>
      </c>
    </row>
    <row r="505" spans="6:6">
      <c r="F505" t="str">
        <f t="shared" si="8"/>
        <v/>
      </c>
    </row>
    <row r="506" spans="6:6">
      <c r="F506" t="str">
        <f t="shared" si="8"/>
        <v/>
      </c>
    </row>
    <row r="507" spans="6:6">
      <c r="F507" t="str">
        <f t="shared" si="8"/>
        <v/>
      </c>
    </row>
    <row r="508" spans="6:6">
      <c r="F508" t="str">
        <f t="shared" si="8"/>
        <v/>
      </c>
    </row>
    <row r="509" spans="6:6">
      <c r="F509" t="str">
        <f t="shared" si="8"/>
        <v/>
      </c>
    </row>
    <row r="510" spans="6:6">
      <c r="F510" t="str">
        <f t="shared" si="8"/>
        <v/>
      </c>
    </row>
    <row r="511" spans="6:6">
      <c r="F511" t="str">
        <f t="shared" si="8"/>
        <v/>
      </c>
    </row>
    <row r="512" spans="6:6">
      <c r="F512" t="str">
        <f t="shared" si="8"/>
        <v/>
      </c>
    </row>
    <row r="513" spans="6:6">
      <c r="F513" t="str">
        <f t="shared" si="8"/>
        <v/>
      </c>
    </row>
    <row r="514" spans="6:6">
      <c r="F514" t="str">
        <f t="shared" si="8"/>
        <v/>
      </c>
    </row>
    <row r="515" spans="6:6">
      <c r="F515" t="str">
        <f t="shared" si="8"/>
        <v/>
      </c>
    </row>
    <row r="516" spans="6:6">
      <c r="F516" t="str">
        <f t="shared" si="8"/>
        <v/>
      </c>
    </row>
    <row r="517" spans="6:6">
      <c r="F517" t="str">
        <f t="shared" si="8"/>
        <v/>
      </c>
    </row>
    <row r="518" spans="6:6">
      <c r="F518" t="str">
        <f t="shared" si="8"/>
        <v/>
      </c>
    </row>
    <row r="519" spans="6:6">
      <c r="F519" t="str">
        <f t="shared" si="8"/>
        <v/>
      </c>
    </row>
    <row r="520" spans="6:6">
      <c r="F520" t="str">
        <f t="shared" si="8"/>
        <v/>
      </c>
    </row>
    <row r="521" spans="6:6">
      <c r="F521" t="str">
        <f t="shared" si="8"/>
        <v/>
      </c>
    </row>
    <row r="522" spans="6:6">
      <c r="F522" t="str">
        <f t="shared" si="8"/>
        <v/>
      </c>
    </row>
    <row r="523" spans="6:6">
      <c r="F523" t="str">
        <f t="shared" si="8"/>
        <v/>
      </c>
    </row>
    <row r="524" spans="6:6">
      <c r="F524" t="str">
        <f t="shared" si="8"/>
        <v/>
      </c>
    </row>
    <row r="525" spans="6:6">
      <c r="F525" t="str">
        <f t="shared" ref="F525:F588" si="9">RIGHT(D525,2)</f>
        <v/>
      </c>
    </row>
    <row r="526" spans="6:6">
      <c r="F526" t="str">
        <f t="shared" si="9"/>
        <v/>
      </c>
    </row>
    <row r="527" spans="6:6">
      <c r="F527" t="str">
        <f t="shared" si="9"/>
        <v/>
      </c>
    </row>
    <row r="528" spans="6:6">
      <c r="F528" t="str">
        <f t="shared" si="9"/>
        <v/>
      </c>
    </row>
    <row r="529" spans="6:6">
      <c r="F529" t="str">
        <f t="shared" si="9"/>
        <v/>
      </c>
    </row>
    <row r="530" spans="6:6">
      <c r="F530" t="str">
        <f t="shared" si="9"/>
        <v/>
      </c>
    </row>
    <row r="531" spans="6:6">
      <c r="F531" t="str">
        <f t="shared" si="9"/>
        <v/>
      </c>
    </row>
    <row r="532" spans="6:6">
      <c r="F532" t="str">
        <f t="shared" si="9"/>
        <v/>
      </c>
    </row>
    <row r="533" spans="6:6">
      <c r="F533" t="str">
        <f t="shared" si="9"/>
        <v/>
      </c>
    </row>
    <row r="534" spans="6:6">
      <c r="F534" t="str">
        <f t="shared" si="9"/>
        <v/>
      </c>
    </row>
    <row r="535" spans="6:6">
      <c r="F535" t="str">
        <f t="shared" si="9"/>
        <v/>
      </c>
    </row>
    <row r="536" spans="6:6">
      <c r="F536" t="str">
        <f t="shared" si="9"/>
        <v/>
      </c>
    </row>
    <row r="537" spans="6:6">
      <c r="F537" t="str">
        <f t="shared" si="9"/>
        <v/>
      </c>
    </row>
    <row r="538" spans="6:6">
      <c r="F538" t="str">
        <f t="shared" si="9"/>
        <v/>
      </c>
    </row>
    <row r="539" spans="6:6">
      <c r="F539" t="str">
        <f t="shared" si="9"/>
        <v/>
      </c>
    </row>
    <row r="540" spans="6:6">
      <c r="F540" t="str">
        <f t="shared" si="9"/>
        <v/>
      </c>
    </row>
    <row r="541" spans="6:6">
      <c r="F541" t="str">
        <f t="shared" si="9"/>
        <v/>
      </c>
    </row>
    <row r="542" spans="6:6">
      <c r="F542" t="str">
        <f t="shared" si="9"/>
        <v/>
      </c>
    </row>
    <row r="543" spans="6:6">
      <c r="F543" t="str">
        <f t="shared" si="9"/>
        <v/>
      </c>
    </row>
    <row r="544" spans="6:6">
      <c r="F544" t="str">
        <f t="shared" si="9"/>
        <v/>
      </c>
    </row>
    <row r="545" spans="6:6">
      <c r="F545" t="str">
        <f t="shared" si="9"/>
        <v/>
      </c>
    </row>
    <row r="546" spans="6:6">
      <c r="F546" t="str">
        <f t="shared" si="9"/>
        <v/>
      </c>
    </row>
    <row r="547" spans="6:6">
      <c r="F547" t="str">
        <f t="shared" si="9"/>
        <v/>
      </c>
    </row>
    <row r="548" spans="6:6">
      <c r="F548" t="str">
        <f t="shared" si="9"/>
        <v/>
      </c>
    </row>
    <row r="549" spans="6:6">
      <c r="F549" t="str">
        <f t="shared" si="9"/>
        <v/>
      </c>
    </row>
    <row r="550" spans="6:6">
      <c r="F550" t="str">
        <f t="shared" si="9"/>
        <v/>
      </c>
    </row>
    <row r="551" spans="6:6">
      <c r="F551" t="str">
        <f t="shared" si="9"/>
        <v/>
      </c>
    </row>
    <row r="552" spans="6:6">
      <c r="F552" t="str">
        <f t="shared" si="9"/>
        <v/>
      </c>
    </row>
    <row r="553" spans="6:6">
      <c r="F553" t="str">
        <f t="shared" si="9"/>
        <v/>
      </c>
    </row>
    <row r="554" spans="6:6">
      <c r="F554" t="str">
        <f t="shared" si="9"/>
        <v/>
      </c>
    </row>
    <row r="555" spans="6:6">
      <c r="F555" t="str">
        <f t="shared" si="9"/>
        <v/>
      </c>
    </row>
    <row r="556" spans="6:6">
      <c r="F556" t="str">
        <f t="shared" si="9"/>
        <v/>
      </c>
    </row>
    <row r="557" spans="6:6">
      <c r="F557" t="str">
        <f t="shared" si="9"/>
        <v/>
      </c>
    </row>
    <row r="558" spans="6:6">
      <c r="F558" t="str">
        <f t="shared" si="9"/>
        <v/>
      </c>
    </row>
    <row r="559" spans="6:6">
      <c r="F559" t="str">
        <f t="shared" si="9"/>
        <v/>
      </c>
    </row>
    <row r="560" spans="6:6">
      <c r="F560" t="str">
        <f t="shared" si="9"/>
        <v/>
      </c>
    </row>
    <row r="561" spans="6:6">
      <c r="F561" t="str">
        <f t="shared" si="9"/>
        <v/>
      </c>
    </row>
    <row r="562" spans="6:6">
      <c r="F562" t="str">
        <f t="shared" si="9"/>
        <v/>
      </c>
    </row>
    <row r="563" spans="6:6">
      <c r="F563" t="str">
        <f t="shared" si="9"/>
        <v/>
      </c>
    </row>
    <row r="564" spans="6:6">
      <c r="F564" t="str">
        <f t="shared" si="9"/>
        <v/>
      </c>
    </row>
    <row r="565" spans="6:6">
      <c r="F565" t="str">
        <f t="shared" si="9"/>
        <v/>
      </c>
    </row>
    <row r="566" spans="6:6">
      <c r="F566" t="str">
        <f t="shared" si="9"/>
        <v/>
      </c>
    </row>
    <row r="567" spans="6:6">
      <c r="F567" t="str">
        <f t="shared" si="9"/>
        <v/>
      </c>
    </row>
    <row r="568" spans="6:6">
      <c r="F568" t="str">
        <f t="shared" si="9"/>
        <v/>
      </c>
    </row>
    <row r="569" spans="6:6">
      <c r="F569" t="str">
        <f t="shared" si="9"/>
        <v/>
      </c>
    </row>
    <row r="570" spans="6:6">
      <c r="F570" t="str">
        <f t="shared" si="9"/>
        <v/>
      </c>
    </row>
    <row r="571" spans="6:6">
      <c r="F571" t="str">
        <f t="shared" si="9"/>
        <v/>
      </c>
    </row>
    <row r="572" spans="6:6">
      <c r="F572" t="str">
        <f t="shared" si="9"/>
        <v/>
      </c>
    </row>
    <row r="573" spans="6:6">
      <c r="F573" t="str">
        <f t="shared" si="9"/>
        <v/>
      </c>
    </row>
    <row r="574" spans="6:6">
      <c r="F574" t="str">
        <f t="shared" si="9"/>
        <v/>
      </c>
    </row>
    <row r="575" spans="6:6">
      <c r="F575" t="str">
        <f t="shared" si="9"/>
        <v/>
      </c>
    </row>
    <row r="576" spans="6:6">
      <c r="F576" t="str">
        <f t="shared" si="9"/>
        <v/>
      </c>
    </row>
    <row r="577" spans="6:6">
      <c r="F577" t="str">
        <f t="shared" si="9"/>
        <v/>
      </c>
    </row>
    <row r="578" spans="6:6">
      <c r="F578" t="str">
        <f t="shared" si="9"/>
        <v/>
      </c>
    </row>
    <row r="579" spans="6:6">
      <c r="F579" t="str">
        <f t="shared" si="9"/>
        <v/>
      </c>
    </row>
    <row r="580" spans="6:6">
      <c r="F580" t="str">
        <f t="shared" si="9"/>
        <v/>
      </c>
    </row>
    <row r="581" spans="6:6">
      <c r="F581" t="str">
        <f t="shared" si="9"/>
        <v/>
      </c>
    </row>
    <row r="582" spans="6:6">
      <c r="F582" t="str">
        <f t="shared" si="9"/>
        <v/>
      </c>
    </row>
    <row r="583" spans="6:6">
      <c r="F583" t="str">
        <f t="shared" si="9"/>
        <v/>
      </c>
    </row>
    <row r="584" spans="6:6">
      <c r="F584" t="str">
        <f t="shared" si="9"/>
        <v/>
      </c>
    </row>
    <row r="585" spans="6:6">
      <c r="F585" t="str">
        <f t="shared" si="9"/>
        <v/>
      </c>
    </row>
    <row r="586" spans="6:6">
      <c r="F586" t="str">
        <f t="shared" si="9"/>
        <v/>
      </c>
    </row>
    <row r="587" spans="6:6">
      <c r="F587" t="str">
        <f t="shared" si="9"/>
        <v/>
      </c>
    </row>
    <row r="588" spans="6:6">
      <c r="F588" t="str">
        <f t="shared" si="9"/>
        <v/>
      </c>
    </row>
    <row r="589" spans="6:6">
      <c r="F589" t="str">
        <f t="shared" ref="F589:F652" si="10">RIGHT(D589,2)</f>
        <v/>
      </c>
    </row>
    <row r="590" spans="6:6">
      <c r="F590" t="str">
        <f t="shared" si="10"/>
        <v/>
      </c>
    </row>
    <row r="591" spans="6:6">
      <c r="F591" t="str">
        <f t="shared" si="10"/>
        <v/>
      </c>
    </row>
    <row r="592" spans="6:6">
      <c r="F592" t="str">
        <f t="shared" si="10"/>
        <v/>
      </c>
    </row>
    <row r="593" spans="6:6">
      <c r="F593" t="str">
        <f t="shared" si="10"/>
        <v/>
      </c>
    </row>
    <row r="594" spans="6:6">
      <c r="F594" t="str">
        <f t="shared" si="10"/>
        <v/>
      </c>
    </row>
    <row r="595" spans="6:6">
      <c r="F595" t="str">
        <f t="shared" si="10"/>
        <v/>
      </c>
    </row>
    <row r="596" spans="6:6">
      <c r="F596" t="str">
        <f t="shared" si="10"/>
        <v/>
      </c>
    </row>
    <row r="597" spans="6:6">
      <c r="F597" t="str">
        <f t="shared" si="10"/>
        <v/>
      </c>
    </row>
    <row r="598" spans="6:6">
      <c r="F598" t="str">
        <f t="shared" si="10"/>
        <v/>
      </c>
    </row>
    <row r="599" spans="6:6">
      <c r="F599" t="str">
        <f t="shared" si="10"/>
        <v/>
      </c>
    </row>
    <row r="600" spans="6:6">
      <c r="F600" t="str">
        <f t="shared" si="10"/>
        <v/>
      </c>
    </row>
    <row r="601" spans="6:6">
      <c r="F601" t="str">
        <f t="shared" si="10"/>
        <v/>
      </c>
    </row>
    <row r="602" spans="6:6">
      <c r="F602" t="str">
        <f t="shared" si="10"/>
        <v/>
      </c>
    </row>
    <row r="603" spans="6:6">
      <c r="F603" t="str">
        <f t="shared" si="10"/>
        <v/>
      </c>
    </row>
    <row r="604" spans="6:6">
      <c r="F604" t="str">
        <f t="shared" si="10"/>
        <v/>
      </c>
    </row>
    <row r="605" spans="6:6">
      <c r="F605" t="str">
        <f t="shared" si="10"/>
        <v/>
      </c>
    </row>
    <row r="606" spans="6:6">
      <c r="F606" t="str">
        <f t="shared" si="10"/>
        <v/>
      </c>
    </row>
    <row r="607" spans="6:6">
      <c r="F607" t="str">
        <f t="shared" si="10"/>
        <v/>
      </c>
    </row>
    <row r="608" spans="6:6">
      <c r="F608" t="str">
        <f t="shared" si="10"/>
        <v/>
      </c>
    </row>
    <row r="609" spans="6:6">
      <c r="F609" t="str">
        <f t="shared" si="10"/>
        <v/>
      </c>
    </row>
    <row r="610" spans="6:6">
      <c r="F610" t="str">
        <f t="shared" si="10"/>
        <v/>
      </c>
    </row>
    <row r="611" spans="6:6">
      <c r="F611" t="str">
        <f t="shared" si="10"/>
        <v/>
      </c>
    </row>
    <row r="612" spans="6:6">
      <c r="F612" t="str">
        <f t="shared" si="10"/>
        <v/>
      </c>
    </row>
    <row r="613" spans="6:6">
      <c r="F613" t="str">
        <f t="shared" si="10"/>
        <v/>
      </c>
    </row>
    <row r="614" spans="6:6">
      <c r="F614" t="str">
        <f t="shared" si="10"/>
        <v/>
      </c>
    </row>
    <row r="615" spans="6:6">
      <c r="F615" t="str">
        <f t="shared" si="10"/>
        <v/>
      </c>
    </row>
    <row r="616" spans="6:6">
      <c r="F616" t="str">
        <f t="shared" si="10"/>
        <v/>
      </c>
    </row>
    <row r="617" spans="6:6">
      <c r="F617" t="str">
        <f t="shared" si="10"/>
        <v/>
      </c>
    </row>
    <row r="618" spans="6:6">
      <c r="F618" t="str">
        <f t="shared" si="10"/>
        <v/>
      </c>
    </row>
    <row r="619" spans="6:6">
      <c r="F619" t="str">
        <f t="shared" si="10"/>
        <v/>
      </c>
    </row>
    <row r="620" spans="6:6">
      <c r="F620" t="str">
        <f t="shared" si="10"/>
        <v/>
      </c>
    </row>
    <row r="621" spans="6:6">
      <c r="F621" t="str">
        <f t="shared" si="10"/>
        <v/>
      </c>
    </row>
    <row r="622" spans="6:6">
      <c r="F622" t="str">
        <f t="shared" si="10"/>
        <v/>
      </c>
    </row>
    <row r="623" spans="6:6">
      <c r="F623" t="str">
        <f t="shared" si="10"/>
        <v/>
      </c>
    </row>
    <row r="624" spans="6:6">
      <c r="F624" t="str">
        <f t="shared" si="10"/>
        <v/>
      </c>
    </row>
    <row r="625" spans="6:6">
      <c r="F625" t="str">
        <f t="shared" si="10"/>
        <v/>
      </c>
    </row>
    <row r="626" spans="6:6">
      <c r="F626" t="str">
        <f t="shared" si="10"/>
        <v/>
      </c>
    </row>
    <row r="627" spans="6:6">
      <c r="F627" t="str">
        <f t="shared" si="10"/>
        <v/>
      </c>
    </row>
    <row r="628" spans="6:6">
      <c r="F628" t="str">
        <f t="shared" si="10"/>
        <v/>
      </c>
    </row>
    <row r="629" spans="6:6">
      <c r="F629" t="str">
        <f t="shared" si="10"/>
        <v/>
      </c>
    </row>
    <row r="630" spans="6:6">
      <c r="F630" t="str">
        <f t="shared" si="10"/>
        <v/>
      </c>
    </row>
    <row r="631" spans="6:6">
      <c r="F631" t="str">
        <f t="shared" si="10"/>
        <v/>
      </c>
    </row>
    <row r="632" spans="6:6">
      <c r="F632" t="str">
        <f t="shared" si="10"/>
        <v/>
      </c>
    </row>
    <row r="633" spans="6:6">
      <c r="F633" t="str">
        <f t="shared" si="10"/>
        <v/>
      </c>
    </row>
    <row r="634" spans="6:6">
      <c r="F634" t="str">
        <f t="shared" si="10"/>
        <v/>
      </c>
    </row>
    <row r="635" spans="6:6">
      <c r="F635" t="str">
        <f t="shared" si="10"/>
        <v/>
      </c>
    </row>
    <row r="636" spans="6:6">
      <c r="F636" t="str">
        <f t="shared" si="10"/>
        <v/>
      </c>
    </row>
    <row r="637" spans="6:6">
      <c r="F637" t="str">
        <f t="shared" si="10"/>
        <v/>
      </c>
    </row>
    <row r="638" spans="6:6">
      <c r="F638" t="str">
        <f t="shared" si="10"/>
        <v/>
      </c>
    </row>
    <row r="639" spans="6:6">
      <c r="F639" t="str">
        <f t="shared" si="10"/>
        <v/>
      </c>
    </row>
    <row r="640" spans="6:6">
      <c r="F640" t="str">
        <f t="shared" si="10"/>
        <v/>
      </c>
    </row>
    <row r="641" spans="6:6">
      <c r="F641" t="str">
        <f t="shared" si="10"/>
        <v/>
      </c>
    </row>
    <row r="642" spans="6:6">
      <c r="F642" t="str">
        <f t="shared" si="10"/>
        <v/>
      </c>
    </row>
    <row r="643" spans="6:6">
      <c r="F643" t="str">
        <f t="shared" si="10"/>
        <v/>
      </c>
    </row>
    <row r="644" spans="6:6">
      <c r="F644" t="str">
        <f t="shared" si="10"/>
        <v/>
      </c>
    </row>
    <row r="645" spans="6:6">
      <c r="F645" t="str">
        <f t="shared" si="10"/>
        <v/>
      </c>
    </row>
    <row r="646" spans="6:6">
      <c r="F646" t="str">
        <f t="shared" si="10"/>
        <v/>
      </c>
    </row>
    <row r="647" spans="6:6">
      <c r="F647" t="str">
        <f t="shared" si="10"/>
        <v/>
      </c>
    </row>
    <row r="648" spans="6:6">
      <c r="F648" t="str">
        <f t="shared" si="10"/>
        <v/>
      </c>
    </row>
    <row r="649" spans="6:6">
      <c r="F649" t="str">
        <f t="shared" si="10"/>
        <v/>
      </c>
    </row>
    <row r="650" spans="6:6">
      <c r="F650" t="str">
        <f t="shared" si="10"/>
        <v/>
      </c>
    </row>
    <row r="651" spans="6:6">
      <c r="F651" t="str">
        <f t="shared" si="10"/>
        <v/>
      </c>
    </row>
    <row r="652" spans="6:6">
      <c r="F652" t="str">
        <f t="shared" si="10"/>
        <v/>
      </c>
    </row>
    <row r="653" spans="6:6">
      <c r="F653" t="str">
        <f t="shared" ref="F653:F716" si="11">RIGHT(D653,2)</f>
        <v/>
      </c>
    </row>
    <row r="654" spans="6:6">
      <c r="F654" t="str">
        <f t="shared" si="11"/>
        <v/>
      </c>
    </row>
    <row r="655" spans="6:6">
      <c r="F655" t="str">
        <f t="shared" si="11"/>
        <v/>
      </c>
    </row>
    <row r="656" spans="6:6">
      <c r="F656" t="str">
        <f t="shared" si="11"/>
        <v/>
      </c>
    </row>
    <row r="657" spans="6:6">
      <c r="F657" t="str">
        <f t="shared" si="11"/>
        <v/>
      </c>
    </row>
    <row r="658" spans="6:6">
      <c r="F658" t="str">
        <f t="shared" si="11"/>
        <v/>
      </c>
    </row>
    <row r="659" spans="6:6">
      <c r="F659" t="str">
        <f t="shared" si="11"/>
        <v/>
      </c>
    </row>
    <row r="660" spans="6:6">
      <c r="F660" t="str">
        <f t="shared" si="11"/>
        <v/>
      </c>
    </row>
    <row r="661" spans="6:6">
      <c r="F661" t="str">
        <f t="shared" si="11"/>
        <v/>
      </c>
    </row>
    <row r="662" spans="6:6">
      <c r="F662" t="str">
        <f t="shared" si="11"/>
        <v/>
      </c>
    </row>
    <row r="663" spans="6:6">
      <c r="F663" t="str">
        <f t="shared" si="11"/>
        <v/>
      </c>
    </row>
    <row r="664" spans="6:6">
      <c r="F664" t="str">
        <f t="shared" si="11"/>
        <v/>
      </c>
    </row>
    <row r="665" spans="6:6">
      <c r="F665" t="str">
        <f t="shared" si="11"/>
        <v/>
      </c>
    </row>
    <row r="666" spans="6:6">
      <c r="F666" t="str">
        <f t="shared" si="11"/>
        <v/>
      </c>
    </row>
    <row r="667" spans="6:6">
      <c r="F667" t="str">
        <f t="shared" si="11"/>
        <v/>
      </c>
    </row>
    <row r="668" spans="6:6">
      <c r="F668" t="str">
        <f t="shared" si="11"/>
        <v/>
      </c>
    </row>
    <row r="669" spans="6:6">
      <c r="F669" t="str">
        <f t="shared" si="11"/>
        <v/>
      </c>
    </row>
    <row r="670" spans="6:6">
      <c r="F670" t="str">
        <f t="shared" si="11"/>
        <v/>
      </c>
    </row>
    <row r="671" spans="6:6">
      <c r="F671" t="str">
        <f t="shared" si="11"/>
        <v/>
      </c>
    </row>
    <row r="672" spans="6:6">
      <c r="F672" t="str">
        <f t="shared" si="11"/>
        <v/>
      </c>
    </row>
    <row r="673" spans="6:6">
      <c r="F673" t="str">
        <f t="shared" si="11"/>
        <v/>
      </c>
    </row>
    <row r="674" spans="6:6">
      <c r="F674" t="str">
        <f t="shared" si="11"/>
        <v/>
      </c>
    </row>
    <row r="675" spans="6:6">
      <c r="F675" t="str">
        <f t="shared" si="11"/>
        <v/>
      </c>
    </row>
    <row r="676" spans="6:6">
      <c r="F676" t="str">
        <f t="shared" si="11"/>
        <v/>
      </c>
    </row>
    <row r="677" spans="6:6">
      <c r="F677" t="str">
        <f t="shared" si="11"/>
        <v/>
      </c>
    </row>
    <row r="678" spans="6:6">
      <c r="F678" t="str">
        <f t="shared" si="11"/>
        <v/>
      </c>
    </row>
    <row r="679" spans="6:6">
      <c r="F679" t="str">
        <f t="shared" si="11"/>
        <v/>
      </c>
    </row>
    <row r="680" spans="6:6">
      <c r="F680" t="str">
        <f t="shared" si="11"/>
        <v/>
      </c>
    </row>
    <row r="681" spans="6:6">
      <c r="F681" t="str">
        <f t="shared" si="11"/>
        <v/>
      </c>
    </row>
    <row r="682" spans="6:6">
      <c r="F682" t="str">
        <f t="shared" si="11"/>
        <v/>
      </c>
    </row>
    <row r="683" spans="6:6">
      <c r="F683" t="str">
        <f t="shared" si="11"/>
        <v/>
      </c>
    </row>
    <row r="684" spans="6:6">
      <c r="F684" t="str">
        <f t="shared" si="11"/>
        <v/>
      </c>
    </row>
    <row r="685" spans="6:6">
      <c r="F685" t="str">
        <f t="shared" si="11"/>
        <v/>
      </c>
    </row>
    <row r="686" spans="6:6">
      <c r="F686" t="str">
        <f t="shared" si="11"/>
        <v/>
      </c>
    </row>
    <row r="687" spans="6:6">
      <c r="F687" t="str">
        <f t="shared" si="11"/>
        <v/>
      </c>
    </row>
    <row r="688" spans="6:6">
      <c r="F688" t="str">
        <f t="shared" si="11"/>
        <v/>
      </c>
    </row>
    <row r="689" spans="6:6">
      <c r="F689" t="str">
        <f t="shared" si="11"/>
        <v/>
      </c>
    </row>
    <row r="690" spans="6:6">
      <c r="F690" t="str">
        <f t="shared" si="11"/>
        <v/>
      </c>
    </row>
    <row r="691" spans="6:6">
      <c r="F691" t="str">
        <f t="shared" si="11"/>
        <v/>
      </c>
    </row>
    <row r="692" spans="6:6">
      <c r="F692" t="str">
        <f t="shared" si="11"/>
        <v/>
      </c>
    </row>
    <row r="693" spans="6:6">
      <c r="F693" t="str">
        <f t="shared" si="11"/>
        <v/>
      </c>
    </row>
    <row r="694" spans="6:6">
      <c r="F694" t="str">
        <f t="shared" si="11"/>
        <v/>
      </c>
    </row>
    <row r="695" spans="6:6">
      <c r="F695" t="str">
        <f t="shared" si="11"/>
        <v/>
      </c>
    </row>
    <row r="696" spans="6:6">
      <c r="F696" t="str">
        <f t="shared" si="11"/>
        <v/>
      </c>
    </row>
    <row r="697" spans="6:6">
      <c r="F697" t="str">
        <f t="shared" si="11"/>
        <v/>
      </c>
    </row>
    <row r="698" spans="6:6">
      <c r="F698" t="str">
        <f t="shared" si="11"/>
        <v/>
      </c>
    </row>
    <row r="699" spans="6:6">
      <c r="F699" t="str">
        <f t="shared" si="11"/>
        <v/>
      </c>
    </row>
    <row r="700" spans="6:6">
      <c r="F700" t="str">
        <f t="shared" si="11"/>
        <v/>
      </c>
    </row>
    <row r="701" spans="6:6">
      <c r="F701" t="str">
        <f t="shared" si="11"/>
        <v/>
      </c>
    </row>
    <row r="702" spans="6:6">
      <c r="F702" t="str">
        <f t="shared" si="11"/>
        <v/>
      </c>
    </row>
    <row r="703" spans="6:6">
      <c r="F703" t="str">
        <f t="shared" si="11"/>
        <v/>
      </c>
    </row>
    <row r="704" spans="6:6">
      <c r="F704" t="str">
        <f t="shared" si="11"/>
        <v/>
      </c>
    </row>
    <row r="705" spans="6:6">
      <c r="F705" t="str">
        <f t="shared" si="11"/>
        <v/>
      </c>
    </row>
    <row r="706" spans="6:6">
      <c r="F706" t="str">
        <f t="shared" si="11"/>
        <v/>
      </c>
    </row>
    <row r="707" spans="6:6">
      <c r="F707" t="str">
        <f t="shared" si="11"/>
        <v/>
      </c>
    </row>
    <row r="708" spans="6:6">
      <c r="F708" t="str">
        <f t="shared" si="11"/>
        <v/>
      </c>
    </row>
    <row r="709" spans="6:6">
      <c r="F709" t="str">
        <f t="shared" si="11"/>
        <v/>
      </c>
    </row>
    <row r="710" spans="6:6">
      <c r="F710" t="str">
        <f t="shared" si="11"/>
        <v/>
      </c>
    </row>
    <row r="711" spans="6:6">
      <c r="F711" t="str">
        <f t="shared" si="11"/>
        <v/>
      </c>
    </row>
    <row r="712" spans="6:6">
      <c r="F712" t="str">
        <f t="shared" si="11"/>
        <v/>
      </c>
    </row>
    <row r="713" spans="6:6">
      <c r="F713" t="str">
        <f t="shared" si="11"/>
        <v/>
      </c>
    </row>
    <row r="714" spans="6:6">
      <c r="F714" t="str">
        <f t="shared" si="11"/>
        <v/>
      </c>
    </row>
    <row r="715" spans="6:6">
      <c r="F715" t="str">
        <f t="shared" si="11"/>
        <v/>
      </c>
    </row>
    <row r="716" spans="6:6">
      <c r="F716" t="str">
        <f t="shared" si="11"/>
        <v/>
      </c>
    </row>
    <row r="717" spans="6:6">
      <c r="F717" t="str">
        <f t="shared" ref="F717:F780" si="12">RIGHT(D717,2)</f>
        <v/>
      </c>
    </row>
    <row r="718" spans="6:6">
      <c r="F718" t="str">
        <f t="shared" si="12"/>
        <v/>
      </c>
    </row>
    <row r="719" spans="6:6">
      <c r="F719" t="str">
        <f t="shared" si="12"/>
        <v/>
      </c>
    </row>
    <row r="720" spans="6:6">
      <c r="F720" t="str">
        <f t="shared" si="12"/>
        <v/>
      </c>
    </row>
    <row r="721" spans="6:6">
      <c r="F721" t="str">
        <f t="shared" si="12"/>
        <v/>
      </c>
    </row>
    <row r="722" spans="6:6">
      <c r="F722" t="str">
        <f t="shared" si="12"/>
        <v/>
      </c>
    </row>
    <row r="723" spans="6:6">
      <c r="F723" t="str">
        <f t="shared" si="12"/>
        <v/>
      </c>
    </row>
    <row r="724" spans="6:6">
      <c r="F724" t="str">
        <f t="shared" si="12"/>
        <v/>
      </c>
    </row>
    <row r="725" spans="6:6">
      <c r="F725" t="str">
        <f t="shared" si="12"/>
        <v/>
      </c>
    </row>
    <row r="726" spans="6:6">
      <c r="F726" t="str">
        <f t="shared" si="12"/>
        <v/>
      </c>
    </row>
    <row r="727" spans="6:6">
      <c r="F727" t="str">
        <f t="shared" si="12"/>
        <v/>
      </c>
    </row>
    <row r="728" spans="6:6">
      <c r="F728" t="str">
        <f t="shared" si="12"/>
        <v/>
      </c>
    </row>
    <row r="729" spans="6:6">
      <c r="F729" t="str">
        <f t="shared" si="12"/>
        <v/>
      </c>
    </row>
    <row r="730" spans="6:6">
      <c r="F730" t="str">
        <f t="shared" si="12"/>
        <v/>
      </c>
    </row>
    <row r="731" spans="6:6">
      <c r="F731" t="str">
        <f t="shared" si="12"/>
        <v/>
      </c>
    </row>
    <row r="732" spans="6:6">
      <c r="F732" t="str">
        <f t="shared" si="12"/>
        <v/>
      </c>
    </row>
    <row r="733" spans="6:6">
      <c r="F733" t="str">
        <f t="shared" si="12"/>
        <v/>
      </c>
    </row>
    <row r="734" spans="6:6">
      <c r="F734" t="str">
        <f t="shared" si="12"/>
        <v/>
      </c>
    </row>
    <row r="735" spans="6:6">
      <c r="F735" t="str">
        <f t="shared" si="12"/>
        <v/>
      </c>
    </row>
    <row r="736" spans="6:6">
      <c r="F736" t="str">
        <f t="shared" si="12"/>
        <v/>
      </c>
    </row>
    <row r="737" spans="6:6">
      <c r="F737" t="str">
        <f t="shared" si="12"/>
        <v/>
      </c>
    </row>
    <row r="738" spans="6:6">
      <c r="F738" t="str">
        <f t="shared" si="12"/>
        <v/>
      </c>
    </row>
    <row r="739" spans="6:6">
      <c r="F739" t="str">
        <f t="shared" si="12"/>
        <v/>
      </c>
    </row>
    <row r="740" spans="6:6">
      <c r="F740" t="str">
        <f t="shared" si="12"/>
        <v/>
      </c>
    </row>
    <row r="741" spans="6:6">
      <c r="F741" t="str">
        <f t="shared" si="12"/>
        <v/>
      </c>
    </row>
    <row r="742" spans="6:6">
      <c r="F742" t="str">
        <f t="shared" si="12"/>
        <v/>
      </c>
    </row>
    <row r="743" spans="6:6">
      <c r="F743" t="str">
        <f t="shared" si="12"/>
        <v/>
      </c>
    </row>
    <row r="744" spans="6:6">
      <c r="F744" t="str">
        <f t="shared" si="12"/>
        <v/>
      </c>
    </row>
    <row r="745" spans="6:6">
      <c r="F745" t="str">
        <f t="shared" si="12"/>
        <v/>
      </c>
    </row>
    <row r="746" spans="6:6">
      <c r="F746" t="str">
        <f t="shared" si="12"/>
        <v/>
      </c>
    </row>
    <row r="747" spans="6:6">
      <c r="F747" t="str">
        <f t="shared" si="12"/>
        <v/>
      </c>
    </row>
    <row r="748" spans="6:6">
      <c r="F748" t="str">
        <f t="shared" si="12"/>
        <v/>
      </c>
    </row>
    <row r="749" spans="6:6">
      <c r="F749" t="str">
        <f t="shared" si="12"/>
        <v/>
      </c>
    </row>
    <row r="750" spans="6:6">
      <c r="F750" t="str">
        <f t="shared" si="12"/>
        <v/>
      </c>
    </row>
    <row r="751" spans="6:6">
      <c r="F751" t="str">
        <f t="shared" si="12"/>
        <v/>
      </c>
    </row>
    <row r="752" spans="6:6">
      <c r="F752" t="str">
        <f t="shared" si="12"/>
        <v/>
      </c>
    </row>
    <row r="753" spans="6:6">
      <c r="F753" t="str">
        <f t="shared" si="12"/>
        <v/>
      </c>
    </row>
    <row r="754" spans="6:6">
      <c r="F754" t="str">
        <f t="shared" si="12"/>
        <v/>
      </c>
    </row>
    <row r="755" spans="6:6">
      <c r="F755" t="str">
        <f t="shared" si="12"/>
        <v/>
      </c>
    </row>
    <row r="756" spans="6:6">
      <c r="F756" t="str">
        <f t="shared" si="12"/>
        <v/>
      </c>
    </row>
    <row r="757" spans="6:6">
      <c r="F757" t="str">
        <f t="shared" si="12"/>
        <v/>
      </c>
    </row>
    <row r="758" spans="6:6">
      <c r="F758" t="str">
        <f t="shared" si="12"/>
        <v/>
      </c>
    </row>
    <row r="759" spans="6:6">
      <c r="F759" t="str">
        <f t="shared" si="12"/>
        <v/>
      </c>
    </row>
    <row r="760" spans="6:6">
      <c r="F760" t="str">
        <f t="shared" si="12"/>
        <v/>
      </c>
    </row>
    <row r="761" spans="6:6">
      <c r="F761" t="str">
        <f t="shared" si="12"/>
        <v/>
      </c>
    </row>
    <row r="762" spans="6:6">
      <c r="F762" t="str">
        <f t="shared" si="12"/>
        <v/>
      </c>
    </row>
    <row r="763" spans="6:6">
      <c r="F763" t="str">
        <f t="shared" si="12"/>
        <v/>
      </c>
    </row>
    <row r="764" spans="6:6">
      <c r="F764" t="str">
        <f t="shared" si="12"/>
        <v/>
      </c>
    </row>
    <row r="765" spans="6:6">
      <c r="F765" t="str">
        <f t="shared" si="12"/>
        <v/>
      </c>
    </row>
    <row r="766" spans="6:6">
      <c r="F766" t="str">
        <f t="shared" si="12"/>
        <v/>
      </c>
    </row>
    <row r="767" spans="6:6">
      <c r="F767" t="str">
        <f t="shared" si="12"/>
        <v/>
      </c>
    </row>
    <row r="768" spans="6:6">
      <c r="F768" t="str">
        <f t="shared" si="12"/>
        <v/>
      </c>
    </row>
    <row r="769" spans="6:6">
      <c r="F769" t="str">
        <f t="shared" si="12"/>
        <v/>
      </c>
    </row>
    <row r="770" spans="6:6">
      <c r="F770" t="str">
        <f t="shared" si="12"/>
        <v/>
      </c>
    </row>
    <row r="771" spans="6:6">
      <c r="F771" t="str">
        <f t="shared" si="12"/>
        <v/>
      </c>
    </row>
    <row r="772" spans="6:6">
      <c r="F772" t="str">
        <f t="shared" si="12"/>
        <v/>
      </c>
    </row>
    <row r="773" spans="6:6">
      <c r="F773" t="str">
        <f t="shared" si="12"/>
        <v/>
      </c>
    </row>
    <row r="774" spans="6:6">
      <c r="F774" t="str">
        <f t="shared" si="12"/>
        <v/>
      </c>
    </row>
    <row r="775" spans="6:6">
      <c r="F775" t="str">
        <f t="shared" si="12"/>
        <v/>
      </c>
    </row>
    <row r="776" spans="6:6">
      <c r="F776" t="str">
        <f t="shared" si="12"/>
        <v/>
      </c>
    </row>
    <row r="777" spans="6:6">
      <c r="F777" t="str">
        <f t="shared" si="12"/>
        <v/>
      </c>
    </row>
    <row r="778" spans="6:6">
      <c r="F778" t="str">
        <f t="shared" si="12"/>
        <v/>
      </c>
    </row>
    <row r="779" spans="6:6">
      <c r="F779" t="str">
        <f t="shared" si="12"/>
        <v/>
      </c>
    </row>
    <row r="780" spans="6:6">
      <c r="F780" t="str">
        <f t="shared" si="12"/>
        <v/>
      </c>
    </row>
    <row r="781" spans="6:6">
      <c r="F781" t="str">
        <f t="shared" ref="F781:F844" si="13">RIGHT(D781,2)</f>
        <v/>
      </c>
    </row>
    <row r="782" spans="6:6">
      <c r="F782" t="str">
        <f t="shared" si="13"/>
        <v/>
      </c>
    </row>
    <row r="783" spans="6:6">
      <c r="F783" t="str">
        <f t="shared" si="13"/>
        <v/>
      </c>
    </row>
    <row r="784" spans="6:6">
      <c r="F784" t="str">
        <f t="shared" si="13"/>
        <v/>
      </c>
    </row>
    <row r="785" spans="6:6">
      <c r="F785" t="str">
        <f t="shared" si="13"/>
        <v/>
      </c>
    </row>
    <row r="786" spans="6:6">
      <c r="F786" t="str">
        <f t="shared" si="13"/>
        <v/>
      </c>
    </row>
    <row r="787" spans="6:6">
      <c r="F787" t="str">
        <f t="shared" si="13"/>
        <v/>
      </c>
    </row>
    <row r="788" spans="6:6">
      <c r="F788" t="str">
        <f t="shared" si="13"/>
        <v/>
      </c>
    </row>
    <row r="789" spans="6:6">
      <c r="F789" t="str">
        <f t="shared" si="13"/>
        <v/>
      </c>
    </row>
    <row r="790" spans="6:6">
      <c r="F790" t="str">
        <f t="shared" si="13"/>
        <v/>
      </c>
    </row>
    <row r="791" spans="6:6">
      <c r="F791" t="str">
        <f t="shared" si="13"/>
        <v/>
      </c>
    </row>
    <row r="792" spans="6:6">
      <c r="F792" t="str">
        <f t="shared" si="13"/>
        <v/>
      </c>
    </row>
    <row r="793" spans="6:6">
      <c r="F793" t="str">
        <f t="shared" si="13"/>
        <v/>
      </c>
    </row>
    <row r="794" spans="6:6">
      <c r="F794" t="str">
        <f t="shared" si="13"/>
        <v/>
      </c>
    </row>
    <row r="795" spans="6:6">
      <c r="F795" t="str">
        <f t="shared" si="13"/>
        <v/>
      </c>
    </row>
    <row r="796" spans="6:6">
      <c r="F796" t="str">
        <f t="shared" si="13"/>
        <v/>
      </c>
    </row>
    <row r="797" spans="6:6">
      <c r="F797" t="str">
        <f t="shared" si="13"/>
        <v/>
      </c>
    </row>
    <row r="798" spans="6:6">
      <c r="F798" t="str">
        <f t="shared" si="13"/>
        <v/>
      </c>
    </row>
    <row r="799" spans="6:6">
      <c r="F799" t="str">
        <f t="shared" si="13"/>
        <v/>
      </c>
    </row>
    <row r="800" spans="6:6">
      <c r="F800" t="str">
        <f t="shared" si="13"/>
        <v/>
      </c>
    </row>
    <row r="801" spans="6:6">
      <c r="F801" t="str">
        <f t="shared" si="13"/>
        <v/>
      </c>
    </row>
    <row r="802" spans="6:6">
      <c r="F802" t="str">
        <f t="shared" si="13"/>
        <v/>
      </c>
    </row>
    <row r="803" spans="6:6">
      <c r="F803" t="str">
        <f t="shared" si="13"/>
        <v/>
      </c>
    </row>
    <row r="804" spans="6:6">
      <c r="F804" t="str">
        <f t="shared" si="13"/>
        <v/>
      </c>
    </row>
    <row r="805" spans="6:6">
      <c r="F805" t="str">
        <f t="shared" si="13"/>
        <v/>
      </c>
    </row>
    <row r="806" spans="6:6">
      <c r="F806" t="str">
        <f t="shared" si="13"/>
        <v/>
      </c>
    </row>
    <row r="807" spans="6:6">
      <c r="F807" t="str">
        <f t="shared" si="13"/>
        <v/>
      </c>
    </row>
    <row r="808" spans="6:6">
      <c r="F808" t="str">
        <f t="shared" si="13"/>
        <v/>
      </c>
    </row>
    <row r="809" spans="6:6">
      <c r="F809" t="str">
        <f t="shared" si="13"/>
        <v/>
      </c>
    </row>
    <row r="810" spans="6:6">
      <c r="F810" t="str">
        <f t="shared" si="13"/>
        <v/>
      </c>
    </row>
    <row r="811" spans="6:6">
      <c r="F811" t="str">
        <f t="shared" si="13"/>
        <v/>
      </c>
    </row>
    <row r="812" spans="6:6">
      <c r="F812" t="str">
        <f t="shared" si="13"/>
        <v/>
      </c>
    </row>
    <row r="813" spans="6:6">
      <c r="F813" t="str">
        <f t="shared" si="13"/>
        <v/>
      </c>
    </row>
    <row r="814" spans="6:6">
      <c r="F814" t="str">
        <f t="shared" si="13"/>
        <v/>
      </c>
    </row>
    <row r="815" spans="6:6">
      <c r="F815" t="str">
        <f t="shared" si="13"/>
        <v/>
      </c>
    </row>
    <row r="816" spans="6:6">
      <c r="F816" t="str">
        <f t="shared" si="13"/>
        <v/>
      </c>
    </row>
    <row r="817" spans="6:6">
      <c r="F817" t="str">
        <f t="shared" si="13"/>
        <v/>
      </c>
    </row>
    <row r="818" spans="6:6">
      <c r="F818" t="str">
        <f t="shared" si="13"/>
        <v/>
      </c>
    </row>
    <row r="819" spans="6:6">
      <c r="F819" t="str">
        <f t="shared" si="13"/>
        <v/>
      </c>
    </row>
    <row r="820" spans="6:6">
      <c r="F820" t="str">
        <f t="shared" si="13"/>
        <v/>
      </c>
    </row>
    <row r="821" spans="6:6">
      <c r="F821" t="str">
        <f t="shared" si="13"/>
        <v/>
      </c>
    </row>
    <row r="822" spans="6:6">
      <c r="F822" t="str">
        <f t="shared" si="13"/>
        <v/>
      </c>
    </row>
    <row r="823" spans="6:6">
      <c r="F823" t="str">
        <f t="shared" si="13"/>
        <v/>
      </c>
    </row>
    <row r="824" spans="6:6">
      <c r="F824" t="str">
        <f t="shared" si="13"/>
        <v/>
      </c>
    </row>
    <row r="825" spans="6:6">
      <c r="F825" t="str">
        <f t="shared" si="13"/>
        <v/>
      </c>
    </row>
    <row r="826" spans="6:6">
      <c r="F826" t="str">
        <f t="shared" si="13"/>
        <v/>
      </c>
    </row>
    <row r="827" spans="6:6">
      <c r="F827" t="str">
        <f t="shared" si="13"/>
        <v/>
      </c>
    </row>
    <row r="828" spans="6:6">
      <c r="F828" t="str">
        <f t="shared" si="13"/>
        <v/>
      </c>
    </row>
    <row r="829" spans="6:6">
      <c r="F829" t="str">
        <f t="shared" si="13"/>
        <v/>
      </c>
    </row>
    <row r="830" spans="6:6">
      <c r="F830" t="str">
        <f t="shared" si="13"/>
        <v/>
      </c>
    </row>
    <row r="831" spans="6:6">
      <c r="F831" t="str">
        <f t="shared" si="13"/>
        <v/>
      </c>
    </row>
    <row r="832" spans="6:6">
      <c r="F832" t="str">
        <f t="shared" si="13"/>
        <v/>
      </c>
    </row>
    <row r="833" spans="6:6">
      <c r="F833" t="str">
        <f t="shared" si="13"/>
        <v/>
      </c>
    </row>
    <row r="834" spans="6:6">
      <c r="F834" t="str">
        <f t="shared" si="13"/>
        <v/>
      </c>
    </row>
    <row r="835" spans="6:6">
      <c r="F835" t="str">
        <f t="shared" si="13"/>
        <v/>
      </c>
    </row>
    <row r="836" spans="6:6">
      <c r="F836" t="str">
        <f t="shared" si="13"/>
        <v/>
      </c>
    </row>
    <row r="837" spans="6:6">
      <c r="F837" t="str">
        <f t="shared" si="13"/>
        <v/>
      </c>
    </row>
    <row r="838" spans="6:6">
      <c r="F838" t="str">
        <f t="shared" si="13"/>
        <v/>
      </c>
    </row>
    <row r="839" spans="6:6">
      <c r="F839" t="str">
        <f t="shared" si="13"/>
        <v/>
      </c>
    </row>
    <row r="840" spans="6:6">
      <c r="F840" t="str">
        <f t="shared" si="13"/>
        <v/>
      </c>
    </row>
    <row r="841" spans="6:6">
      <c r="F841" t="str">
        <f t="shared" si="13"/>
        <v/>
      </c>
    </row>
    <row r="842" spans="6:6">
      <c r="F842" t="str">
        <f t="shared" si="13"/>
        <v/>
      </c>
    </row>
    <row r="843" spans="6:6">
      <c r="F843" t="str">
        <f t="shared" si="13"/>
        <v/>
      </c>
    </row>
    <row r="844" spans="6:6">
      <c r="F844" t="str">
        <f t="shared" si="13"/>
        <v/>
      </c>
    </row>
    <row r="845" spans="6:6">
      <c r="F845" t="str">
        <f t="shared" ref="F845:F908" si="14">RIGHT(D845,2)</f>
        <v/>
      </c>
    </row>
    <row r="846" spans="6:6">
      <c r="F846" t="str">
        <f t="shared" si="14"/>
        <v/>
      </c>
    </row>
    <row r="847" spans="6:6">
      <c r="F847" t="str">
        <f t="shared" si="14"/>
        <v/>
      </c>
    </row>
    <row r="848" spans="6:6">
      <c r="F848" t="str">
        <f t="shared" si="14"/>
        <v/>
      </c>
    </row>
    <row r="849" spans="6:6">
      <c r="F849" t="str">
        <f t="shared" si="14"/>
        <v/>
      </c>
    </row>
    <row r="850" spans="6:6">
      <c r="F850" t="str">
        <f t="shared" si="14"/>
        <v/>
      </c>
    </row>
    <row r="851" spans="6:6">
      <c r="F851" t="str">
        <f t="shared" si="14"/>
        <v/>
      </c>
    </row>
    <row r="852" spans="6:6">
      <c r="F852" t="str">
        <f t="shared" si="14"/>
        <v/>
      </c>
    </row>
    <row r="853" spans="6:6">
      <c r="F853" t="str">
        <f t="shared" si="14"/>
        <v/>
      </c>
    </row>
    <row r="854" spans="6:6">
      <c r="F854" t="str">
        <f t="shared" si="14"/>
        <v/>
      </c>
    </row>
    <row r="855" spans="6:6">
      <c r="F855" t="str">
        <f t="shared" si="14"/>
        <v/>
      </c>
    </row>
    <row r="856" spans="6:6">
      <c r="F856" t="str">
        <f t="shared" si="14"/>
        <v/>
      </c>
    </row>
    <row r="857" spans="6:6">
      <c r="F857" t="str">
        <f t="shared" si="14"/>
        <v/>
      </c>
    </row>
    <row r="858" spans="6:6">
      <c r="F858" t="str">
        <f t="shared" si="14"/>
        <v/>
      </c>
    </row>
    <row r="859" spans="6:6">
      <c r="F859" t="str">
        <f t="shared" si="14"/>
        <v/>
      </c>
    </row>
    <row r="860" spans="6:6">
      <c r="F860" t="str">
        <f t="shared" si="14"/>
        <v/>
      </c>
    </row>
    <row r="861" spans="6:6">
      <c r="F861" t="str">
        <f t="shared" si="14"/>
        <v/>
      </c>
    </row>
    <row r="862" spans="6:6">
      <c r="F862" t="str">
        <f t="shared" si="14"/>
        <v/>
      </c>
    </row>
    <row r="863" spans="6:6">
      <c r="F863" t="str">
        <f t="shared" si="14"/>
        <v/>
      </c>
    </row>
    <row r="864" spans="6:6">
      <c r="F864" t="str">
        <f t="shared" si="14"/>
        <v/>
      </c>
    </row>
    <row r="865" spans="6:6">
      <c r="F865" t="str">
        <f t="shared" si="14"/>
        <v/>
      </c>
    </row>
    <row r="866" spans="6:6">
      <c r="F866" t="str">
        <f t="shared" si="14"/>
        <v/>
      </c>
    </row>
    <row r="867" spans="6:6">
      <c r="F867" t="str">
        <f t="shared" si="14"/>
        <v/>
      </c>
    </row>
    <row r="868" spans="6:6">
      <c r="F868" t="str">
        <f t="shared" si="14"/>
        <v/>
      </c>
    </row>
    <row r="869" spans="6:6">
      <c r="F869" t="str">
        <f t="shared" si="14"/>
        <v/>
      </c>
    </row>
    <row r="870" spans="6:6">
      <c r="F870" t="str">
        <f t="shared" si="14"/>
        <v/>
      </c>
    </row>
    <row r="871" spans="6:6">
      <c r="F871" t="str">
        <f t="shared" si="14"/>
        <v/>
      </c>
    </row>
    <row r="872" spans="6:6">
      <c r="F872" t="str">
        <f t="shared" si="14"/>
        <v/>
      </c>
    </row>
    <row r="873" spans="6:6">
      <c r="F873" t="str">
        <f t="shared" si="14"/>
        <v/>
      </c>
    </row>
    <row r="874" spans="6:6">
      <c r="F874" t="str">
        <f t="shared" si="14"/>
        <v/>
      </c>
    </row>
    <row r="875" spans="6:6">
      <c r="F875" t="str">
        <f t="shared" si="14"/>
        <v/>
      </c>
    </row>
    <row r="876" spans="6:6">
      <c r="F876" t="str">
        <f t="shared" si="14"/>
        <v/>
      </c>
    </row>
    <row r="877" spans="6:6">
      <c r="F877" t="str">
        <f t="shared" si="14"/>
        <v/>
      </c>
    </row>
    <row r="878" spans="6:6">
      <c r="F878" t="str">
        <f t="shared" si="14"/>
        <v/>
      </c>
    </row>
    <row r="879" spans="6:6">
      <c r="F879" t="str">
        <f t="shared" si="14"/>
        <v/>
      </c>
    </row>
    <row r="880" spans="6:6">
      <c r="F880" t="str">
        <f t="shared" si="14"/>
        <v/>
      </c>
    </row>
    <row r="881" spans="6:6">
      <c r="F881" t="str">
        <f t="shared" si="14"/>
        <v/>
      </c>
    </row>
    <row r="882" spans="6:6">
      <c r="F882" t="str">
        <f t="shared" si="14"/>
        <v/>
      </c>
    </row>
    <row r="883" spans="6:6">
      <c r="F883" t="str">
        <f t="shared" si="14"/>
        <v/>
      </c>
    </row>
    <row r="884" spans="6:6">
      <c r="F884" t="str">
        <f t="shared" si="14"/>
        <v/>
      </c>
    </row>
    <row r="885" spans="6:6">
      <c r="F885" t="str">
        <f t="shared" si="14"/>
        <v/>
      </c>
    </row>
    <row r="886" spans="6:6">
      <c r="F886" t="str">
        <f t="shared" si="14"/>
        <v/>
      </c>
    </row>
    <row r="887" spans="6:6">
      <c r="F887" t="str">
        <f t="shared" si="14"/>
        <v/>
      </c>
    </row>
    <row r="888" spans="6:6">
      <c r="F888" t="str">
        <f t="shared" si="14"/>
        <v/>
      </c>
    </row>
    <row r="889" spans="6:6">
      <c r="F889" t="str">
        <f t="shared" si="14"/>
        <v/>
      </c>
    </row>
    <row r="890" spans="6:6">
      <c r="F890" t="str">
        <f t="shared" si="14"/>
        <v/>
      </c>
    </row>
    <row r="891" spans="6:6">
      <c r="F891" t="str">
        <f t="shared" si="14"/>
        <v/>
      </c>
    </row>
    <row r="892" spans="6:6">
      <c r="F892" t="str">
        <f t="shared" si="14"/>
        <v/>
      </c>
    </row>
    <row r="893" spans="6:6">
      <c r="F893" t="str">
        <f t="shared" si="14"/>
        <v/>
      </c>
    </row>
    <row r="894" spans="6:6">
      <c r="F894" t="str">
        <f t="shared" si="14"/>
        <v/>
      </c>
    </row>
    <row r="895" spans="6:6">
      <c r="F895" t="str">
        <f t="shared" si="14"/>
        <v/>
      </c>
    </row>
    <row r="896" spans="6:6">
      <c r="F896" t="str">
        <f t="shared" si="14"/>
        <v/>
      </c>
    </row>
    <row r="897" spans="6:6">
      <c r="F897" t="str">
        <f t="shared" si="14"/>
        <v/>
      </c>
    </row>
    <row r="898" spans="6:6">
      <c r="F898" t="str">
        <f t="shared" si="14"/>
        <v/>
      </c>
    </row>
    <row r="899" spans="6:6">
      <c r="F899" t="str">
        <f t="shared" si="14"/>
        <v/>
      </c>
    </row>
    <row r="900" spans="6:6">
      <c r="F900" t="str">
        <f t="shared" si="14"/>
        <v/>
      </c>
    </row>
    <row r="901" spans="6:6">
      <c r="F901" t="str">
        <f t="shared" si="14"/>
        <v/>
      </c>
    </row>
    <row r="902" spans="6:6">
      <c r="F902" t="str">
        <f t="shared" si="14"/>
        <v/>
      </c>
    </row>
    <row r="903" spans="6:6">
      <c r="F903" t="str">
        <f t="shared" si="14"/>
        <v/>
      </c>
    </row>
    <row r="904" spans="6:6">
      <c r="F904" t="str">
        <f t="shared" si="14"/>
        <v/>
      </c>
    </row>
    <row r="905" spans="6:6">
      <c r="F905" t="str">
        <f t="shared" si="14"/>
        <v/>
      </c>
    </row>
    <row r="906" spans="6:6">
      <c r="F906" t="str">
        <f t="shared" si="14"/>
        <v/>
      </c>
    </row>
    <row r="907" spans="6:6">
      <c r="F907" t="str">
        <f t="shared" si="14"/>
        <v/>
      </c>
    </row>
    <row r="908" spans="6:6">
      <c r="F908" t="str">
        <f t="shared" si="14"/>
        <v/>
      </c>
    </row>
    <row r="909" spans="6:6">
      <c r="F909" t="str">
        <f t="shared" ref="F909:F972" si="15">RIGHT(D909,2)</f>
        <v/>
      </c>
    </row>
    <row r="910" spans="6:6">
      <c r="F910" t="str">
        <f t="shared" si="15"/>
        <v/>
      </c>
    </row>
    <row r="911" spans="6:6">
      <c r="F911" t="str">
        <f t="shared" si="15"/>
        <v/>
      </c>
    </row>
    <row r="912" spans="6:6">
      <c r="F912" t="str">
        <f t="shared" si="15"/>
        <v/>
      </c>
    </row>
    <row r="913" spans="6:6">
      <c r="F913" t="str">
        <f t="shared" si="15"/>
        <v/>
      </c>
    </row>
    <row r="914" spans="6:6">
      <c r="F914" t="str">
        <f t="shared" si="15"/>
        <v/>
      </c>
    </row>
    <row r="915" spans="6:6">
      <c r="F915" t="str">
        <f t="shared" si="15"/>
        <v/>
      </c>
    </row>
    <row r="916" spans="6:6">
      <c r="F916" t="str">
        <f t="shared" si="15"/>
        <v/>
      </c>
    </row>
    <row r="917" spans="6:6">
      <c r="F917" t="str">
        <f t="shared" si="15"/>
        <v/>
      </c>
    </row>
    <row r="918" spans="6:6">
      <c r="F918" t="str">
        <f t="shared" si="15"/>
        <v/>
      </c>
    </row>
    <row r="919" spans="6:6">
      <c r="F919" t="str">
        <f t="shared" si="15"/>
        <v/>
      </c>
    </row>
    <row r="920" spans="6:6">
      <c r="F920" t="str">
        <f t="shared" si="15"/>
        <v/>
      </c>
    </row>
    <row r="921" spans="6:6">
      <c r="F921" t="str">
        <f t="shared" si="15"/>
        <v/>
      </c>
    </row>
    <row r="922" spans="6:6">
      <c r="F922" t="str">
        <f t="shared" si="15"/>
        <v/>
      </c>
    </row>
    <row r="923" spans="6:6">
      <c r="F923" t="str">
        <f t="shared" si="15"/>
        <v/>
      </c>
    </row>
    <row r="924" spans="6:6">
      <c r="F924" t="str">
        <f t="shared" si="15"/>
        <v/>
      </c>
    </row>
    <row r="925" spans="6:6">
      <c r="F925" t="str">
        <f t="shared" si="15"/>
        <v/>
      </c>
    </row>
    <row r="926" spans="6:6">
      <c r="F926" t="str">
        <f t="shared" si="15"/>
        <v/>
      </c>
    </row>
    <row r="927" spans="6:6">
      <c r="F927" t="str">
        <f t="shared" si="15"/>
        <v/>
      </c>
    </row>
    <row r="928" spans="6:6">
      <c r="F928" t="str">
        <f t="shared" si="15"/>
        <v/>
      </c>
    </row>
    <row r="929" spans="6:6">
      <c r="F929" t="str">
        <f t="shared" si="15"/>
        <v/>
      </c>
    </row>
    <row r="930" spans="6:6">
      <c r="F930" t="str">
        <f t="shared" si="15"/>
        <v/>
      </c>
    </row>
    <row r="931" spans="6:6">
      <c r="F931" t="str">
        <f t="shared" si="15"/>
        <v/>
      </c>
    </row>
    <row r="932" spans="6:6">
      <c r="F932" t="str">
        <f t="shared" si="15"/>
        <v/>
      </c>
    </row>
    <row r="933" spans="6:6">
      <c r="F933" t="str">
        <f t="shared" si="15"/>
        <v/>
      </c>
    </row>
    <row r="934" spans="6:6">
      <c r="F934" t="str">
        <f t="shared" si="15"/>
        <v/>
      </c>
    </row>
    <row r="935" spans="6:6">
      <c r="F935" t="str">
        <f t="shared" si="15"/>
        <v/>
      </c>
    </row>
    <row r="936" spans="6:6">
      <c r="F936" t="str">
        <f t="shared" si="15"/>
        <v/>
      </c>
    </row>
    <row r="937" spans="6:6">
      <c r="F937" t="str">
        <f t="shared" si="15"/>
        <v/>
      </c>
    </row>
    <row r="938" spans="6:6">
      <c r="F938" t="str">
        <f t="shared" si="15"/>
        <v/>
      </c>
    </row>
    <row r="939" spans="6:6">
      <c r="F939" t="str">
        <f t="shared" si="15"/>
        <v/>
      </c>
    </row>
    <row r="940" spans="6:6">
      <c r="F940" t="str">
        <f t="shared" si="15"/>
        <v/>
      </c>
    </row>
    <row r="941" spans="6:6">
      <c r="F941" t="str">
        <f t="shared" si="15"/>
        <v/>
      </c>
    </row>
    <row r="942" spans="6:6">
      <c r="F942" t="str">
        <f t="shared" si="15"/>
        <v/>
      </c>
    </row>
    <row r="943" spans="6:6">
      <c r="F943" t="str">
        <f t="shared" si="15"/>
        <v/>
      </c>
    </row>
    <row r="944" spans="6:6">
      <c r="F944" t="str">
        <f t="shared" si="15"/>
        <v/>
      </c>
    </row>
    <row r="945" spans="6:6">
      <c r="F945" t="str">
        <f t="shared" si="15"/>
        <v/>
      </c>
    </row>
    <row r="946" spans="6:6">
      <c r="F946" t="str">
        <f t="shared" si="15"/>
        <v/>
      </c>
    </row>
    <row r="947" spans="6:6">
      <c r="F947" t="str">
        <f t="shared" si="15"/>
        <v/>
      </c>
    </row>
    <row r="948" spans="6:6">
      <c r="F948" t="str">
        <f t="shared" si="15"/>
        <v/>
      </c>
    </row>
    <row r="949" spans="6:6">
      <c r="F949" t="str">
        <f t="shared" si="15"/>
        <v/>
      </c>
    </row>
    <row r="950" spans="6:6">
      <c r="F950" t="str">
        <f t="shared" si="15"/>
        <v/>
      </c>
    </row>
    <row r="951" spans="6:6">
      <c r="F951" t="str">
        <f t="shared" si="15"/>
        <v/>
      </c>
    </row>
    <row r="952" spans="6:6">
      <c r="F952" t="str">
        <f t="shared" si="15"/>
        <v/>
      </c>
    </row>
    <row r="953" spans="6:6">
      <c r="F953" t="str">
        <f t="shared" si="15"/>
        <v/>
      </c>
    </row>
    <row r="954" spans="6:6">
      <c r="F954" t="str">
        <f t="shared" si="15"/>
        <v/>
      </c>
    </row>
    <row r="955" spans="6:6">
      <c r="F955" t="str">
        <f t="shared" si="15"/>
        <v/>
      </c>
    </row>
    <row r="956" spans="6:6">
      <c r="F956" t="str">
        <f t="shared" si="15"/>
        <v/>
      </c>
    </row>
    <row r="957" spans="6:6">
      <c r="F957" t="str">
        <f t="shared" si="15"/>
        <v/>
      </c>
    </row>
    <row r="958" spans="6:6">
      <c r="F958" t="str">
        <f t="shared" si="15"/>
        <v/>
      </c>
    </row>
    <row r="959" spans="6:6">
      <c r="F959" t="str">
        <f t="shared" si="15"/>
        <v/>
      </c>
    </row>
    <row r="960" spans="6:6">
      <c r="F960" t="str">
        <f t="shared" si="15"/>
        <v/>
      </c>
    </row>
    <row r="961" spans="6:6">
      <c r="F961" t="str">
        <f t="shared" si="15"/>
        <v/>
      </c>
    </row>
    <row r="962" spans="6:6">
      <c r="F962" t="str">
        <f t="shared" si="15"/>
        <v/>
      </c>
    </row>
    <row r="963" spans="6:6">
      <c r="F963" t="str">
        <f t="shared" si="15"/>
        <v/>
      </c>
    </row>
    <row r="964" spans="6:6">
      <c r="F964" t="str">
        <f t="shared" si="15"/>
        <v/>
      </c>
    </row>
    <row r="965" spans="6:6">
      <c r="F965" t="str">
        <f t="shared" si="15"/>
        <v/>
      </c>
    </row>
    <row r="966" spans="6:6">
      <c r="F966" t="str">
        <f t="shared" si="15"/>
        <v/>
      </c>
    </row>
    <row r="967" spans="6:6">
      <c r="F967" t="str">
        <f t="shared" si="15"/>
        <v/>
      </c>
    </row>
    <row r="968" spans="6:6">
      <c r="F968" t="str">
        <f t="shared" si="15"/>
        <v/>
      </c>
    </row>
    <row r="969" spans="6:6">
      <c r="F969" t="str">
        <f t="shared" si="15"/>
        <v/>
      </c>
    </row>
    <row r="970" spans="6:6">
      <c r="F970" t="str">
        <f t="shared" si="15"/>
        <v/>
      </c>
    </row>
    <row r="971" spans="6:6">
      <c r="F971" t="str">
        <f t="shared" si="15"/>
        <v/>
      </c>
    </row>
    <row r="972" spans="6:6">
      <c r="F972" t="str">
        <f t="shared" si="15"/>
        <v/>
      </c>
    </row>
    <row r="973" spans="6:6">
      <c r="F973" t="str">
        <f t="shared" ref="F973:F1036" si="16">RIGHT(D973,2)</f>
        <v/>
      </c>
    </row>
    <row r="974" spans="6:6">
      <c r="F974" t="str">
        <f t="shared" si="16"/>
        <v/>
      </c>
    </row>
    <row r="975" spans="6:6">
      <c r="F975" t="str">
        <f t="shared" si="16"/>
        <v/>
      </c>
    </row>
    <row r="976" spans="6:6">
      <c r="F976" t="str">
        <f t="shared" si="16"/>
        <v/>
      </c>
    </row>
    <row r="977" spans="6:6">
      <c r="F977" t="str">
        <f t="shared" si="16"/>
        <v/>
      </c>
    </row>
    <row r="978" spans="6:6">
      <c r="F978" t="str">
        <f t="shared" si="16"/>
        <v/>
      </c>
    </row>
    <row r="979" spans="6:6">
      <c r="F979" t="str">
        <f t="shared" si="16"/>
        <v/>
      </c>
    </row>
    <row r="980" spans="6:6">
      <c r="F980" t="str">
        <f t="shared" si="16"/>
        <v/>
      </c>
    </row>
    <row r="981" spans="6:6">
      <c r="F981" t="str">
        <f t="shared" si="16"/>
        <v/>
      </c>
    </row>
    <row r="982" spans="6:6">
      <c r="F982" t="str">
        <f t="shared" si="16"/>
        <v/>
      </c>
    </row>
    <row r="983" spans="6:6">
      <c r="F983" t="str">
        <f t="shared" si="16"/>
        <v/>
      </c>
    </row>
    <row r="984" spans="6:6">
      <c r="F984" t="str">
        <f t="shared" si="16"/>
        <v/>
      </c>
    </row>
    <row r="985" spans="6:6">
      <c r="F985" t="str">
        <f t="shared" si="16"/>
        <v/>
      </c>
    </row>
    <row r="986" spans="6:6">
      <c r="F986" t="str">
        <f t="shared" si="16"/>
        <v/>
      </c>
    </row>
    <row r="987" spans="6:6">
      <c r="F987" t="str">
        <f t="shared" si="16"/>
        <v/>
      </c>
    </row>
    <row r="988" spans="6:6">
      <c r="F988" t="str">
        <f t="shared" si="16"/>
        <v/>
      </c>
    </row>
    <row r="989" spans="6:6">
      <c r="F989" t="str">
        <f t="shared" si="16"/>
        <v/>
      </c>
    </row>
    <row r="990" spans="6:6">
      <c r="F990" t="str">
        <f t="shared" si="16"/>
        <v/>
      </c>
    </row>
    <row r="991" spans="6:6">
      <c r="F991" t="str">
        <f t="shared" si="16"/>
        <v/>
      </c>
    </row>
    <row r="992" spans="6:6">
      <c r="F992" t="str">
        <f t="shared" si="16"/>
        <v/>
      </c>
    </row>
    <row r="993" spans="6:6">
      <c r="F993" t="str">
        <f t="shared" si="16"/>
        <v/>
      </c>
    </row>
    <row r="994" spans="6:6">
      <c r="F994" t="str">
        <f t="shared" si="16"/>
        <v/>
      </c>
    </row>
    <row r="995" spans="6:6">
      <c r="F995" t="str">
        <f t="shared" si="16"/>
        <v/>
      </c>
    </row>
    <row r="996" spans="6:6">
      <c r="F996" t="str">
        <f t="shared" si="16"/>
        <v/>
      </c>
    </row>
    <row r="997" spans="6:6">
      <c r="F997" t="str">
        <f t="shared" si="16"/>
        <v/>
      </c>
    </row>
    <row r="998" spans="6:6">
      <c r="F998" t="str">
        <f t="shared" si="16"/>
        <v/>
      </c>
    </row>
    <row r="999" spans="6:6">
      <c r="F999" t="str">
        <f t="shared" si="16"/>
        <v/>
      </c>
    </row>
    <row r="1000" spans="6:6">
      <c r="F1000" t="str">
        <f t="shared" si="16"/>
        <v/>
      </c>
    </row>
    <row r="1001" spans="6:6">
      <c r="F1001" t="str">
        <f t="shared" si="16"/>
        <v/>
      </c>
    </row>
    <row r="1002" spans="6:6">
      <c r="F1002" t="str">
        <f t="shared" si="16"/>
        <v/>
      </c>
    </row>
    <row r="1003" spans="6:6">
      <c r="F1003" t="str">
        <f t="shared" si="16"/>
        <v/>
      </c>
    </row>
    <row r="1004" spans="6:6">
      <c r="F1004" t="str">
        <f t="shared" si="16"/>
        <v/>
      </c>
    </row>
    <row r="1005" spans="6:6">
      <c r="F1005" t="str">
        <f t="shared" si="16"/>
        <v/>
      </c>
    </row>
    <row r="1006" spans="6:6">
      <c r="F1006" t="str">
        <f t="shared" si="16"/>
        <v/>
      </c>
    </row>
    <row r="1007" spans="6:6">
      <c r="F1007" t="str">
        <f t="shared" si="16"/>
        <v/>
      </c>
    </row>
    <row r="1008" spans="6:6">
      <c r="F1008" t="str">
        <f t="shared" si="16"/>
        <v/>
      </c>
    </row>
    <row r="1009" spans="6:6">
      <c r="F1009" t="str">
        <f t="shared" si="16"/>
        <v/>
      </c>
    </row>
    <row r="1010" spans="6:6">
      <c r="F1010" t="str">
        <f t="shared" si="16"/>
        <v/>
      </c>
    </row>
    <row r="1011" spans="6:6">
      <c r="F1011" t="str">
        <f t="shared" si="16"/>
        <v/>
      </c>
    </row>
    <row r="1012" spans="6:6">
      <c r="F1012" t="str">
        <f t="shared" si="16"/>
        <v/>
      </c>
    </row>
    <row r="1013" spans="6:6">
      <c r="F1013" t="str">
        <f t="shared" si="16"/>
        <v/>
      </c>
    </row>
    <row r="1014" spans="6:6">
      <c r="F1014" t="str">
        <f t="shared" si="16"/>
        <v/>
      </c>
    </row>
    <row r="1015" spans="6:6">
      <c r="F1015" t="str">
        <f t="shared" si="16"/>
        <v/>
      </c>
    </row>
    <row r="1016" spans="6:6">
      <c r="F1016" t="str">
        <f t="shared" si="16"/>
        <v/>
      </c>
    </row>
    <row r="1017" spans="6:6">
      <c r="F1017" t="str">
        <f t="shared" si="16"/>
        <v/>
      </c>
    </row>
    <row r="1018" spans="6:6">
      <c r="F1018" t="str">
        <f t="shared" si="16"/>
        <v/>
      </c>
    </row>
    <row r="1019" spans="6:6">
      <c r="F1019" t="str">
        <f t="shared" si="16"/>
        <v/>
      </c>
    </row>
    <row r="1020" spans="6:6">
      <c r="F1020" t="str">
        <f t="shared" si="16"/>
        <v/>
      </c>
    </row>
    <row r="1021" spans="6:6">
      <c r="F1021" t="str">
        <f t="shared" si="16"/>
        <v/>
      </c>
    </row>
    <row r="1022" spans="6:6">
      <c r="F1022" t="str">
        <f t="shared" si="16"/>
        <v/>
      </c>
    </row>
    <row r="1023" spans="6:6">
      <c r="F1023" t="str">
        <f t="shared" si="16"/>
        <v/>
      </c>
    </row>
    <row r="1024" spans="6:6">
      <c r="F1024" t="str">
        <f t="shared" si="16"/>
        <v/>
      </c>
    </row>
    <row r="1025" spans="6:6">
      <c r="F1025" t="str">
        <f t="shared" si="16"/>
        <v/>
      </c>
    </row>
    <row r="1026" spans="6:6">
      <c r="F1026" t="str">
        <f t="shared" si="16"/>
        <v/>
      </c>
    </row>
    <row r="1027" spans="6:6">
      <c r="F1027" t="str">
        <f t="shared" si="16"/>
        <v/>
      </c>
    </row>
    <row r="1028" spans="6:6">
      <c r="F1028" t="str">
        <f t="shared" si="16"/>
        <v/>
      </c>
    </row>
    <row r="1029" spans="6:6">
      <c r="F1029" t="str">
        <f t="shared" si="16"/>
        <v/>
      </c>
    </row>
    <row r="1030" spans="6:6">
      <c r="F1030" t="str">
        <f t="shared" si="16"/>
        <v/>
      </c>
    </row>
    <row r="1031" spans="6:6">
      <c r="F1031" t="str">
        <f t="shared" si="16"/>
        <v/>
      </c>
    </row>
    <row r="1032" spans="6:6">
      <c r="F1032" t="str">
        <f t="shared" si="16"/>
        <v/>
      </c>
    </row>
    <row r="1033" spans="6:6">
      <c r="F1033" t="str">
        <f t="shared" si="16"/>
        <v/>
      </c>
    </row>
    <row r="1034" spans="6:6">
      <c r="F1034" t="str">
        <f t="shared" si="16"/>
        <v/>
      </c>
    </row>
    <row r="1035" spans="6:6">
      <c r="F1035" t="str">
        <f t="shared" si="16"/>
        <v/>
      </c>
    </row>
    <row r="1036" spans="6:6">
      <c r="F1036" t="str">
        <f t="shared" si="16"/>
        <v/>
      </c>
    </row>
    <row r="1037" spans="6:6">
      <c r="F1037" t="str">
        <f t="shared" ref="F1037:F1100" si="17">RIGHT(D1037,2)</f>
        <v/>
      </c>
    </row>
    <row r="1038" spans="6:6">
      <c r="F1038" t="str">
        <f t="shared" si="17"/>
        <v/>
      </c>
    </row>
    <row r="1039" spans="6:6">
      <c r="F1039" t="str">
        <f t="shared" si="17"/>
        <v/>
      </c>
    </row>
    <row r="1040" spans="6:6">
      <c r="F1040" t="str">
        <f t="shared" si="17"/>
        <v/>
      </c>
    </row>
    <row r="1041" spans="6:6">
      <c r="F1041" t="str">
        <f t="shared" si="17"/>
        <v/>
      </c>
    </row>
    <row r="1042" spans="6:6">
      <c r="F1042" t="str">
        <f t="shared" si="17"/>
        <v/>
      </c>
    </row>
    <row r="1043" spans="6:6">
      <c r="F1043" t="str">
        <f t="shared" si="17"/>
        <v/>
      </c>
    </row>
    <row r="1044" spans="6:6">
      <c r="F1044" t="str">
        <f t="shared" si="17"/>
        <v/>
      </c>
    </row>
    <row r="1045" spans="6:6">
      <c r="F1045" t="str">
        <f t="shared" si="17"/>
        <v/>
      </c>
    </row>
    <row r="1046" spans="6:6">
      <c r="F1046" t="str">
        <f t="shared" si="17"/>
        <v/>
      </c>
    </row>
    <row r="1047" spans="6:6">
      <c r="F1047" t="str">
        <f t="shared" si="17"/>
        <v/>
      </c>
    </row>
    <row r="1048" spans="6:6">
      <c r="F1048" t="str">
        <f t="shared" si="17"/>
        <v/>
      </c>
    </row>
    <row r="1049" spans="6:6">
      <c r="F1049" t="str">
        <f t="shared" si="17"/>
        <v/>
      </c>
    </row>
    <row r="1050" spans="6:6">
      <c r="F1050" t="str">
        <f t="shared" si="17"/>
        <v/>
      </c>
    </row>
    <row r="1051" spans="6:6">
      <c r="F1051" t="str">
        <f t="shared" si="17"/>
        <v/>
      </c>
    </row>
    <row r="1052" spans="6:6">
      <c r="F1052" t="str">
        <f t="shared" si="17"/>
        <v/>
      </c>
    </row>
    <row r="1053" spans="6:6">
      <c r="F1053" t="str">
        <f t="shared" si="17"/>
        <v/>
      </c>
    </row>
    <row r="1054" spans="6:6">
      <c r="F1054" t="str">
        <f t="shared" si="17"/>
        <v/>
      </c>
    </row>
    <row r="1055" spans="6:6">
      <c r="F1055" t="str">
        <f t="shared" si="17"/>
        <v/>
      </c>
    </row>
    <row r="1056" spans="6:6">
      <c r="F1056" t="str">
        <f t="shared" si="17"/>
        <v/>
      </c>
    </row>
    <row r="1057" spans="6:6">
      <c r="F1057" t="str">
        <f t="shared" si="17"/>
        <v/>
      </c>
    </row>
    <row r="1058" spans="6:6">
      <c r="F1058" t="str">
        <f t="shared" si="17"/>
        <v/>
      </c>
    </row>
    <row r="1059" spans="6:6">
      <c r="F1059" t="str">
        <f t="shared" si="17"/>
        <v/>
      </c>
    </row>
    <row r="1060" spans="6:6">
      <c r="F1060" t="str">
        <f t="shared" si="17"/>
        <v/>
      </c>
    </row>
    <row r="1061" spans="6:6">
      <c r="F1061" t="str">
        <f t="shared" si="17"/>
        <v/>
      </c>
    </row>
    <row r="1062" spans="6:6">
      <c r="F1062" t="str">
        <f t="shared" si="17"/>
        <v/>
      </c>
    </row>
    <row r="1063" spans="6:6">
      <c r="F1063" t="str">
        <f t="shared" si="17"/>
        <v/>
      </c>
    </row>
    <row r="1064" spans="6:6">
      <c r="F1064" t="str">
        <f t="shared" si="17"/>
        <v/>
      </c>
    </row>
    <row r="1065" spans="6:6">
      <c r="F1065" t="str">
        <f t="shared" si="17"/>
        <v/>
      </c>
    </row>
    <row r="1066" spans="6:6">
      <c r="F1066" t="str">
        <f t="shared" si="17"/>
        <v/>
      </c>
    </row>
    <row r="1067" spans="6:6">
      <c r="F1067" t="str">
        <f t="shared" si="17"/>
        <v/>
      </c>
    </row>
    <row r="1068" spans="6:6">
      <c r="F1068" t="str">
        <f t="shared" si="17"/>
        <v/>
      </c>
    </row>
    <row r="1069" spans="6:6">
      <c r="F1069" t="str">
        <f t="shared" si="17"/>
        <v/>
      </c>
    </row>
    <row r="1070" spans="6:6">
      <c r="F1070" t="str">
        <f t="shared" si="17"/>
        <v/>
      </c>
    </row>
    <row r="1071" spans="6:6">
      <c r="F1071" t="str">
        <f t="shared" si="17"/>
        <v/>
      </c>
    </row>
    <row r="1072" spans="6:6">
      <c r="F1072" t="str">
        <f t="shared" si="17"/>
        <v/>
      </c>
    </row>
    <row r="1073" spans="6:6">
      <c r="F1073" t="str">
        <f t="shared" si="17"/>
        <v/>
      </c>
    </row>
    <row r="1074" spans="6:6">
      <c r="F1074" t="str">
        <f t="shared" si="17"/>
        <v/>
      </c>
    </row>
    <row r="1075" spans="6:6">
      <c r="F1075" t="str">
        <f t="shared" si="17"/>
        <v/>
      </c>
    </row>
    <row r="1076" spans="6:6">
      <c r="F1076" t="str">
        <f t="shared" si="17"/>
        <v/>
      </c>
    </row>
    <row r="1077" spans="6:6">
      <c r="F1077" t="str">
        <f t="shared" si="17"/>
        <v/>
      </c>
    </row>
    <row r="1078" spans="6:6">
      <c r="F1078" t="str">
        <f t="shared" si="17"/>
        <v/>
      </c>
    </row>
    <row r="1079" spans="6:6">
      <c r="F1079" t="str">
        <f t="shared" si="17"/>
        <v/>
      </c>
    </row>
    <row r="1080" spans="6:6">
      <c r="F1080" t="str">
        <f t="shared" si="17"/>
        <v/>
      </c>
    </row>
    <row r="1081" spans="6:6">
      <c r="F1081" t="str">
        <f t="shared" si="17"/>
        <v/>
      </c>
    </row>
    <row r="1082" spans="6:6">
      <c r="F1082" t="str">
        <f t="shared" si="17"/>
        <v/>
      </c>
    </row>
    <row r="1083" spans="6:6">
      <c r="F1083" t="str">
        <f t="shared" si="17"/>
        <v/>
      </c>
    </row>
    <row r="1084" spans="6:6">
      <c r="F1084" t="str">
        <f t="shared" si="17"/>
        <v/>
      </c>
    </row>
    <row r="1085" spans="6:6">
      <c r="F1085" t="str">
        <f t="shared" si="17"/>
        <v/>
      </c>
    </row>
    <row r="1086" spans="6:6">
      <c r="F1086" t="str">
        <f t="shared" si="17"/>
        <v/>
      </c>
    </row>
    <row r="1087" spans="6:6">
      <c r="F1087" t="str">
        <f t="shared" si="17"/>
        <v/>
      </c>
    </row>
    <row r="1088" spans="6:6">
      <c r="F1088" t="str">
        <f t="shared" si="17"/>
        <v/>
      </c>
    </row>
    <row r="1089" spans="6:6">
      <c r="F1089" t="str">
        <f t="shared" si="17"/>
        <v/>
      </c>
    </row>
    <row r="1090" spans="6:6">
      <c r="F1090" t="str">
        <f t="shared" si="17"/>
        <v/>
      </c>
    </row>
    <row r="1091" spans="6:6">
      <c r="F1091" t="str">
        <f t="shared" si="17"/>
        <v/>
      </c>
    </row>
    <row r="1092" spans="6:6">
      <c r="F1092" t="str">
        <f t="shared" si="17"/>
        <v/>
      </c>
    </row>
    <row r="1093" spans="6:6">
      <c r="F1093" t="str">
        <f t="shared" si="17"/>
        <v/>
      </c>
    </row>
    <row r="1094" spans="6:6">
      <c r="F1094" t="str">
        <f t="shared" si="17"/>
        <v/>
      </c>
    </row>
    <row r="1095" spans="6:6">
      <c r="F1095" t="str">
        <f t="shared" si="17"/>
        <v/>
      </c>
    </row>
    <row r="1096" spans="6:6">
      <c r="F1096" t="str">
        <f t="shared" si="17"/>
        <v/>
      </c>
    </row>
    <row r="1097" spans="6:6">
      <c r="F1097" t="str">
        <f t="shared" si="17"/>
        <v/>
      </c>
    </row>
    <row r="1098" spans="6:6">
      <c r="F1098" t="str">
        <f t="shared" si="17"/>
        <v/>
      </c>
    </row>
    <row r="1099" spans="6:6">
      <c r="F1099" t="str">
        <f t="shared" si="17"/>
        <v/>
      </c>
    </row>
    <row r="1100" spans="6:6">
      <c r="F1100" t="str">
        <f t="shared" si="17"/>
        <v/>
      </c>
    </row>
    <row r="1101" spans="6:6">
      <c r="F1101" t="str">
        <f t="shared" ref="F1101:F1164" si="18">RIGHT(D1101,2)</f>
        <v/>
      </c>
    </row>
    <row r="1102" spans="6:6">
      <c r="F1102" t="str">
        <f t="shared" si="18"/>
        <v/>
      </c>
    </row>
    <row r="1103" spans="6:6">
      <c r="F1103" t="str">
        <f t="shared" si="18"/>
        <v/>
      </c>
    </row>
    <row r="1104" spans="6:6">
      <c r="F1104" t="str">
        <f t="shared" si="18"/>
        <v/>
      </c>
    </row>
    <row r="1105" spans="6:6">
      <c r="F1105" t="str">
        <f t="shared" si="18"/>
        <v/>
      </c>
    </row>
    <row r="1106" spans="6:6">
      <c r="F1106" t="str">
        <f t="shared" si="18"/>
        <v/>
      </c>
    </row>
    <row r="1107" spans="6:6">
      <c r="F1107" t="str">
        <f t="shared" si="18"/>
        <v/>
      </c>
    </row>
    <row r="1108" spans="6:6">
      <c r="F1108" t="str">
        <f t="shared" si="18"/>
        <v/>
      </c>
    </row>
    <row r="1109" spans="6:6">
      <c r="F1109" t="str">
        <f t="shared" si="18"/>
        <v/>
      </c>
    </row>
    <row r="1110" spans="6:6">
      <c r="F1110" t="str">
        <f t="shared" si="18"/>
        <v/>
      </c>
    </row>
    <row r="1111" spans="6:6">
      <c r="F1111" t="str">
        <f t="shared" si="18"/>
        <v/>
      </c>
    </row>
    <row r="1112" spans="6:6">
      <c r="F1112" t="str">
        <f t="shared" si="18"/>
        <v/>
      </c>
    </row>
    <row r="1113" spans="6:6">
      <c r="F1113" t="str">
        <f t="shared" si="18"/>
        <v/>
      </c>
    </row>
    <row r="1114" spans="6:6">
      <c r="F1114" t="str">
        <f t="shared" si="18"/>
        <v/>
      </c>
    </row>
    <row r="1115" spans="6:6">
      <c r="F1115" t="str">
        <f t="shared" si="18"/>
        <v/>
      </c>
    </row>
    <row r="1116" spans="6:6">
      <c r="F1116" t="str">
        <f t="shared" si="18"/>
        <v/>
      </c>
    </row>
    <row r="1117" spans="6:6">
      <c r="F1117" t="str">
        <f t="shared" si="18"/>
        <v/>
      </c>
    </row>
    <row r="1118" spans="6:6">
      <c r="F1118" t="str">
        <f t="shared" si="18"/>
        <v/>
      </c>
    </row>
    <row r="1119" spans="6:6">
      <c r="F1119" t="str">
        <f t="shared" si="18"/>
        <v/>
      </c>
    </row>
    <row r="1120" spans="6:6">
      <c r="F1120" t="str">
        <f t="shared" si="18"/>
        <v/>
      </c>
    </row>
    <row r="1121" spans="6:6">
      <c r="F1121" t="str">
        <f t="shared" si="18"/>
        <v/>
      </c>
    </row>
    <row r="1122" spans="6:6">
      <c r="F1122" t="str">
        <f t="shared" si="18"/>
        <v/>
      </c>
    </row>
    <row r="1123" spans="6:6">
      <c r="F1123" t="str">
        <f t="shared" si="18"/>
        <v/>
      </c>
    </row>
    <row r="1124" spans="6:6">
      <c r="F1124" t="str">
        <f t="shared" si="18"/>
        <v/>
      </c>
    </row>
    <row r="1125" spans="6:6">
      <c r="F1125" t="str">
        <f t="shared" si="18"/>
        <v/>
      </c>
    </row>
    <row r="1126" spans="6:6">
      <c r="F1126" t="str">
        <f t="shared" si="18"/>
        <v/>
      </c>
    </row>
    <row r="1127" spans="6:6">
      <c r="F1127" t="str">
        <f t="shared" si="18"/>
        <v/>
      </c>
    </row>
    <row r="1128" spans="6:6">
      <c r="F1128" t="str">
        <f t="shared" si="18"/>
        <v/>
      </c>
    </row>
    <row r="1129" spans="6:6">
      <c r="F1129" t="str">
        <f t="shared" si="18"/>
        <v/>
      </c>
    </row>
    <row r="1130" spans="6:6">
      <c r="F1130" t="str">
        <f t="shared" si="18"/>
        <v/>
      </c>
    </row>
    <row r="1131" spans="6:6">
      <c r="F1131" t="str">
        <f t="shared" si="18"/>
        <v/>
      </c>
    </row>
    <row r="1132" spans="6:6">
      <c r="F1132" t="str">
        <f t="shared" si="18"/>
        <v/>
      </c>
    </row>
    <row r="1133" spans="6:6">
      <c r="F1133" t="str">
        <f t="shared" si="18"/>
        <v/>
      </c>
    </row>
    <row r="1134" spans="6:6">
      <c r="F1134" t="str">
        <f t="shared" si="18"/>
        <v/>
      </c>
    </row>
    <row r="1135" spans="6:6">
      <c r="F1135" t="str">
        <f t="shared" si="18"/>
        <v/>
      </c>
    </row>
    <row r="1136" spans="6:6">
      <c r="F1136" t="str">
        <f t="shared" si="18"/>
        <v/>
      </c>
    </row>
    <row r="1137" spans="6:6">
      <c r="F1137" t="str">
        <f t="shared" si="18"/>
        <v/>
      </c>
    </row>
    <row r="1138" spans="6:6">
      <c r="F1138" t="str">
        <f t="shared" si="18"/>
        <v/>
      </c>
    </row>
    <row r="1139" spans="6:6">
      <c r="F1139" t="str">
        <f t="shared" si="18"/>
        <v/>
      </c>
    </row>
    <row r="1140" spans="6:6">
      <c r="F1140" t="str">
        <f t="shared" si="18"/>
        <v/>
      </c>
    </row>
    <row r="1141" spans="6:6">
      <c r="F1141" t="str">
        <f t="shared" si="18"/>
        <v/>
      </c>
    </row>
    <row r="1142" spans="6:6">
      <c r="F1142" t="str">
        <f t="shared" si="18"/>
        <v/>
      </c>
    </row>
    <row r="1143" spans="6:6">
      <c r="F1143" t="str">
        <f t="shared" si="18"/>
        <v/>
      </c>
    </row>
    <row r="1144" spans="6:6">
      <c r="F1144" t="str">
        <f t="shared" si="18"/>
        <v/>
      </c>
    </row>
    <row r="1145" spans="6:6">
      <c r="F1145" t="str">
        <f t="shared" si="18"/>
        <v/>
      </c>
    </row>
    <row r="1146" spans="6:6">
      <c r="F1146" t="str">
        <f t="shared" si="18"/>
        <v/>
      </c>
    </row>
    <row r="1147" spans="6:6">
      <c r="F1147" t="str">
        <f t="shared" si="18"/>
        <v/>
      </c>
    </row>
    <row r="1148" spans="6:6">
      <c r="F1148" t="str">
        <f t="shared" si="18"/>
        <v/>
      </c>
    </row>
    <row r="1149" spans="6:6">
      <c r="F1149" t="str">
        <f t="shared" si="18"/>
        <v/>
      </c>
    </row>
    <row r="1150" spans="6:6">
      <c r="F1150" t="str">
        <f t="shared" si="18"/>
        <v/>
      </c>
    </row>
    <row r="1151" spans="6:6">
      <c r="F1151" t="str">
        <f t="shared" si="18"/>
        <v/>
      </c>
    </row>
    <row r="1152" spans="6:6">
      <c r="F1152" t="str">
        <f t="shared" si="18"/>
        <v/>
      </c>
    </row>
    <row r="1153" spans="6:6">
      <c r="F1153" t="str">
        <f t="shared" si="18"/>
        <v/>
      </c>
    </row>
    <row r="1154" spans="6:6">
      <c r="F1154" t="str">
        <f t="shared" si="18"/>
        <v/>
      </c>
    </row>
    <row r="1155" spans="6:6">
      <c r="F1155" t="str">
        <f t="shared" si="18"/>
        <v/>
      </c>
    </row>
    <row r="1156" spans="6:6">
      <c r="F1156" t="str">
        <f t="shared" si="18"/>
        <v/>
      </c>
    </row>
    <row r="1157" spans="6:6">
      <c r="F1157" t="str">
        <f t="shared" si="18"/>
        <v/>
      </c>
    </row>
    <row r="1158" spans="6:6">
      <c r="F1158" t="str">
        <f t="shared" si="18"/>
        <v/>
      </c>
    </row>
    <row r="1159" spans="6:6">
      <c r="F1159" t="str">
        <f t="shared" si="18"/>
        <v/>
      </c>
    </row>
    <row r="1160" spans="6:6">
      <c r="F1160" t="str">
        <f t="shared" si="18"/>
        <v/>
      </c>
    </row>
    <row r="1161" spans="6:6">
      <c r="F1161" t="str">
        <f t="shared" si="18"/>
        <v/>
      </c>
    </row>
    <row r="1162" spans="6:6">
      <c r="F1162" t="str">
        <f t="shared" si="18"/>
        <v/>
      </c>
    </row>
    <row r="1163" spans="6:6">
      <c r="F1163" t="str">
        <f t="shared" si="18"/>
        <v/>
      </c>
    </row>
    <row r="1164" spans="6:6">
      <c r="F1164" t="str">
        <f t="shared" si="18"/>
        <v/>
      </c>
    </row>
    <row r="1165" spans="6:6">
      <c r="F1165" t="str">
        <f t="shared" ref="F1165:F1228" si="19">RIGHT(D1165,2)</f>
        <v/>
      </c>
    </row>
    <row r="1166" spans="6:6">
      <c r="F1166" t="str">
        <f t="shared" si="19"/>
        <v/>
      </c>
    </row>
    <row r="1167" spans="6:6">
      <c r="F1167" t="str">
        <f t="shared" si="19"/>
        <v/>
      </c>
    </row>
    <row r="1168" spans="6:6">
      <c r="F1168" t="str">
        <f t="shared" si="19"/>
        <v/>
      </c>
    </row>
    <row r="1169" spans="6:6">
      <c r="F1169" t="str">
        <f t="shared" si="19"/>
        <v/>
      </c>
    </row>
    <row r="1170" spans="6:6">
      <c r="F1170" t="str">
        <f t="shared" si="19"/>
        <v/>
      </c>
    </row>
    <row r="1171" spans="6:6">
      <c r="F1171" t="str">
        <f t="shared" si="19"/>
        <v/>
      </c>
    </row>
    <row r="1172" spans="6:6">
      <c r="F1172" t="str">
        <f t="shared" si="19"/>
        <v/>
      </c>
    </row>
    <row r="1173" spans="6:6">
      <c r="F1173" t="str">
        <f t="shared" si="19"/>
        <v/>
      </c>
    </row>
    <row r="1174" spans="6:6">
      <c r="F1174" t="str">
        <f t="shared" si="19"/>
        <v/>
      </c>
    </row>
    <row r="1175" spans="6:6">
      <c r="F1175" t="str">
        <f t="shared" si="19"/>
        <v/>
      </c>
    </row>
    <row r="1176" spans="6:6">
      <c r="F1176" t="str">
        <f t="shared" si="19"/>
        <v/>
      </c>
    </row>
    <row r="1177" spans="6:6">
      <c r="F1177" t="str">
        <f t="shared" si="19"/>
        <v/>
      </c>
    </row>
    <row r="1178" spans="6:6">
      <c r="F1178" t="str">
        <f t="shared" si="19"/>
        <v/>
      </c>
    </row>
    <row r="1179" spans="6:6">
      <c r="F1179" t="str">
        <f t="shared" si="19"/>
        <v/>
      </c>
    </row>
    <row r="1180" spans="6:6">
      <c r="F1180" t="str">
        <f t="shared" si="19"/>
        <v/>
      </c>
    </row>
    <row r="1181" spans="6:6">
      <c r="F1181" t="str">
        <f t="shared" si="19"/>
        <v/>
      </c>
    </row>
    <row r="1182" spans="6:6">
      <c r="F1182" t="str">
        <f t="shared" si="19"/>
        <v/>
      </c>
    </row>
    <row r="1183" spans="6:6">
      <c r="F1183" t="str">
        <f t="shared" si="19"/>
        <v/>
      </c>
    </row>
    <row r="1184" spans="6:6">
      <c r="F1184" t="str">
        <f t="shared" si="19"/>
        <v/>
      </c>
    </row>
    <row r="1185" spans="6:6">
      <c r="F1185" t="str">
        <f t="shared" si="19"/>
        <v/>
      </c>
    </row>
    <row r="1186" spans="6:6">
      <c r="F1186" t="str">
        <f t="shared" si="19"/>
        <v/>
      </c>
    </row>
    <row r="1187" spans="6:6">
      <c r="F1187" t="str">
        <f t="shared" si="19"/>
        <v/>
      </c>
    </row>
    <row r="1188" spans="6:6">
      <c r="F1188" t="str">
        <f t="shared" si="19"/>
        <v/>
      </c>
    </row>
    <row r="1189" spans="6:6">
      <c r="F1189" t="str">
        <f t="shared" si="19"/>
        <v/>
      </c>
    </row>
    <row r="1190" spans="6:6">
      <c r="F1190" t="str">
        <f t="shared" si="19"/>
        <v/>
      </c>
    </row>
    <row r="1191" spans="6:6">
      <c r="F1191" t="str">
        <f t="shared" si="19"/>
        <v/>
      </c>
    </row>
    <row r="1192" spans="6:6">
      <c r="F1192" t="str">
        <f t="shared" si="19"/>
        <v/>
      </c>
    </row>
    <row r="1193" spans="6:6">
      <c r="F1193" t="str">
        <f t="shared" si="19"/>
        <v/>
      </c>
    </row>
    <row r="1194" spans="6:6">
      <c r="F1194" t="str">
        <f t="shared" si="19"/>
        <v/>
      </c>
    </row>
    <row r="1195" spans="6:6">
      <c r="F1195" t="str">
        <f t="shared" si="19"/>
        <v/>
      </c>
    </row>
    <row r="1196" spans="6:6">
      <c r="F1196" t="str">
        <f t="shared" si="19"/>
        <v/>
      </c>
    </row>
    <row r="1197" spans="6:6">
      <c r="F1197" t="str">
        <f t="shared" si="19"/>
        <v/>
      </c>
    </row>
    <row r="1198" spans="6:6">
      <c r="F1198" t="str">
        <f t="shared" si="19"/>
        <v/>
      </c>
    </row>
    <row r="1199" spans="6:6">
      <c r="F1199" t="str">
        <f t="shared" si="19"/>
        <v/>
      </c>
    </row>
    <row r="1200" spans="6:6">
      <c r="F1200" t="str">
        <f t="shared" si="19"/>
        <v/>
      </c>
    </row>
    <row r="1201" spans="6:6">
      <c r="F1201" t="str">
        <f t="shared" si="19"/>
        <v/>
      </c>
    </row>
    <row r="1202" spans="6:6">
      <c r="F1202" t="str">
        <f t="shared" si="19"/>
        <v/>
      </c>
    </row>
    <row r="1203" spans="6:6">
      <c r="F1203" t="str">
        <f t="shared" si="19"/>
        <v/>
      </c>
    </row>
    <row r="1204" spans="6:6">
      <c r="F1204" t="str">
        <f t="shared" si="19"/>
        <v/>
      </c>
    </row>
    <row r="1205" spans="6:6">
      <c r="F1205" t="str">
        <f t="shared" si="19"/>
        <v/>
      </c>
    </row>
    <row r="1206" spans="6:6">
      <c r="F1206" t="str">
        <f t="shared" si="19"/>
        <v/>
      </c>
    </row>
    <row r="1207" spans="6:6">
      <c r="F1207" t="str">
        <f t="shared" si="19"/>
        <v/>
      </c>
    </row>
    <row r="1208" spans="6:6">
      <c r="F1208" t="str">
        <f t="shared" si="19"/>
        <v/>
      </c>
    </row>
    <row r="1209" spans="6:6">
      <c r="F1209" t="str">
        <f t="shared" si="19"/>
        <v/>
      </c>
    </row>
    <row r="1210" spans="6:6">
      <c r="F1210" t="str">
        <f t="shared" si="19"/>
        <v/>
      </c>
    </row>
    <row r="1211" spans="6:6">
      <c r="F1211" t="str">
        <f t="shared" si="19"/>
        <v/>
      </c>
    </row>
    <row r="1212" spans="6:6">
      <c r="F1212" t="str">
        <f t="shared" si="19"/>
        <v/>
      </c>
    </row>
    <row r="1213" spans="6:6">
      <c r="F1213" t="str">
        <f t="shared" si="19"/>
        <v/>
      </c>
    </row>
    <row r="1214" spans="6:6">
      <c r="F1214" t="str">
        <f t="shared" si="19"/>
        <v/>
      </c>
    </row>
    <row r="1215" spans="6:6">
      <c r="F1215" t="str">
        <f t="shared" si="19"/>
        <v/>
      </c>
    </row>
    <row r="1216" spans="6:6">
      <c r="F1216" t="str">
        <f t="shared" si="19"/>
        <v/>
      </c>
    </row>
    <row r="1217" spans="6:6">
      <c r="F1217" t="str">
        <f t="shared" si="19"/>
        <v/>
      </c>
    </row>
    <row r="1218" spans="6:6">
      <c r="F1218" t="str">
        <f t="shared" si="19"/>
        <v/>
      </c>
    </row>
    <row r="1219" spans="6:6">
      <c r="F1219" t="str">
        <f t="shared" si="19"/>
        <v/>
      </c>
    </row>
    <row r="1220" spans="6:6">
      <c r="F1220" t="str">
        <f t="shared" si="19"/>
        <v/>
      </c>
    </row>
    <row r="1221" spans="6:6">
      <c r="F1221" t="str">
        <f t="shared" si="19"/>
        <v/>
      </c>
    </row>
    <row r="1222" spans="6:6">
      <c r="F1222" t="str">
        <f t="shared" si="19"/>
        <v/>
      </c>
    </row>
    <row r="1223" spans="6:6">
      <c r="F1223" t="str">
        <f t="shared" si="19"/>
        <v/>
      </c>
    </row>
    <row r="1224" spans="6:6">
      <c r="F1224" t="str">
        <f t="shared" si="19"/>
        <v/>
      </c>
    </row>
    <row r="1225" spans="6:6">
      <c r="F1225" t="str">
        <f t="shared" si="19"/>
        <v/>
      </c>
    </row>
    <row r="1226" spans="6:6">
      <c r="F1226" t="str">
        <f t="shared" si="19"/>
        <v/>
      </c>
    </row>
    <row r="1227" spans="6:6">
      <c r="F1227" t="str">
        <f t="shared" si="19"/>
        <v/>
      </c>
    </row>
    <row r="1228" spans="6:6">
      <c r="F1228" t="str">
        <f t="shared" si="19"/>
        <v/>
      </c>
    </row>
    <row r="1229" spans="6:6">
      <c r="F1229" t="str">
        <f t="shared" ref="F1229:F1292" si="20">RIGHT(D1229,2)</f>
        <v/>
      </c>
    </row>
    <row r="1230" spans="6:6">
      <c r="F1230" t="str">
        <f t="shared" si="20"/>
        <v/>
      </c>
    </row>
    <row r="1231" spans="6:6">
      <c r="F1231" t="str">
        <f t="shared" si="20"/>
        <v/>
      </c>
    </row>
    <row r="1232" spans="6:6">
      <c r="F1232" t="str">
        <f t="shared" si="20"/>
        <v/>
      </c>
    </row>
    <row r="1233" spans="6:6">
      <c r="F1233" t="str">
        <f t="shared" si="20"/>
        <v/>
      </c>
    </row>
    <row r="1234" spans="6:6">
      <c r="F1234" t="str">
        <f t="shared" si="20"/>
        <v/>
      </c>
    </row>
    <row r="1235" spans="6:6">
      <c r="F1235" t="str">
        <f t="shared" si="20"/>
        <v/>
      </c>
    </row>
    <row r="1236" spans="6:6">
      <c r="F1236" t="str">
        <f t="shared" si="20"/>
        <v/>
      </c>
    </row>
    <row r="1237" spans="6:6">
      <c r="F1237" t="str">
        <f t="shared" si="20"/>
        <v/>
      </c>
    </row>
    <row r="1238" spans="6:6">
      <c r="F1238" t="str">
        <f t="shared" si="20"/>
        <v/>
      </c>
    </row>
    <row r="1239" spans="6:6">
      <c r="F1239" t="str">
        <f t="shared" si="20"/>
        <v/>
      </c>
    </row>
    <row r="1240" spans="6:6">
      <c r="F1240" t="str">
        <f t="shared" si="20"/>
        <v/>
      </c>
    </row>
    <row r="1241" spans="6:6">
      <c r="F1241" t="str">
        <f t="shared" si="20"/>
        <v/>
      </c>
    </row>
    <row r="1242" spans="6:6">
      <c r="F1242" t="str">
        <f t="shared" si="20"/>
        <v/>
      </c>
    </row>
    <row r="1243" spans="6:6">
      <c r="F1243" t="str">
        <f t="shared" si="20"/>
        <v/>
      </c>
    </row>
    <row r="1244" spans="6:6">
      <c r="F1244" t="str">
        <f t="shared" si="20"/>
        <v/>
      </c>
    </row>
    <row r="1245" spans="6:6">
      <c r="F1245" t="str">
        <f t="shared" si="20"/>
        <v/>
      </c>
    </row>
    <row r="1246" spans="6:6">
      <c r="F1246" t="str">
        <f t="shared" si="20"/>
        <v/>
      </c>
    </row>
    <row r="1247" spans="6:6">
      <c r="F1247" t="str">
        <f t="shared" si="20"/>
        <v/>
      </c>
    </row>
    <row r="1248" spans="6:6">
      <c r="F1248" t="str">
        <f t="shared" si="20"/>
        <v/>
      </c>
    </row>
    <row r="1249" spans="6:6">
      <c r="F1249" t="str">
        <f t="shared" si="20"/>
        <v/>
      </c>
    </row>
    <row r="1250" spans="6:6">
      <c r="F1250" t="str">
        <f t="shared" si="20"/>
        <v/>
      </c>
    </row>
    <row r="1251" spans="6:6">
      <c r="F1251" t="str">
        <f t="shared" si="20"/>
        <v/>
      </c>
    </row>
    <row r="1252" spans="6:6">
      <c r="F1252" t="str">
        <f t="shared" si="20"/>
        <v/>
      </c>
    </row>
    <row r="1253" spans="6:6">
      <c r="F1253" t="str">
        <f t="shared" si="20"/>
        <v/>
      </c>
    </row>
    <row r="1254" spans="6:6">
      <c r="F1254" t="str">
        <f t="shared" si="20"/>
        <v/>
      </c>
    </row>
    <row r="1255" spans="6:6">
      <c r="F1255" t="str">
        <f t="shared" si="20"/>
        <v/>
      </c>
    </row>
    <row r="1256" spans="6:6">
      <c r="F1256" t="str">
        <f t="shared" si="20"/>
        <v/>
      </c>
    </row>
    <row r="1257" spans="6:6">
      <c r="F1257" t="str">
        <f t="shared" si="20"/>
        <v/>
      </c>
    </row>
    <row r="1258" spans="6:6">
      <c r="F1258" t="str">
        <f t="shared" si="20"/>
        <v/>
      </c>
    </row>
    <row r="1259" spans="6:6">
      <c r="F1259" t="str">
        <f t="shared" si="20"/>
        <v/>
      </c>
    </row>
    <row r="1260" spans="6:6">
      <c r="F1260" t="str">
        <f t="shared" si="20"/>
        <v/>
      </c>
    </row>
    <row r="1261" spans="6:6">
      <c r="F1261" t="str">
        <f t="shared" si="20"/>
        <v/>
      </c>
    </row>
    <row r="1262" spans="6:6">
      <c r="F1262" t="str">
        <f t="shared" si="20"/>
        <v/>
      </c>
    </row>
    <row r="1263" spans="6:6">
      <c r="F1263" t="str">
        <f t="shared" si="20"/>
        <v/>
      </c>
    </row>
    <row r="1264" spans="6:6">
      <c r="F1264" t="str">
        <f t="shared" si="20"/>
        <v/>
      </c>
    </row>
    <row r="1265" spans="6:6">
      <c r="F1265" t="str">
        <f t="shared" si="20"/>
        <v/>
      </c>
    </row>
    <row r="1266" spans="6:6">
      <c r="F1266" t="str">
        <f t="shared" si="20"/>
        <v/>
      </c>
    </row>
    <row r="1267" spans="6:6">
      <c r="F1267" t="str">
        <f t="shared" si="20"/>
        <v/>
      </c>
    </row>
    <row r="1268" spans="6:6">
      <c r="F1268" t="str">
        <f t="shared" si="20"/>
        <v/>
      </c>
    </row>
    <row r="1269" spans="6:6">
      <c r="F1269" t="str">
        <f t="shared" si="20"/>
        <v/>
      </c>
    </row>
    <row r="1270" spans="6:6">
      <c r="F1270" t="str">
        <f t="shared" si="20"/>
        <v/>
      </c>
    </row>
    <row r="1271" spans="6:6">
      <c r="F1271" t="str">
        <f t="shared" si="20"/>
        <v/>
      </c>
    </row>
    <row r="1272" spans="6:6">
      <c r="F1272" t="str">
        <f t="shared" si="20"/>
        <v/>
      </c>
    </row>
    <row r="1273" spans="6:6">
      <c r="F1273" t="str">
        <f t="shared" si="20"/>
        <v/>
      </c>
    </row>
    <row r="1274" spans="6:6">
      <c r="F1274" t="str">
        <f t="shared" si="20"/>
        <v/>
      </c>
    </row>
    <row r="1275" spans="6:6">
      <c r="F1275" t="str">
        <f t="shared" si="20"/>
        <v/>
      </c>
    </row>
    <row r="1276" spans="6:6">
      <c r="F1276" t="str">
        <f t="shared" si="20"/>
        <v/>
      </c>
    </row>
    <row r="1277" spans="6:6">
      <c r="F1277" t="str">
        <f t="shared" si="20"/>
        <v/>
      </c>
    </row>
    <row r="1278" spans="6:6">
      <c r="F1278" t="str">
        <f t="shared" si="20"/>
        <v/>
      </c>
    </row>
    <row r="1279" spans="6:6">
      <c r="F1279" t="str">
        <f t="shared" si="20"/>
        <v/>
      </c>
    </row>
    <row r="1280" spans="6:6">
      <c r="F1280" t="str">
        <f t="shared" si="20"/>
        <v/>
      </c>
    </row>
    <row r="1281" spans="6:6">
      <c r="F1281" t="str">
        <f t="shared" si="20"/>
        <v/>
      </c>
    </row>
    <row r="1282" spans="6:6">
      <c r="F1282" t="str">
        <f t="shared" si="20"/>
        <v/>
      </c>
    </row>
    <row r="1283" spans="6:6">
      <c r="F1283" t="str">
        <f t="shared" si="20"/>
        <v/>
      </c>
    </row>
    <row r="1284" spans="6:6">
      <c r="F1284" t="str">
        <f t="shared" si="20"/>
        <v/>
      </c>
    </row>
    <row r="1285" spans="6:6">
      <c r="F1285" t="str">
        <f t="shared" si="20"/>
        <v/>
      </c>
    </row>
    <row r="1286" spans="6:6">
      <c r="F1286" t="str">
        <f t="shared" si="20"/>
        <v/>
      </c>
    </row>
    <row r="1287" spans="6:6">
      <c r="F1287" t="str">
        <f t="shared" si="20"/>
        <v/>
      </c>
    </row>
    <row r="1288" spans="6:6">
      <c r="F1288" t="str">
        <f t="shared" si="20"/>
        <v/>
      </c>
    </row>
    <row r="1289" spans="6:6">
      <c r="F1289" t="str">
        <f t="shared" si="20"/>
        <v/>
      </c>
    </row>
    <row r="1290" spans="6:6">
      <c r="F1290" t="str">
        <f t="shared" si="20"/>
        <v/>
      </c>
    </row>
    <row r="1291" spans="6:6">
      <c r="F1291" t="str">
        <f t="shared" si="20"/>
        <v/>
      </c>
    </row>
    <row r="1292" spans="6:6">
      <c r="F1292" t="str">
        <f t="shared" si="20"/>
        <v/>
      </c>
    </row>
    <row r="1293" spans="6:6">
      <c r="F1293" t="str">
        <f t="shared" ref="F1293:F1356" si="21">RIGHT(D1293,2)</f>
        <v/>
      </c>
    </row>
    <row r="1294" spans="6:6">
      <c r="F1294" t="str">
        <f t="shared" si="21"/>
        <v/>
      </c>
    </row>
    <row r="1295" spans="6:6">
      <c r="F1295" t="str">
        <f t="shared" si="21"/>
        <v/>
      </c>
    </row>
    <row r="1296" spans="6:6">
      <c r="F1296" t="str">
        <f t="shared" si="21"/>
        <v/>
      </c>
    </row>
    <row r="1297" spans="6:6">
      <c r="F1297" t="str">
        <f t="shared" si="21"/>
        <v/>
      </c>
    </row>
    <row r="1298" spans="6:6">
      <c r="F1298" t="str">
        <f t="shared" si="21"/>
        <v/>
      </c>
    </row>
    <row r="1299" spans="6:6">
      <c r="F1299" t="str">
        <f t="shared" si="21"/>
        <v/>
      </c>
    </row>
    <row r="1300" spans="6:6">
      <c r="F1300" t="str">
        <f t="shared" si="21"/>
        <v/>
      </c>
    </row>
    <row r="1301" spans="6:6">
      <c r="F1301" t="str">
        <f t="shared" si="21"/>
        <v/>
      </c>
    </row>
    <row r="1302" spans="6:6">
      <c r="F1302" t="str">
        <f t="shared" si="21"/>
        <v/>
      </c>
    </row>
    <row r="1303" spans="6:6">
      <c r="F1303" t="str">
        <f t="shared" si="21"/>
        <v/>
      </c>
    </row>
    <row r="1304" spans="6:6">
      <c r="F1304" t="str">
        <f t="shared" si="21"/>
        <v/>
      </c>
    </row>
    <row r="1305" spans="6:6">
      <c r="F1305" t="str">
        <f t="shared" si="21"/>
        <v/>
      </c>
    </row>
    <row r="1306" spans="6:6">
      <c r="F1306" t="str">
        <f t="shared" si="21"/>
        <v/>
      </c>
    </row>
    <row r="1307" spans="6:6">
      <c r="F1307" t="str">
        <f t="shared" si="21"/>
        <v/>
      </c>
    </row>
    <row r="1308" spans="6:6">
      <c r="F1308" t="str">
        <f t="shared" si="21"/>
        <v/>
      </c>
    </row>
    <row r="1309" spans="6:6">
      <c r="F1309" t="str">
        <f t="shared" si="21"/>
        <v/>
      </c>
    </row>
    <row r="1310" spans="6:6">
      <c r="F1310" t="str">
        <f t="shared" si="21"/>
        <v/>
      </c>
    </row>
    <row r="1311" spans="6:6">
      <c r="F1311" t="str">
        <f t="shared" si="21"/>
        <v/>
      </c>
    </row>
    <row r="1312" spans="6:6">
      <c r="F1312" t="str">
        <f t="shared" si="21"/>
        <v/>
      </c>
    </row>
    <row r="1313" spans="6:6">
      <c r="F1313" t="str">
        <f t="shared" si="21"/>
        <v/>
      </c>
    </row>
    <row r="1314" spans="6:6">
      <c r="F1314" t="str">
        <f t="shared" si="21"/>
        <v/>
      </c>
    </row>
    <row r="1315" spans="6:6">
      <c r="F1315" t="str">
        <f t="shared" si="21"/>
        <v/>
      </c>
    </row>
    <row r="1316" spans="6:6">
      <c r="F1316" t="str">
        <f t="shared" si="21"/>
        <v/>
      </c>
    </row>
    <row r="1317" spans="6:6">
      <c r="F1317" t="str">
        <f t="shared" si="21"/>
        <v/>
      </c>
    </row>
    <row r="1318" spans="6:6">
      <c r="F1318" t="str">
        <f t="shared" si="21"/>
        <v/>
      </c>
    </row>
    <row r="1319" spans="6:6">
      <c r="F1319" t="str">
        <f t="shared" si="21"/>
        <v/>
      </c>
    </row>
    <row r="1320" spans="6:6">
      <c r="F1320" t="str">
        <f t="shared" si="21"/>
        <v/>
      </c>
    </row>
    <row r="1321" spans="6:6">
      <c r="F1321" t="str">
        <f t="shared" si="21"/>
        <v/>
      </c>
    </row>
    <row r="1322" spans="6:6">
      <c r="F1322" t="str">
        <f t="shared" si="21"/>
        <v/>
      </c>
    </row>
    <row r="1323" spans="6:6">
      <c r="F1323" t="str">
        <f t="shared" si="21"/>
        <v/>
      </c>
    </row>
    <row r="1324" spans="6:6">
      <c r="F1324" t="str">
        <f t="shared" si="21"/>
        <v/>
      </c>
    </row>
    <row r="1325" spans="6:6">
      <c r="F1325" t="str">
        <f t="shared" si="21"/>
        <v/>
      </c>
    </row>
    <row r="1326" spans="6:6">
      <c r="F1326" t="str">
        <f t="shared" si="21"/>
        <v/>
      </c>
    </row>
    <row r="1327" spans="6:6">
      <c r="F1327" t="str">
        <f t="shared" si="21"/>
        <v/>
      </c>
    </row>
    <row r="1328" spans="6:6">
      <c r="F1328" t="str">
        <f t="shared" si="21"/>
        <v/>
      </c>
    </row>
    <row r="1329" spans="6:6">
      <c r="F1329" t="str">
        <f t="shared" si="21"/>
        <v/>
      </c>
    </row>
    <row r="1330" spans="6:6">
      <c r="F1330" t="str">
        <f t="shared" si="21"/>
        <v/>
      </c>
    </row>
    <row r="1331" spans="6:6">
      <c r="F1331" t="str">
        <f t="shared" si="21"/>
        <v/>
      </c>
    </row>
    <row r="1332" spans="6:6">
      <c r="F1332" t="str">
        <f t="shared" si="21"/>
        <v/>
      </c>
    </row>
    <row r="1333" spans="6:6">
      <c r="F1333" t="str">
        <f t="shared" si="21"/>
        <v/>
      </c>
    </row>
    <row r="1334" spans="6:6">
      <c r="F1334" t="str">
        <f t="shared" si="21"/>
        <v/>
      </c>
    </row>
    <row r="1335" spans="6:6">
      <c r="F1335" t="str">
        <f t="shared" si="21"/>
        <v/>
      </c>
    </row>
    <row r="1336" spans="6:6">
      <c r="F1336" t="str">
        <f t="shared" si="21"/>
        <v/>
      </c>
    </row>
    <row r="1337" spans="6:6">
      <c r="F1337" t="str">
        <f t="shared" si="21"/>
        <v/>
      </c>
    </row>
    <row r="1338" spans="6:6">
      <c r="F1338" t="str">
        <f t="shared" si="21"/>
        <v/>
      </c>
    </row>
    <row r="1339" spans="6:6">
      <c r="F1339" t="str">
        <f t="shared" si="21"/>
        <v/>
      </c>
    </row>
    <row r="1340" spans="6:6">
      <c r="F1340" t="str">
        <f t="shared" si="21"/>
        <v/>
      </c>
    </row>
    <row r="1341" spans="6:6">
      <c r="F1341" t="str">
        <f t="shared" si="21"/>
        <v/>
      </c>
    </row>
    <row r="1342" spans="6:6">
      <c r="F1342" t="str">
        <f t="shared" si="21"/>
        <v/>
      </c>
    </row>
    <row r="1343" spans="6:6">
      <c r="F1343" t="str">
        <f t="shared" si="21"/>
        <v/>
      </c>
    </row>
    <row r="1344" spans="6:6">
      <c r="F1344" t="str">
        <f t="shared" si="21"/>
        <v/>
      </c>
    </row>
    <row r="1345" spans="6:6">
      <c r="F1345" t="str">
        <f t="shared" si="21"/>
        <v/>
      </c>
    </row>
    <row r="1346" spans="6:6">
      <c r="F1346" t="str">
        <f t="shared" si="21"/>
        <v/>
      </c>
    </row>
    <row r="1347" spans="6:6">
      <c r="F1347" t="str">
        <f t="shared" si="21"/>
        <v/>
      </c>
    </row>
    <row r="1348" spans="6:6">
      <c r="F1348" t="str">
        <f t="shared" si="21"/>
        <v/>
      </c>
    </row>
    <row r="1349" spans="6:6">
      <c r="F1349" t="str">
        <f t="shared" si="21"/>
        <v/>
      </c>
    </row>
    <row r="1350" spans="6:6">
      <c r="F1350" t="str">
        <f t="shared" si="21"/>
        <v/>
      </c>
    </row>
    <row r="1351" spans="6:6">
      <c r="F1351" t="str">
        <f t="shared" si="21"/>
        <v/>
      </c>
    </row>
    <row r="1352" spans="6:6">
      <c r="F1352" t="str">
        <f t="shared" si="21"/>
        <v/>
      </c>
    </row>
    <row r="1353" spans="6:6">
      <c r="F1353" t="str">
        <f t="shared" si="21"/>
        <v/>
      </c>
    </row>
    <row r="1354" spans="6:6">
      <c r="F1354" t="str">
        <f t="shared" si="21"/>
        <v/>
      </c>
    </row>
    <row r="1355" spans="6:6">
      <c r="F1355" t="str">
        <f t="shared" si="21"/>
        <v/>
      </c>
    </row>
    <row r="1356" spans="6:6">
      <c r="F1356" t="str">
        <f t="shared" si="21"/>
        <v/>
      </c>
    </row>
    <row r="1357" spans="6:6">
      <c r="F1357" t="str">
        <f t="shared" ref="F1357:F1420" si="22">RIGHT(D1357,2)</f>
        <v/>
      </c>
    </row>
    <row r="1358" spans="6:6">
      <c r="F1358" t="str">
        <f t="shared" si="22"/>
        <v/>
      </c>
    </row>
    <row r="1359" spans="6:6">
      <c r="F1359" t="str">
        <f t="shared" si="22"/>
        <v/>
      </c>
    </row>
    <row r="1360" spans="6:6">
      <c r="F1360" t="str">
        <f t="shared" si="22"/>
        <v/>
      </c>
    </row>
    <row r="1361" spans="6:6">
      <c r="F1361" t="str">
        <f t="shared" si="22"/>
        <v/>
      </c>
    </row>
    <row r="1362" spans="6:6">
      <c r="F1362" t="str">
        <f t="shared" si="22"/>
        <v/>
      </c>
    </row>
    <row r="1363" spans="6:6">
      <c r="F1363" t="str">
        <f t="shared" si="22"/>
        <v/>
      </c>
    </row>
    <row r="1364" spans="6:6">
      <c r="F1364" t="str">
        <f t="shared" si="22"/>
        <v/>
      </c>
    </row>
    <row r="1365" spans="6:6">
      <c r="F1365" t="str">
        <f t="shared" si="22"/>
        <v/>
      </c>
    </row>
    <row r="1366" spans="6:6">
      <c r="F1366" t="str">
        <f t="shared" si="22"/>
        <v/>
      </c>
    </row>
    <row r="1367" spans="6:6">
      <c r="F1367" t="str">
        <f t="shared" si="22"/>
        <v/>
      </c>
    </row>
    <row r="1368" spans="6:6">
      <c r="F1368" t="str">
        <f t="shared" si="22"/>
        <v/>
      </c>
    </row>
    <row r="1369" spans="6:6">
      <c r="F1369" t="str">
        <f t="shared" si="22"/>
        <v/>
      </c>
    </row>
    <row r="1370" spans="6:6">
      <c r="F1370" t="str">
        <f t="shared" si="22"/>
        <v/>
      </c>
    </row>
    <row r="1371" spans="6:6">
      <c r="F1371" t="str">
        <f t="shared" si="22"/>
        <v/>
      </c>
    </row>
    <row r="1372" spans="6:6">
      <c r="F1372" t="str">
        <f t="shared" si="22"/>
        <v/>
      </c>
    </row>
    <row r="1373" spans="6:6">
      <c r="F1373" t="str">
        <f t="shared" si="22"/>
        <v/>
      </c>
    </row>
    <row r="1374" spans="6:6">
      <c r="F1374" t="str">
        <f t="shared" si="22"/>
        <v/>
      </c>
    </row>
    <row r="1375" spans="6:6">
      <c r="F1375" t="str">
        <f t="shared" si="22"/>
        <v/>
      </c>
    </row>
    <row r="1376" spans="6:6">
      <c r="F1376" t="str">
        <f t="shared" si="22"/>
        <v/>
      </c>
    </row>
    <row r="1377" spans="6:6">
      <c r="F1377" t="str">
        <f t="shared" si="22"/>
        <v/>
      </c>
    </row>
    <row r="1378" spans="6:6">
      <c r="F1378" t="str">
        <f t="shared" si="22"/>
        <v/>
      </c>
    </row>
    <row r="1379" spans="6:6">
      <c r="F1379" t="str">
        <f t="shared" si="22"/>
        <v/>
      </c>
    </row>
    <row r="1380" spans="6:6">
      <c r="F1380" t="str">
        <f t="shared" si="22"/>
        <v/>
      </c>
    </row>
    <row r="1381" spans="6:6">
      <c r="F1381" t="str">
        <f t="shared" si="22"/>
        <v/>
      </c>
    </row>
    <row r="1382" spans="6:6">
      <c r="F1382" t="str">
        <f t="shared" si="22"/>
        <v/>
      </c>
    </row>
    <row r="1383" spans="6:6">
      <c r="F1383" t="str">
        <f t="shared" si="22"/>
        <v/>
      </c>
    </row>
    <row r="1384" spans="6:6">
      <c r="F1384" t="str">
        <f t="shared" si="22"/>
        <v/>
      </c>
    </row>
    <row r="1385" spans="6:6">
      <c r="F1385" t="str">
        <f t="shared" si="22"/>
        <v/>
      </c>
    </row>
    <row r="1386" spans="6:6">
      <c r="F1386" t="str">
        <f t="shared" si="22"/>
        <v/>
      </c>
    </row>
    <row r="1387" spans="6:6">
      <c r="F1387" t="str">
        <f t="shared" si="22"/>
        <v/>
      </c>
    </row>
    <row r="1388" spans="6:6">
      <c r="F1388" t="str">
        <f t="shared" si="22"/>
        <v/>
      </c>
    </row>
    <row r="1389" spans="6:6">
      <c r="F1389" t="str">
        <f t="shared" si="22"/>
        <v/>
      </c>
    </row>
    <row r="1390" spans="6:6">
      <c r="F1390" t="str">
        <f t="shared" si="22"/>
        <v/>
      </c>
    </row>
    <row r="1391" spans="6:6">
      <c r="F1391" t="str">
        <f t="shared" si="22"/>
        <v/>
      </c>
    </row>
    <row r="1392" spans="6:6">
      <c r="F1392" t="str">
        <f t="shared" si="22"/>
        <v/>
      </c>
    </row>
    <row r="1393" spans="6:6">
      <c r="F1393" t="str">
        <f t="shared" si="22"/>
        <v/>
      </c>
    </row>
    <row r="1394" spans="6:6">
      <c r="F1394" t="str">
        <f t="shared" si="22"/>
        <v/>
      </c>
    </row>
    <row r="1395" spans="6:6">
      <c r="F1395" t="str">
        <f t="shared" si="22"/>
        <v/>
      </c>
    </row>
    <row r="1396" spans="6:6">
      <c r="F1396" t="str">
        <f t="shared" si="22"/>
        <v/>
      </c>
    </row>
    <row r="1397" spans="6:6">
      <c r="F1397" t="str">
        <f t="shared" si="22"/>
        <v/>
      </c>
    </row>
    <row r="1398" spans="6:6">
      <c r="F1398" t="str">
        <f t="shared" si="22"/>
        <v/>
      </c>
    </row>
    <row r="1399" spans="6:6">
      <c r="F1399" t="str">
        <f t="shared" si="22"/>
        <v/>
      </c>
    </row>
    <row r="1400" spans="6:6">
      <c r="F1400" t="str">
        <f t="shared" si="22"/>
        <v/>
      </c>
    </row>
    <row r="1401" spans="6:6">
      <c r="F1401" t="str">
        <f t="shared" si="22"/>
        <v/>
      </c>
    </row>
    <row r="1402" spans="6:6">
      <c r="F1402" t="str">
        <f t="shared" si="22"/>
        <v/>
      </c>
    </row>
    <row r="1403" spans="6:6">
      <c r="F1403" t="str">
        <f t="shared" si="22"/>
        <v/>
      </c>
    </row>
    <row r="1404" spans="6:6">
      <c r="F1404" t="str">
        <f t="shared" si="22"/>
        <v/>
      </c>
    </row>
    <row r="1405" spans="6:6">
      <c r="F1405" t="str">
        <f t="shared" si="22"/>
        <v/>
      </c>
    </row>
    <row r="1406" spans="6:6">
      <c r="F1406" t="str">
        <f t="shared" si="22"/>
        <v/>
      </c>
    </row>
    <row r="1407" spans="6:6">
      <c r="F1407" t="str">
        <f t="shared" si="22"/>
        <v/>
      </c>
    </row>
    <row r="1408" spans="6:6">
      <c r="F1408" t="str">
        <f t="shared" si="22"/>
        <v/>
      </c>
    </row>
    <row r="1409" spans="6:6">
      <c r="F1409" t="str">
        <f t="shared" si="22"/>
        <v/>
      </c>
    </row>
    <row r="1410" spans="6:6">
      <c r="F1410" t="str">
        <f t="shared" si="22"/>
        <v/>
      </c>
    </row>
    <row r="1411" spans="6:6">
      <c r="F1411" t="str">
        <f t="shared" si="22"/>
        <v/>
      </c>
    </row>
    <row r="1412" spans="6:6">
      <c r="F1412" t="str">
        <f t="shared" si="22"/>
        <v/>
      </c>
    </row>
    <row r="1413" spans="6:6">
      <c r="F1413" t="str">
        <f t="shared" si="22"/>
        <v/>
      </c>
    </row>
    <row r="1414" spans="6:6">
      <c r="F1414" t="str">
        <f t="shared" si="22"/>
        <v/>
      </c>
    </row>
    <row r="1415" spans="6:6">
      <c r="F1415" t="str">
        <f t="shared" si="22"/>
        <v/>
      </c>
    </row>
    <row r="1416" spans="6:6">
      <c r="F1416" t="str">
        <f t="shared" si="22"/>
        <v/>
      </c>
    </row>
    <row r="1417" spans="6:6">
      <c r="F1417" t="str">
        <f t="shared" si="22"/>
        <v/>
      </c>
    </row>
    <row r="1418" spans="6:6">
      <c r="F1418" t="str">
        <f t="shared" si="22"/>
        <v/>
      </c>
    </row>
    <row r="1419" spans="6:6">
      <c r="F1419" t="str">
        <f t="shared" si="22"/>
        <v/>
      </c>
    </row>
    <row r="1420" spans="6:6">
      <c r="F1420" t="str">
        <f t="shared" si="22"/>
        <v/>
      </c>
    </row>
    <row r="1421" spans="6:6">
      <c r="F1421" t="str">
        <f t="shared" ref="F1421:F1484" si="23">RIGHT(D1421,2)</f>
        <v/>
      </c>
    </row>
    <row r="1422" spans="6:6">
      <c r="F1422" t="str">
        <f t="shared" si="23"/>
        <v/>
      </c>
    </row>
    <row r="1423" spans="6:6">
      <c r="F1423" t="str">
        <f t="shared" si="23"/>
        <v/>
      </c>
    </row>
    <row r="1424" spans="6:6">
      <c r="F1424" t="str">
        <f t="shared" si="23"/>
        <v/>
      </c>
    </row>
    <row r="1425" spans="6:6">
      <c r="F1425" t="str">
        <f t="shared" si="23"/>
        <v/>
      </c>
    </row>
    <row r="1426" spans="6:6">
      <c r="F1426" t="str">
        <f t="shared" si="23"/>
        <v/>
      </c>
    </row>
    <row r="1427" spans="6:6">
      <c r="F1427" t="str">
        <f t="shared" si="23"/>
        <v/>
      </c>
    </row>
    <row r="1428" spans="6:6">
      <c r="F1428" t="str">
        <f t="shared" si="23"/>
        <v/>
      </c>
    </row>
    <row r="1429" spans="6:6">
      <c r="F1429" t="str">
        <f t="shared" si="23"/>
        <v/>
      </c>
    </row>
    <row r="1430" spans="6:6">
      <c r="F1430" t="str">
        <f t="shared" si="23"/>
        <v/>
      </c>
    </row>
    <row r="1431" spans="6:6">
      <c r="F1431" t="str">
        <f t="shared" si="23"/>
        <v/>
      </c>
    </row>
    <row r="1432" spans="6:6">
      <c r="F1432" t="str">
        <f t="shared" si="23"/>
        <v/>
      </c>
    </row>
    <row r="1433" spans="6:6">
      <c r="F1433" t="str">
        <f t="shared" si="23"/>
        <v/>
      </c>
    </row>
    <row r="1434" spans="6:6">
      <c r="F1434" t="str">
        <f t="shared" si="23"/>
        <v/>
      </c>
    </row>
    <row r="1435" spans="6:6">
      <c r="F1435" t="str">
        <f t="shared" si="23"/>
        <v/>
      </c>
    </row>
    <row r="1436" spans="6:6">
      <c r="F1436" t="str">
        <f t="shared" si="23"/>
        <v/>
      </c>
    </row>
    <row r="1437" spans="6:6">
      <c r="F1437" t="str">
        <f t="shared" si="23"/>
        <v/>
      </c>
    </row>
    <row r="1438" spans="6:6">
      <c r="F1438" t="str">
        <f t="shared" si="23"/>
        <v/>
      </c>
    </row>
    <row r="1439" spans="6:6">
      <c r="F1439" t="str">
        <f t="shared" si="23"/>
        <v/>
      </c>
    </row>
    <row r="1440" spans="6:6">
      <c r="F1440" t="str">
        <f t="shared" si="23"/>
        <v/>
      </c>
    </row>
    <row r="1441" spans="6:6">
      <c r="F1441" t="str">
        <f t="shared" si="23"/>
        <v/>
      </c>
    </row>
    <row r="1442" spans="6:6">
      <c r="F1442" t="str">
        <f t="shared" si="23"/>
        <v/>
      </c>
    </row>
    <row r="1443" spans="6:6">
      <c r="F1443" t="str">
        <f t="shared" si="23"/>
        <v/>
      </c>
    </row>
    <row r="1444" spans="6:6">
      <c r="F1444" t="str">
        <f t="shared" si="23"/>
        <v/>
      </c>
    </row>
    <row r="1445" spans="6:6">
      <c r="F1445" t="str">
        <f t="shared" si="23"/>
        <v/>
      </c>
    </row>
    <row r="1446" spans="6:6">
      <c r="F1446" t="str">
        <f t="shared" si="23"/>
        <v/>
      </c>
    </row>
    <row r="1447" spans="6:6">
      <c r="F1447" t="str">
        <f t="shared" si="23"/>
        <v/>
      </c>
    </row>
    <row r="1448" spans="6:6">
      <c r="F1448" t="str">
        <f t="shared" si="23"/>
        <v/>
      </c>
    </row>
    <row r="1449" spans="6:6">
      <c r="F1449" t="str">
        <f t="shared" si="23"/>
        <v/>
      </c>
    </row>
    <row r="1450" spans="6:6">
      <c r="F1450" t="str">
        <f t="shared" si="23"/>
        <v/>
      </c>
    </row>
    <row r="1451" spans="6:6">
      <c r="F1451" t="str">
        <f t="shared" si="23"/>
        <v/>
      </c>
    </row>
    <row r="1452" spans="6:6">
      <c r="F1452" t="str">
        <f t="shared" si="23"/>
        <v/>
      </c>
    </row>
    <row r="1453" spans="6:6">
      <c r="F1453" t="str">
        <f t="shared" si="23"/>
        <v/>
      </c>
    </row>
    <row r="1454" spans="6:6">
      <c r="F1454" t="str">
        <f t="shared" si="23"/>
        <v/>
      </c>
    </row>
    <row r="1455" spans="6:6">
      <c r="F1455" t="str">
        <f t="shared" si="23"/>
        <v/>
      </c>
    </row>
    <row r="1456" spans="6:6">
      <c r="F1456" t="str">
        <f t="shared" si="23"/>
        <v/>
      </c>
    </row>
    <row r="1457" spans="6:6">
      <c r="F1457" t="str">
        <f t="shared" si="23"/>
        <v/>
      </c>
    </row>
    <row r="1458" spans="6:6">
      <c r="F1458" t="str">
        <f t="shared" si="23"/>
        <v/>
      </c>
    </row>
    <row r="1459" spans="6:6">
      <c r="F1459" t="str">
        <f t="shared" si="23"/>
        <v/>
      </c>
    </row>
    <row r="1460" spans="6:6">
      <c r="F1460" t="str">
        <f t="shared" si="23"/>
        <v/>
      </c>
    </row>
    <row r="1461" spans="6:6">
      <c r="F1461" t="str">
        <f t="shared" si="23"/>
        <v/>
      </c>
    </row>
    <row r="1462" spans="6:6">
      <c r="F1462" t="str">
        <f t="shared" si="23"/>
        <v/>
      </c>
    </row>
    <row r="1463" spans="6:6">
      <c r="F1463" t="str">
        <f t="shared" si="23"/>
        <v/>
      </c>
    </row>
    <row r="1464" spans="6:6">
      <c r="F1464" t="str">
        <f t="shared" si="23"/>
        <v/>
      </c>
    </row>
    <row r="1465" spans="6:6">
      <c r="F1465" t="str">
        <f t="shared" si="23"/>
        <v/>
      </c>
    </row>
    <row r="1466" spans="6:6">
      <c r="F1466" t="str">
        <f t="shared" si="23"/>
        <v/>
      </c>
    </row>
    <row r="1467" spans="6:6">
      <c r="F1467" t="str">
        <f t="shared" si="23"/>
        <v/>
      </c>
    </row>
    <row r="1468" spans="6:6">
      <c r="F1468" t="str">
        <f t="shared" si="23"/>
        <v/>
      </c>
    </row>
    <row r="1469" spans="6:6">
      <c r="F1469" t="str">
        <f t="shared" si="23"/>
        <v/>
      </c>
    </row>
    <row r="1470" spans="6:6">
      <c r="F1470" t="str">
        <f t="shared" si="23"/>
        <v/>
      </c>
    </row>
    <row r="1471" spans="6:6">
      <c r="F1471" t="str">
        <f t="shared" si="23"/>
        <v/>
      </c>
    </row>
    <row r="1472" spans="6:6">
      <c r="F1472" t="str">
        <f t="shared" si="23"/>
        <v/>
      </c>
    </row>
    <row r="1473" spans="6:6">
      <c r="F1473" t="str">
        <f t="shared" si="23"/>
        <v/>
      </c>
    </row>
    <row r="1474" spans="6:6">
      <c r="F1474" t="str">
        <f t="shared" si="23"/>
        <v/>
      </c>
    </row>
    <row r="1475" spans="6:6">
      <c r="F1475" t="str">
        <f t="shared" si="23"/>
        <v/>
      </c>
    </row>
    <row r="1476" spans="6:6">
      <c r="F1476" t="str">
        <f t="shared" si="23"/>
        <v/>
      </c>
    </row>
    <row r="1477" spans="6:6">
      <c r="F1477" t="str">
        <f t="shared" si="23"/>
        <v/>
      </c>
    </row>
    <row r="1478" spans="6:6">
      <c r="F1478" t="str">
        <f t="shared" si="23"/>
        <v/>
      </c>
    </row>
    <row r="1479" spans="6:6">
      <c r="F1479" t="str">
        <f t="shared" si="23"/>
        <v/>
      </c>
    </row>
    <row r="1480" spans="6:6">
      <c r="F1480" t="str">
        <f t="shared" si="23"/>
        <v/>
      </c>
    </row>
    <row r="1481" spans="6:6">
      <c r="F1481" t="str">
        <f t="shared" si="23"/>
        <v/>
      </c>
    </row>
    <row r="1482" spans="6:6">
      <c r="F1482" t="str">
        <f t="shared" si="23"/>
        <v/>
      </c>
    </row>
    <row r="1483" spans="6:6">
      <c r="F1483" t="str">
        <f t="shared" si="23"/>
        <v/>
      </c>
    </row>
    <row r="1484" spans="6:6">
      <c r="F1484" t="str">
        <f t="shared" si="23"/>
        <v/>
      </c>
    </row>
    <row r="1485" spans="6:6">
      <c r="F1485" t="str">
        <f t="shared" ref="F1485:F1548" si="24">RIGHT(D1485,2)</f>
        <v/>
      </c>
    </row>
    <row r="1486" spans="6:6">
      <c r="F1486" t="str">
        <f t="shared" si="24"/>
        <v/>
      </c>
    </row>
    <row r="1487" spans="6:6">
      <c r="F1487" t="str">
        <f t="shared" si="24"/>
        <v/>
      </c>
    </row>
    <row r="1488" spans="6:6">
      <c r="F1488" t="str">
        <f t="shared" si="24"/>
        <v/>
      </c>
    </row>
    <row r="1489" spans="6:6">
      <c r="F1489" t="str">
        <f t="shared" si="24"/>
        <v/>
      </c>
    </row>
    <row r="1490" spans="6:6">
      <c r="F1490" t="str">
        <f t="shared" si="24"/>
        <v/>
      </c>
    </row>
    <row r="1491" spans="6:6">
      <c r="F1491" t="str">
        <f t="shared" si="24"/>
        <v/>
      </c>
    </row>
    <row r="1492" spans="6:6">
      <c r="F1492" t="str">
        <f t="shared" si="24"/>
        <v/>
      </c>
    </row>
    <row r="1493" spans="6:6">
      <c r="F1493" t="str">
        <f t="shared" si="24"/>
        <v/>
      </c>
    </row>
    <row r="1494" spans="6:6">
      <c r="F1494" t="str">
        <f t="shared" si="24"/>
        <v/>
      </c>
    </row>
    <row r="1495" spans="6:6">
      <c r="F1495" t="str">
        <f t="shared" si="24"/>
        <v/>
      </c>
    </row>
    <row r="1496" spans="6:6">
      <c r="F1496" t="str">
        <f t="shared" si="24"/>
        <v/>
      </c>
    </row>
    <row r="1497" spans="6:6">
      <c r="F1497" t="str">
        <f t="shared" si="24"/>
        <v/>
      </c>
    </row>
    <row r="1498" spans="6:6">
      <c r="F1498" t="str">
        <f t="shared" si="24"/>
        <v/>
      </c>
    </row>
    <row r="1499" spans="6:6">
      <c r="F1499" t="str">
        <f t="shared" si="24"/>
        <v/>
      </c>
    </row>
    <row r="1500" spans="6:6">
      <c r="F1500" t="str">
        <f t="shared" si="24"/>
        <v/>
      </c>
    </row>
    <row r="1501" spans="6:6">
      <c r="F1501" t="str">
        <f t="shared" si="24"/>
        <v/>
      </c>
    </row>
    <row r="1502" spans="6:6">
      <c r="F1502" t="str">
        <f t="shared" si="24"/>
        <v/>
      </c>
    </row>
    <row r="1503" spans="6:6">
      <c r="F1503" t="str">
        <f t="shared" si="24"/>
        <v/>
      </c>
    </row>
    <row r="1504" spans="6:6">
      <c r="F1504" t="str">
        <f t="shared" si="24"/>
        <v/>
      </c>
    </row>
    <row r="1505" spans="6:6">
      <c r="F1505" t="str">
        <f t="shared" si="24"/>
        <v/>
      </c>
    </row>
    <row r="1506" spans="6:6">
      <c r="F1506" t="str">
        <f t="shared" si="24"/>
        <v/>
      </c>
    </row>
    <row r="1507" spans="6:6">
      <c r="F1507" t="str">
        <f t="shared" si="24"/>
        <v/>
      </c>
    </row>
    <row r="1508" spans="6:6">
      <c r="F1508" t="str">
        <f t="shared" si="24"/>
        <v/>
      </c>
    </row>
    <row r="1509" spans="6:6">
      <c r="F1509" t="str">
        <f t="shared" si="24"/>
        <v/>
      </c>
    </row>
    <row r="1510" spans="6:6">
      <c r="F1510" t="str">
        <f t="shared" si="24"/>
        <v/>
      </c>
    </row>
    <row r="1511" spans="6:6">
      <c r="F1511" t="str">
        <f t="shared" si="24"/>
        <v/>
      </c>
    </row>
    <row r="1512" spans="6:6">
      <c r="F1512" t="str">
        <f t="shared" si="24"/>
        <v/>
      </c>
    </row>
    <row r="1513" spans="6:6">
      <c r="F1513" t="str">
        <f t="shared" si="24"/>
        <v/>
      </c>
    </row>
    <row r="1514" spans="6:6">
      <c r="F1514" t="str">
        <f t="shared" si="24"/>
        <v/>
      </c>
    </row>
    <row r="1515" spans="6:6">
      <c r="F1515" t="str">
        <f t="shared" si="24"/>
        <v/>
      </c>
    </row>
    <row r="1516" spans="6:6">
      <c r="F1516" t="str">
        <f t="shared" si="24"/>
        <v/>
      </c>
    </row>
    <row r="1517" spans="6:6">
      <c r="F1517" t="str">
        <f t="shared" si="24"/>
        <v/>
      </c>
    </row>
    <row r="1518" spans="6:6">
      <c r="F1518" t="str">
        <f t="shared" si="24"/>
        <v/>
      </c>
    </row>
    <row r="1519" spans="6:6">
      <c r="F1519" t="str">
        <f t="shared" si="24"/>
        <v/>
      </c>
    </row>
    <row r="1520" spans="6:6">
      <c r="F1520" t="str">
        <f t="shared" si="24"/>
        <v/>
      </c>
    </row>
    <row r="1521" spans="6:6">
      <c r="F1521" t="str">
        <f t="shared" si="24"/>
        <v/>
      </c>
    </row>
    <row r="1522" spans="6:6">
      <c r="F1522" t="str">
        <f t="shared" si="24"/>
        <v/>
      </c>
    </row>
    <row r="1523" spans="6:6">
      <c r="F1523" t="str">
        <f t="shared" si="24"/>
        <v/>
      </c>
    </row>
    <row r="1524" spans="6:6">
      <c r="F1524" t="str">
        <f t="shared" si="24"/>
        <v/>
      </c>
    </row>
    <row r="1525" spans="6:6">
      <c r="F1525" t="str">
        <f t="shared" si="24"/>
        <v/>
      </c>
    </row>
    <row r="1526" spans="6:6">
      <c r="F1526" t="str">
        <f t="shared" si="24"/>
        <v/>
      </c>
    </row>
    <row r="1527" spans="6:6">
      <c r="F1527" t="str">
        <f t="shared" si="24"/>
        <v/>
      </c>
    </row>
    <row r="1528" spans="6:6">
      <c r="F1528" t="str">
        <f t="shared" si="24"/>
        <v/>
      </c>
    </row>
    <row r="1529" spans="6:6">
      <c r="F1529" t="str">
        <f t="shared" si="24"/>
        <v/>
      </c>
    </row>
    <row r="1530" spans="6:6">
      <c r="F1530" t="str">
        <f t="shared" si="24"/>
        <v/>
      </c>
    </row>
    <row r="1531" spans="6:6">
      <c r="F1531" t="str">
        <f t="shared" si="24"/>
        <v/>
      </c>
    </row>
    <row r="1532" spans="6:6">
      <c r="F1532" t="str">
        <f t="shared" si="24"/>
        <v/>
      </c>
    </row>
    <row r="1533" spans="6:6">
      <c r="F1533" t="str">
        <f t="shared" si="24"/>
        <v/>
      </c>
    </row>
    <row r="1534" spans="6:6">
      <c r="F1534" t="str">
        <f t="shared" si="24"/>
        <v/>
      </c>
    </row>
    <row r="1535" spans="6:6">
      <c r="F1535" t="str">
        <f t="shared" si="24"/>
        <v/>
      </c>
    </row>
    <row r="1536" spans="6:6">
      <c r="F1536" t="str">
        <f t="shared" si="24"/>
        <v/>
      </c>
    </row>
    <row r="1537" spans="6:6">
      <c r="F1537" t="str">
        <f t="shared" si="24"/>
        <v/>
      </c>
    </row>
    <row r="1538" spans="6:6">
      <c r="F1538" t="str">
        <f t="shared" si="24"/>
        <v/>
      </c>
    </row>
    <row r="1539" spans="6:6">
      <c r="F1539" t="str">
        <f t="shared" si="24"/>
        <v/>
      </c>
    </row>
    <row r="1540" spans="6:6">
      <c r="F1540" t="str">
        <f t="shared" si="24"/>
        <v/>
      </c>
    </row>
    <row r="1541" spans="6:6">
      <c r="F1541" t="str">
        <f t="shared" si="24"/>
        <v/>
      </c>
    </row>
    <row r="1542" spans="6:6">
      <c r="F1542" t="str">
        <f t="shared" si="24"/>
        <v/>
      </c>
    </row>
    <row r="1543" spans="6:6">
      <c r="F1543" t="str">
        <f t="shared" si="24"/>
        <v/>
      </c>
    </row>
    <row r="1544" spans="6:6">
      <c r="F1544" t="str">
        <f t="shared" si="24"/>
        <v/>
      </c>
    </row>
    <row r="1545" spans="6:6">
      <c r="F1545" t="str">
        <f t="shared" si="24"/>
        <v/>
      </c>
    </row>
    <row r="1546" spans="6:6">
      <c r="F1546" t="str">
        <f t="shared" si="24"/>
        <v/>
      </c>
    </row>
    <row r="1547" spans="6:6">
      <c r="F1547" t="str">
        <f t="shared" si="24"/>
        <v/>
      </c>
    </row>
    <row r="1548" spans="6:6">
      <c r="F1548" t="str">
        <f t="shared" si="24"/>
        <v/>
      </c>
    </row>
    <row r="1549" spans="6:6">
      <c r="F1549" t="str">
        <f t="shared" ref="F1549:F1612" si="25">RIGHT(D1549,2)</f>
        <v/>
      </c>
    </row>
    <row r="1550" spans="6:6">
      <c r="F1550" t="str">
        <f t="shared" si="25"/>
        <v/>
      </c>
    </row>
    <row r="1551" spans="6:6">
      <c r="F1551" t="str">
        <f t="shared" si="25"/>
        <v/>
      </c>
    </row>
    <row r="1552" spans="6:6">
      <c r="F1552" t="str">
        <f t="shared" si="25"/>
        <v/>
      </c>
    </row>
    <row r="1553" spans="6:6">
      <c r="F1553" t="str">
        <f t="shared" si="25"/>
        <v/>
      </c>
    </row>
    <row r="1554" spans="6:6">
      <c r="F1554" t="str">
        <f t="shared" si="25"/>
        <v/>
      </c>
    </row>
    <row r="1555" spans="6:6">
      <c r="F1555" t="str">
        <f t="shared" si="25"/>
        <v/>
      </c>
    </row>
    <row r="1556" spans="6:6">
      <c r="F1556" t="str">
        <f t="shared" si="25"/>
        <v/>
      </c>
    </row>
    <row r="1557" spans="6:6">
      <c r="F1557" t="str">
        <f t="shared" si="25"/>
        <v/>
      </c>
    </row>
    <row r="1558" spans="6:6">
      <c r="F1558" t="str">
        <f t="shared" si="25"/>
        <v/>
      </c>
    </row>
    <row r="1559" spans="6:6">
      <c r="F1559" t="str">
        <f t="shared" si="25"/>
        <v/>
      </c>
    </row>
    <row r="1560" spans="6:6">
      <c r="F1560" t="str">
        <f t="shared" si="25"/>
        <v/>
      </c>
    </row>
    <row r="1561" spans="6:6">
      <c r="F1561" t="str">
        <f t="shared" si="25"/>
        <v/>
      </c>
    </row>
    <row r="1562" spans="6:6">
      <c r="F1562" t="str">
        <f t="shared" si="25"/>
        <v/>
      </c>
    </row>
    <row r="1563" spans="6:6">
      <c r="F1563" t="str">
        <f t="shared" si="25"/>
        <v/>
      </c>
    </row>
    <row r="1564" spans="6:6">
      <c r="F1564" t="str">
        <f t="shared" si="25"/>
        <v/>
      </c>
    </row>
    <row r="1565" spans="6:6">
      <c r="F1565" t="str">
        <f t="shared" si="25"/>
        <v/>
      </c>
    </row>
    <row r="1566" spans="6:6">
      <c r="F1566" t="str">
        <f t="shared" si="25"/>
        <v/>
      </c>
    </row>
    <row r="1567" spans="6:6">
      <c r="F1567" t="str">
        <f t="shared" si="25"/>
        <v/>
      </c>
    </row>
    <row r="1568" spans="6:6">
      <c r="F1568" t="str">
        <f t="shared" si="25"/>
        <v/>
      </c>
    </row>
    <row r="1569" spans="6:6">
      <c r="F1569" t="str">
        <f t="shared" si="25"/>
        <v/>
      </c>
    </row>
    <row r="1570" spans="6:6">
      <c r="F1570" t="str">
        <f t="shared" si="25"/>
        <v/>
      </c>
    </row>
    <row r="1571" spans="6:6">
      <c r="F1571" t="str">
        <f t="shared" si="25"/>
        <v/>
      </c>
    </row>
    <row r="1572" spans="6:6">
      <c r="F1572" t="str">
        <f t="shared" si="25"/>
        <v/>
      </c>
    </row>
    <row r="1573" spans="6:6">
      <c r="F1573" t="str">
        <f t="shared" si="25"/>
        <v/>
      </c>
    </row>
    <row r="1574" spans="6:6">
      <c r="F1574" t="str">
        <f t="shared" si="25"/>
        <v/>
      </c>
    </row>
    <row r="1575" spans="6:6">
      <c r="F1575" t="str">
        <f t="shared" si="25"/>
        <v/>
      </c>
    </row>
    <row r="1576" spans="6:6">
      <c r="F1576" t="str">
        <f t="shared" si="25"/>
        <v/>
      </c>
    </row>
    <row r="1577" spans="6:6">
      <c r="F1577" t="str">
        <f t="shared" si="25"/>
        <v/>
      </c>
    </row>
    <row r="1578" spans="6:6">
      <c r="F1578" t="str">
        <f t="shared" si="25"/>
        <v/>
      </c>
    </row>
    <row r="1579" spans="6:6">
      <c r="F1579" t="str">
        <f t="shared" si="25"/>
        <v/>
      </c>
    </row>
    <row r="1580" spans="6:6">
      <c r="F1580" t="str">
        <f t="shared" si="25"/>
        <v/>
      </c>
    </row>
    <row r="1581" spans="6:6">
      <c r="F1581" t="str">
        <f t="shared" si="25"/>
        <v/>
      </c>
    </row>
    <row r="1582" spans="6:6">
      <c r="F1582" t="str">
        <f t="shared" si="25"/>
        <v/>
      </c>
    </row>
    <row r="1583" spans="6:6">
      <c r="F1583" t="str">
        <f t="shared" si="25"/>
        <v/>
      </c>
    </row>
    <row r="1584" spans="6:6">
      <c r="F1584" t="str">
        <f t="shared" si="25"/>
        <v/>
      </c>
    </row>
    <row r="1585" spans="6:6">
      <c r="F1585" t="str">
        <f t="shared" si="25"/>
        <v/>
      </c>
    </row>
    <row r="1586" spans="6:6">
      <c r="F1586" t="str">
        <f t="shared" si="25"/>
        <v/>
      </c>
    </row>
    <row r="1587" spans="6:6">
      <c r="F1587" t="str">
        <f t="shared" si="25"/>
        <v/>
      </c>
    </row>
    <row r="1588" spans="6:6">
      <c r="F1588" t="str">
        <f t="shared" si="25"/>
        <v/>
      </c>
    </row>
    <row r="1589" spans="6:6">
      <c r="F1589" t="str">
        <f t="shared" si="25"/>
        <v/>
      </c>
    </row>
    <row r="1590" spans="6:6">
      <c r="F1590" t="str">
        <f t="shared" si="25"/>
        <v/>
      </c>
    </row>
    <row r="1591" spans="6:6">
      <c r="F1591" t="str">
        <f t="shared" si="25"/>
        <v/>
      </c>
    </row>
    <row r="1592" spans="6:6">
      <c r="F1592" t="str">
        <f t="shared" si="25"/>
        <v/>
      </c>
    </row>
    <row r="1593" spans="6:6">
      <c r="F1593" t="str">
        <f t="shared" si="25"/>
        <v/>
      </c>
    </row>
    <row r="1594" spans="6:6">
      <c r="F1594" t="str">
        <f t="shared" si="25"/>
        <v/>
      </c>
    </row>
    <row r="1595" spans="6:6">
      <c r="F1595" t="str">
        <f t="shared" si="25"/>
        <v/>
      </c>
    </row>
    <row r="1596" spans="6:6">
      <c r="F1596" t="str">
        <f t="shared" si="25"/>
        <v/>
      </c>
    </row>
    <row r="1597" spans="6:6">
      <c r="F1597" t="str">
        <f t="shared" si="25"/>
        <v/>
      </c>
    </row>
    <row r="1598" spans="6:6">
      <c r="F1598" t="str">
        <f t="shared" si="25"/>
        <v/>
      </c>
    </row>
    <row r="1599" spans="6:6">
      <c r="F1599" t="str">
        <f t="shared" si="25"/>
        <v/>
      </c>
    </row>
    <row r="1600" spans="6:6">
      <c r="F1600" t="str">
        <f t="shared" si="25"/>
        <v/>
      </c>
    </row>
    <row r="1601" spans="6:6">
      <c r="F1601" t="str">
        <f t="shared" si="25"/>
        <v/>
      </c>
    </row>
    <row r="1602" spans="6:6">
      <c r="F1602" t="str">
        <f t="shared" si="25"/>
        <v/>
      </c>
    </row>
    <row r="1603" spans="6:6">
      <c r="F1603" t="str">
        <f t="shared" si="25"/>
        <v/>
      </c>
    </row>
    <row r="1604" spans="6:6">
      <c r="F1604" t="str">
        <f t="shared" si="25"/>
        <v/>
      </c>
    </row>
    <row r="1605" spans="6:6">
      <c r="F1605" t="str">
        <f t="shared" si="25"/>
        <v/>
      </c>
    </row>
    <row r="1606" spans="6:6">
      <c r="F1606" t="str">
        <f t="shared" si="25"/>
        <v/>
      </c>
    </row>
    <row r="1607" spans="6:6">
      <c r="F1607" t="str">
        <f t="shared" si="25"/>
        <v/>
      </c>
    </row>
    <row r="1608" spans="6:6">
      <c r="F1608" t="str">
        <f t="shared" si="25"/>
        <v/>
      </c>
    </row>
    <row r="1609" spans="6:6">
      <c r="F1609" t="str">
        <f t="shared" si="25"/>
        <v/>
      </c>
    </row>
    <row r="1610" spans="6:6">
      <c r="F1610" t="str">
        <f t="shared" si="25"/>
        <v/>
      </c>
    </row>
    <row r="1611" spans="6:6">
      <c r="F1611" t="str">
        <f t="shared" si="25"/>
        <v/>
      </c>
    </row>
    <row r="1612" spans="6:6">
      <c r="F1612" t="str">
        <f t="shared" si="25"/>
        <v/>
      </c>
    </row>
    <row r="1613" spans="6:6">
      <c r="F1613" t="str">
        <f t="shared" ref="F1613:F1676" si="26">RIGHT(D1613,2)</f>
        <v/>
      </c>
    </row>
    <row r="1614" spans="6:6">
      <c r="F1614" t="str">
        <f t="shared" si="26"/>
        <v/>
      </c>
    </row>
    <row r="1615" spans="6:6">
      <c r="F1615" t="str">
        <f t="shared" si="26"/>
        <v/>
      </c>
    </row>
    <row r="1616" spans="6:6">
      <c r="F1616" t="str">
        <f t="shared" si="26"/>
        <v/>
      </c>
    </row>
    <row r="1617" spans="6:6">
      <c r="F1617" t="str">
        <f t="shared" si="26"/>
        <v/>
      </c>
    </row>
    <row r="1618" spans="6:6">
      <c r="F1618" t="str">
        <f t="shared" si="26"/>
        <v/>
      </c>
    </row>
    <row r="1619" spans="6:6">
      <c r="F1619" t="str">
        <f t="shared" si="26"/>
        <v/>
      </c>
    </row>
    <row r="1620" spans="6:6">
      <c r="F1620" t="str">
        <f t="shared" si="26"/>
        <v/>
      </c>
    </row>
    <row r="1621" spans="6:6">
      <c r="F1621" t="str">
        <f t="shared" si="26"/>
        <v/>
      </c>
    </row>
    <row r="1622" spans="6:6">
      <c r="F1622" t="str">
        <f t="shared" si="26"/>
        <v/>
      </c>
    </row>
    <row r="1623" spans="6:6">
      <c r="F1623" t="str">
        <f t="shared" si="26"/>
        <v/>
      </c>
    </row>
    <row r="1624" spans="6:6">
      <c r="F1624" t="str">
        <f t="shared" si="26"/>
        <v/>
      </c>
    </row>
    <row r="1625" spans="6:6">
      <c r="F1625" t="str">
        <f t="shared" si="26"/>
        <v/>
      </c>
    </row>
    <row r="1626" spans="6:6">
      <c r="F1626" t="str">
        <f t="shared" si="26"/>
        <v/>
      </c>
    </row>
    <row r="1627" spans="6:6">
      <c r="F1627" t="str">
        <f t="shared" si="26"/>
        <v/>
      </c>
    </row>
    <row r="1628" spans="6:6">
      <c r="F1628" t="str">
        <f t="shared" si="26"/>
        <v/>
      </c>
    </row>
    <row r="1629" spans="6:6">
      <c r="F1629" t="str">
        <f t="shared" si="26"/>
        <v/>
      </c>
    </row>
    <row r="1630" spans="6:6">
      <c r="F1630" t="str">
        <f t="shared" si="26"/>
        <v/>
      </c>
    </row>
    <row r="1631" spans="6:6">
      <c r="F1631" t="str">
        <f t="shared" si="26"/>
        <v/>
      </c>
    </row>
    <row r="1632" spans="6:6">
      <c r="F1632" t="str">
        <f t="shared" si="26"/>
        <v/>
      </c>
    </row>
    <row r="1633" spans="6:6">
      <c r="F1633" t="str">
        <f t="shared" si="26"/>
        <v/>
      </c>
    </row>
    <row r="1634" spans="6:6">
      <c r="F1634" t="str">
        <f t="shared" si="26"/>
        <v/>
      </c>
    </row>
    <row r="1635" spans="6:6">
      <c r="F1635" t="str">
        <f t="shared" si="26"/>
        <v/>
      </c>
    </row>
    <row r="1636" spans="6:6">
      <c r="F1636" t="str">
        <f t="shared" si="26"/>
        <v/>
      </c>
    </row>
    <row r="1637" spans="6:6">
      <c r="F1637" t="str">
        <f t="shared" si="26"/>
        <v/>
      </c>
    </row>
    <row r="1638" spans="6:6">
      <c r="F1638" t="str">
        <f t="shared" si="26"/>
        <v/>
      </c>
    </row>
    <row r="1639" spans="6:6">
      <c r="F1639" t="str">
        <f t="shared" si="26"/>
        <v/>
      </c>
    </row>
    <row r="1640" spans="6:6">
      <c r="F1640" t="str">
        <f t="shared" si="26"/>
        <v/>
      </c>
    </row>
    <row r="1641" spans="6:6">
      <c r="F1641" t="str">
        <f t="shared" si="26"/>
        <v/>
      </c>
    </row>
    <row r="1642" spans="6:6">
      <c r="F1642" t="str">
        <f t="shared" si="26"/>
        <v/>
      </c>
    </row>
    <row r="1643" spans="6:6">
      <c r="F1643" t="str">
        <f t="shared" si="26"/>
        <v/>
      </c>
    </row>
    <row r="1644" spans="6:6">
      <c r="F1644" t="str">
        <f t="shared" si="26"/>
        <v/>
      </c>
    </row>
    <row r="1645" spans="6:6">
      <c r="F1645" t="str">
        <f t="shared" si="26"/>
        <v/>
      </c>
    </row>
    <row r="1646" spans="6:6">
      <c r="F1646" t="str">
        <f t="shared" si="26"/>
        <v/>
      </c>
    </row>
    <row r="1647" spans="6:6">
      <c r="F1647" t="str">
        <f t="shared" si="26"/>
        <v/>
      </c>
    </row>
    <row r="1648" spans="6:6">
      <c r="F1648" t="str">
        <f t="shared" si="26"/>
        <v/>
      </c>
    </row>
    <row r="1649" spans="6:6">
      <c r="F1649" t="str">
        <f t="shared" si="26"/>
        <v/>
      </c>
    </row>
    <row r="1650" spans="6:6">
      <c r="F1650" t="str">
        <f t="shared" si="26"/>
        <v/>
      </c>
    </row>
    <row r="1651" spans="6:6">
      <c r="F1651" t="str">
        <f t="shared" si="26"/>
        <v/>
      </c>
    </row>
    <row r="1652" spans="6:6">
      <c r="F1652" t="str">
        <f t="shared" si="26"/>
        <v/>
      </c>
    </row>
    <row r="1653" spans="6:6">
      <c r="F1653" t="str">
        <f t="shared" si="26"/>
        <v/>
      </c>
    </row>
    <row r="1654" spans="6:6">
      <c r="F1654" t="str">
        <f t="shared" si="26"/>
        <v/>
      </c>
    </row>
    <row r="1655" spans="6:6">
      <c r="F1655" t="str">
        <f t="shared" si="26"/>
        <v/>
      </c>
    </row>
    <row r="1656" spans="6:6">
      <c r="F1656" t="str">
        <f t="shared" si="26"/>
        <v/>
      </c>
    </row>
    <row r="1657" spans="6:6">
      <c r="F1657" t="str">
        <f t="shared" si="26"/>
        <v/>
      </c>
    </row>
    <row r="1658" spans="6:6">
      <c r="F1658" t="str">
        <f t="shared" si="26"/>
        <v/>
      </c>
    </row>
    <row r="1659" spans="6:6">
      <c r="F1659" t="str">
        <f t="shared" si="26"/>
        <v/>
      </c>
    </row>
    <row r="1660" spans="6:6">
      <c r="F1660" t="str">
        <f t="shared" si="26"/>
        <v/>
      </c>
    </row>
    <row r="1661" spans="6:6">
      <c r="F1661" t="str">
        <f t="shared" si="26"/>
        <v/>
      </c>
    </row>
    <row r="1662" spans="6:6">
      <c r="F1662" t="str">
        <f t="shared" si="26"/>
        <v/>
      </c>
    </row>
    <row r="1663" spans="6:6">
      <c r="F1663" t="str">
        <f t="shared" si="26"/>
        <v/>
      </c>
    </row>
    <row r="1664" spans="6:6">
      <c r="F1664" t="str">
        <f t="shared" si="26"/>
        <v/>
      </c>
    </row>
    <row r="1665" spans="6:6">
      <c r="F1665" t="str">
        <f t="shared" si="26"/>
        <v/>
      </c>
    </row>
    <row r="1666" spans="6:6">
      <c r="F1666" t="str">
        <f t="shared" si="26"/>
        <v/>
      </c>
    </row>
    <row r="1667" spans="6:6">
      <c r="F1667" t="str">
        <f t="shared" si="26"/>
        <v/>
      </c>
    </row>
    <row r="1668" spans="6:6">
      <c r="F1668" t="str">
        <f t="shared" si="26"/>
        <v/>
      </c>
    </row>
    <row r="1669" spans="6:6">
      <c r="F1669" t="str">
        <f t="shared" si="26"/>
        <v/>
      </c>
    </row>
    <row r="1670" spans="6:6">
      <c r="F1670" t="str">
        <f t="shared" si="26"/>
        <v/>
      </c>
    </row>
    <row r="1671" spans="6:6">
      <c r="F1671" t="str">
        <f t="shared" si="26"/>
        <v/>
      </c>
    </row>
    <row r="1672" spans="6:6">
      <c r="F1672" t="str">
        <f t="shared" si="26"/>
        <v/>
      </c>
    </row>
    <row r="1673" spans="6:6">
      <c r="F1673" t="str">
        <f t="shared" si="26"/>
        <v/>
      </c>
    </row>
    <row r="1674" spans="6:6">
      <c r="F1674" t="str">
        <f t="shared" si="26"/>
        <v/>
      </c>
    </row>
    <row r="1675" spans="6:6">
      <c r="F1675" t="str">
        <f t="shared" si="26"/>
        <v/>
      </c>
    </row>
    <row r="1676" spans="6:6">
      <c r="F1676" t="str">
        <f t="shared" si="26"/>
        <v/>
      </c>
    </row>
    <row r="1677" spans="6:6">
      <c r="F1677" t="str">
        <f t="shared" ref="F1677:F1740" si="27">RIGHT(D1677,2)</f>
        <v/>
      </c>
    </row>
    <row r="1678" spans="6:6">
      <c r="F1678" t="str">
        <f t="shared" si="27"/>
        <v/>
      </c>
    </row>
    <row r="1679" spans="6:6">
      <c r="F1679" t="str">
        <f t="shared" si="27"/>
        <v/>
      </c>
    </row>
    <row r="1680" spans="6:6">
      <c r="F1680" t="str">
        <f t="shared" si="27"/>
        <v/>
      </c>
    </row>
    <row r="1681" spans="6:6">
      <c r="F1681" t="str">
        <f t="shared" si="27"/>
        <v/>
      </c>
    </row>
    <row r="1682" spans="6:6">
      <c r="F1682" t="str">
        <f t="shared" si="27"/>
        <v/>
      </c>
    </row>
    <row r="1683" spans="6:6">
      <c r="F1683" t="str">
        <f t="shared" si="27"/>
        <v/>
      </c>
    </row>
    <row r="1684" spans="6:6">
      <c r="F1684" t="str">
        <f t="shared" si="27"/>
        <v/>
      </c>
    </row>
    <row r="1685" spans="6:6">
      <c r="F1685" t="str">
        <f t="shared" si="27"/>
        <v/>
      </c>
    </row>
    <row r="1686" spans="6:6">
      <c r="F1686" t="str">
        <f t="shared" si="27"/>
        <v/>
      </c>
    </row>
    <row r="1687" spans="6:6">
      <c r="F1687" t="str">
        <f t="shared" si="27"/>
        <v/>
      </c>
    </row>
    <row r="1688" spans="6:6">
      <c r="F1688" t="str">
        <f t="shared" si="27"/>
        <v/>
      </c>
    </row>
    <row r="1689" spans="6:6">
      <c r="F1689" t="str">
        <f t="shared" si="27"/>
        <v/>
      </c>
    </row>
    <row r="1690" spans="6:6">
      <c r="F1690" t="str">
        <f t="shared" si="27"/>
        <v/>
      </c>
    </row>
    <row r="1691" spans="6:6">
      <c r="F1691" t="str">
        <f t="shared" si="27"/>
        <v/>
      </c>
    </row>
    <row r="1692" spans="6:6">
      <c r="F1692" t="str">
        <f t="shared" si="27"/>
        <v/>
      </c>
    </row>
    <row r="1693" spans="6:6">
      <c r="F1693" t="str">
        <f t="shared" si="27"/>
        <v/>
      </c>
    </row>
    <row r="1694" spans="6:6">
      <c r="F1694" t="str">
        <f t="shared" si="27"/>
        <v/>
      </c>
    </row>
    <row r="1695" spans="6:6">
      <c r="F1695" t="str">
        <f t="shared" si="27"/>
        <v/>
      </c>
    </row>
    <row r="1696" spans="6:6">
      <c r="F1696" t="str">
        <f t="shared" si="27"/>
        <v/>
      </c>
    </row>
    <row r="1697" spans="6:6">
      <c r="F1697" t="str">
        <f t="shared" si="27"/>
        <v/>
      </c>
    </row>
    <row r="1698" spans="6:6">
      <c r="F1698" t="str">
        <f t="shared" si="27"/>
        <v/>
      </c>
    </row>
    <row r="1699" spans="6:6">
      <c r="F1699" t="str">
        <f t="shared" si="27"/>
        <v/>
      </c>
    </row>
    <row r="1700" spans="6:6">
      <c r="F1700" t="str">
        <f t="shared" si="27"/>
        <v/>
      </c>
    </row>
    <row r="1701" spans="6:6">
      <c r="F1701" t="str">
        <f t="shared" si="27"/>
        <v/>
      </c>
    </row>
    <row r="1702" spans="6:6">
      <c r="F1702" t="str">
        <f t="shared" si="27"/>
        <v/>
      </c>
    </row>
    <row r="1703" spans="6:6">
      <c r="F1703" t="str">
        <f t="shared" si="27"/>
        <v/>
      </c>
    </row>
    <row r="1704" spans="6:6">
      <c r="F1704" t="str">
        <f t="shared" si="27"/>
        <v/>
      </c>
    </row>
    <row r="1705" spans="6:6">
      <c r="F1705" t="str">
        <f t="shared" si="27"/>
        <v/>
      </c>
    </row>
    <row r="1706" spans="6:6">
      <c r="F1706" t="str">
        <f t="shared" si="27"/>
        <v/>
      </c>
    </row>
    <row r="1707" spans="6:6">
      <c r="F1707" t="str">
        <f t="shared" si="27"/>
        <v/>
      </c>
    </row>
    <row r="1708" spans="6:6">
      <c r="F1708" t="str">
        <f t="shared" si="27"/>
        <v/>
      </c>
    </row>
    <row r="1709" spans="6:6">
      <c r="F1709" t="str">
        <f t="shared" si="27"/>
        <v/>
      </c>
    </row>
    <row r="1710" spans="6:6">
      <c r="F1710" t="str">
        <f t="shared" si="27"/>
        <v/>
      </c>
    </row>
    <row r="1711" spans="6:6">
      <c r="F1711" t="str">
        <f t="shared" si="27"/>
        <v/>
      </c>
    </row>
    <row r="1712" spans="6:6">
      <c r="F1712" t="str">
        <f t="shared" si="27"/>
        <v/>
      </c>
    </row>
    <row r="1713" spans="6:6">
      <c r="F1713" t="str">
        <f t="shared" si="27"/>
        <v/>
      </c>
    </row>
    <row r="1714" spans="6:6">
      <c r="F1714" t="str">
        <f t="shared" si="27"/>
        <v/>
      </c>
    </row>
    <row r="1715" spans="6:6">
      <c r="F1715" t="str">
        <f t="shared" si="27"/>
        <v/>
      </c>
    </row>
    <row r="1716" spans="6:6">
      <c r="F1716" t="str">
        <f t="shared" si="27"/>
        <v/>
      </c>
    </row>
    <row r="1717" spans="6:6">
      <c r="F1717" t="str">
        <f t="shared" si="27"/>
        <v/>
      </c>
    </row>
    <row r="1718" spans="6:6">
      <c r="F1718" t="str">
        <f t="shared" si="27"/>
        <v/>
      </c>
    </row>
    <row r="1719" spans="6:6">
      <c r="F1719" t="str">
        <f t="shared" si="27"/>
        <v/>
      </c>
    </row>
    <row r="1720" spans="6:6">
      <c r="F1720" t="str">
        <f t="shared" si="27"/>
        <v/>
      </c>
    </row>
    <row r="1721" spans="6:6">
      <c r="F1721" t="str">
        <f t="shared" si="27"/>
        <v/>
      </c>
    </row>
    <row r="1722" spans="6:6">
      <c r="F1722" t="str">
        <f t="shared" si="27"/>
        <v/>
      </c>
    </row>
    <row r="1723" spans="6:6">
      <c r="F1723" t="str">
        <f t="shared" si="27"/>
        <v/>
      </c>
    </row>
    <row r="1724" spans="6:6">
      <c r="F1724" t="str">
        <f t="shared" si="27"/>
        <v/>
      </c>
    </row>
    <row r="1725" spans="6:6">
      <c r="F1725" t="str">
        <f t="shared" si="27"/>
        <v/>
      </c>
    </row>
    <row r="1726" spans="6:6">
      <c r="F1726" t="str">
        <f t="shared" si="27"/>
        <v/>
      </c>
    </row>
    <row r="1727" spans="6:6">
      <c r="F1727" t="str">
        <f t="shared" si="27"/>
        <v/>
      </c>
    </row>
    <row r="1728" spans="6:6">
      <c r="F1728" t="str">
        <f t="shared" si="27"/>
        <v/>
      </c>
    </row>
    <row r="1729" spans="6:6">
      <c r="F1729" t="str">
        <f t="shared" si="27"/>
        <v/>
      </c>
    </row>
    <row r="1730" spans="6:6">
      <c r="F1730" t="str">
        <f t="shared" si="27"/>
        <v/>
      </c>
    </row>
    <row r="1731" spans="6:6">
      <c r="F1731" t="str">
        <f t="shared" si="27"/>
        <v/>
      </c>
    </row>
    <row r="1732" spans="6:6">
      <c r="F1732" t="str">
        <f t="shared" si="27"/>
        <v/>
      </c>
    </row>
    <row r="1733" spans="6:6">
      <c r="F1733" t="str">
        <f t="shared" si="27"/>
        <v/>
      </c>
    </row>
    <row r="1734" spans="6:6">
      <c r="F1734" t="str">
        <f t="shared" si="27"/>
        <v/>
      </c>
    </row>
    <row r="1735" spans="6:6">
      <c r="F1735" t="str">
        <f t="shared" si="27"/>
        <v/>
      </c>
    </row>
    <row r="1736" spans="6:6">
      <c r="F1736" t="str">
        <f t="shared" si="27"/>
        <v/>
      </c>
    </row>
    <row r="1737" spans="6:6">
      <c r="F1737" t="str">
        <f t="shared" si="27"/>
        <v/>
      </c>
    </row>
    <row r="1738" spans="6:6">
      <c r="F1738" t="str">
        <f t="shared" si="27"/>
        <v/>
      </c>
    </row>
    <row r="1739" spans="6:6">
      <c r="F1739" t="str">
        <f t="shared" si="27"/>
        <v/>
      </c>
    </row>
    <row r="1740" spans="6:6">
      <c r="F1740" t="str">
        <f t="shared" si="27"/>
        <v/>
      </c>
    </row>
    <row r="1741" spans="6:6">
      <c r="F1741" t="str">
        <f t="shared" ref="F1741:F1804" si="28">RIGHT(D1741,2)</f>
        <v/>
      </c>
    </row>
    <row r="1742" spans="6:6">
      <c r="F1742" t="str">
        <f t="shared" si="28"/>
        <v/>
      </c>
    </row>
    <row r="1743" spans="6:6">
      <c r="F1743" t="str">
        <f t="shared" si="28"/>
        <v/>
      </c>
    </row>
    <row r="1744" spans="6:6">
      <c r="F1744" t="str">
        <f t="shared" si="28"/>
        <v/>
      </c>
    </row>
    <row r="1745" spans="6:6">
      <c r="F1745" t="str">
        <f t="shared" si="28"/>
        <v/>
      </c>
    </row>
    <row r="1746" spans="6:6">
      <c r="F1746" t="str">
        <f t="shared" si="28"/>
        <v/>
      </c>
    </row>
    <row r="1747" spans="6:6">
      <c r="F1747" t="str">
        <f t="shared" si="28"/>
        <v/>
      </c>
    </row>
    <row r="1748" spans="6:6">
      <c r="F1748" t="str">
        <f t="shared" si="28"/>
        <v/>
      </c>
    </row>
    <row r="1749" spans="6:6">
      <c r="F1749" t="str">
        <f t="shared" si="28"/>
        <v/>
      </c>
    </row>
    <row r="1750" spans="6:6">
      <c r="F1750" t="str">
        <f t="shared" si="28"/>
        <v/>
      </c>
    </row>
    <row r="1751" spans="6:6">
      <c r="F1751" t="str">
        <f t="shared" si="28"/>
        <v/>
      </c>
    </row>
    <row r="1752" spans="6:6">
      <c r="F1752" t="str">
        <f t="shared" si="28"/>
        <v/>
      </c>
    </row>
    <row r="1753" spans="6:6">
      <c r="F1753" t="str">
        <f t="shared" si="28"/>
        <v/>
      </c>
    </row>
    <row r="1754" spans="6:6">
      <c r="F1754" t="str">
        <f t="shared" si="28"/>
        <v/>
      </c>
    </row>
    <row r="1755" spans="6:6">
      <c r="F1755" t="str">
        <f t="shared" si="28"/>
        <v/>
      </c>
    </row>
    <row r="1756" spans="6:6">
      <c r="F1756" t="str">
        <f t="shared" si="28"/>
        <v/>
      </c>
    </row>
    <row r="1757" spans="6:6">
      <c r="F1757" t="str">
        <f t="shared" si="28"/>
        <v/>
      </c>
    </row>
    <row r="1758" spans="6:6">
      <c r="F1758" t="str">
        <f t="shared" si="28"/>
        <v/>
      </c>
    </row>
    <row r="1759" spans="6:6">
      <c r="F1759" t="str">
        <f t="shared" si="28"/>
        <v/>
      </c>
    </row>
    <row r="1760" spans="6:6">
      <c r="F1760" t="str">
        <f t="shared" si="28"/>
        <v/>
      </c>
    </row>
    <row r="1761" spans="6:6">
      <c r="F1761" t="str">
        <f t="shared" si="28"/>
        <v/>
      </c>
    </row>
    <row r="1762" spans="6:6">
      <c r="F1762" t="str">
        <f t="shared" si="28"/>
        <v/>
      </c>
    </row>
    <row r="1763" spans="6:6">
      <c r="F1763" t="str">
        <f t="shared" si="28"/>
        <v/>
      </c>
    </row>
    <row r="1764" spans="6:6">
      <c r="F1764" t="str">
        <f t="shared" si="28"/>
        <v/>
      </c>
    </row>
    <row r="1765" spans="6:6">
      <c r="F1765" t="str">
        <f t="shared" si="28"/>
        <v/>
      </c>
    </row>
    <row r="1766" spans="6:6">
      <c r="F1766" t="str">
        <f t="shared" si="28"/>
        <v/>
      </c>
    </row>
    <row r="1767" spans="6:6">
      <c r="F1767" t="str">
        <f t="shared" si="28"/>
        <v/>
      </c>
    </row>
    <row r="1768" spans="6:6">
      <c r="F1768" t="str">
        <f t="shared" si="28"/>
        <v/>
      </c>
    </row>
    <row r="1769" spans="6:6">
      <c r="F1769" t="str">
        <f t="shared" si="28"/>
        <v/>
      </c>
    </row>
    <row r="1770" spans="6:6">
      <c r="F1770" t="str">
        <f t="shared" si="28"/>
        <v/>
      </c>
    </row>
    <row r="1771" spans="6:6">
      <c r="F1771" t="str">
        <f t="shared" si="28"/>
        <v/>
      </c>
    </row>
    <row r="1772" spans="6:6">
      <c r="F1772" t="str">
        <f t="shared" si="28"/>
        <v/>
      </c>
    </row>
    <row r="1773" spans="6:6">
      <c r="F1773" t="str">
        <f t="shared" si="28"/>
        <v/>
      </c>
    </row>
    <row r="1774" spans="6:6">
      <c r="F1774" t="str">
        <f t="shared" si="28"/>
        <v/>
      </c>
    </row>
    <row r="1775" spans="6:6">
      <c r="F1775" t="str">
        <f t="shared" si="28"/>
        <v/>
      </c>
    </row>
    <row r="1776" spans="6:6">
      <c r="F1776" t="str">
        <f t="shared" si="28"/>
        <v/>
      </c>
    </row>
    <row r="1777" spans="6:6">
      <c r="F1777" t="str">
        <f t="shared" si="28"/>
        <v/>
      </c>
    </row>
    <row r="1778" spans="6:6">
      <c r="F1778" t="str">
        <f t="shared" si="28"/>
        <v/>
      </c>
    </row>
    <row r="1779" spans="6:6">
      <c r="F1779" t="str">
        <f t="shared" si="28"/>
        <v/>
      </c>
    </row>
    <row r="1780" spans="6:6">
      <c r="F1780" t="str">
        <f t="shared" si="28"/>
        <v/>
      </c>
    </row>
    <row r="1781" spans="6:6">
      <c r="F1781" t="str">
        <f t="shared" si="28"/>
        <v/>
      </c>
    </row>
    <row r="1782" spans="6:6">
      <c r="F1782" t="str">
        <f t="shared" si="28"/>
        <v/>
      </c>
    </row>
    <row r="1783" spans="6:6">
      <c r="F1783" t="str">
        <f t="shared" si="28"/>
        <v/>
      </c>
    </row>
    <row r="1784" spans="6:6">
      <c r="F1784" t="str">
        <f t="shared" si="28"/>
        <v/>
      </c>
    </row>
    <row r="1785" spans="6:6">
      <c r="F1785" t="str">
        <f t="shared" si="28"/>
        <v/>
      </c>
    </row>
    <row r="1786" spans="6:6">
      <c r="F1786" t="str">
        <f t="shared" si="28"/>
        <v/>
      </c>
    </row>
    <row r="1787" spans="6:6">
      <c r="F1787" t="str">
        <f t="shared" si="28"/>
        <v/>
      </c>
    </row>
    <row r="1788" spans="6:6">
      <c r="F1788" t="str">
        <f t="shared" si="28"/>
        <v/>
      </c>
    </row>
    <row r="1789" spans="6:6">
      <c r="F1789" t="str">
        <f t="shared" si="28"/>
        <v/>
      </c>
    </row>
    <row r="1790" spans="6:6">
      <c r="F1790" t="str">
        <f t="shared" si="28"/>
        <v/>
      </c>
    </row>
    <row r="1791" spans="6:6">
      <c r="F1791" t="str">
        <f t="shared" si="28"/>
        <v/>
      </c>
    </row>
    <row r="1792" spans="6:6">
      <c r="F1792" t="str">
        <f t="shared" si="28"/>
        <v/>
      </c>
    </row>
    <row r="1793" spans="6:6">
      <c r="F1793" t="str">
        <f t="shared" si="28"/>
        <v/>
      </c>
    </row>
    <row r="1794" spans="6:6">
      <c r="F1794" t="str">
        <f t="shared" si="28"/>
        <v/>
      </c>
    </row>
    <row r="1795" spans="6:6">
      <c r="F1795" t="str">
        <f t="shared" si="28"/>
        <v/>
      </c>
    </row>
    <row r="1796" spans="6:6">
      <c r="F1796" t="str">
        <f t="shared" si="28"/>
        <v/>
      </c>
    </row>
    <row r="1797" spans="6:6">
      <c r="F1797" t="str">
        <f t="shared" si="28"/>
        <v/>
      </c>
    </row>
    <row r="1798" spans="6:6">
      <c r="F1798" t="str">
        <f t="shared" si="28"/>
        <v/>
      </c>
    </row>
    <row r="1799" spans="6:6">
      <c r="F1799" t="str">
        <f t="shared" si="28"/>
        <v/>
      </c>
    </row>
    <row r="1800" spans="6:6">
      <c r="F1800" t="str">
        <f t="shared" si="28"/>
        <v/>
      </c>
    </row>
    <row r="1801" spans="6:6">
      <c r="F1801" t="str">
        <f t="shared" si="28"/>
        <v/>
      </c>
    </row>
    <row r="1802" spans="6:6">
      <c r="F1802" t="str">
        <f t="shared" si="28"/>
        <v/>
      </c>
    </row>
    <row r="1803" spans="6:6">
      <c r="F1803" t="str">
        <f t="shared" si="28"/>
        <v/>
      </c>
    </row>
    <row r="1804" spans="6:6">
      <c r="F1804" t="str">
        <f t="shared" si="28"/>
        <v/>
      </c>
    </row>
    <row r="1805" spans="6:6">
      <c r="F1805" t="str">
        <f t="shared" ref="F1805:F1868" si="29">RIGHT(D1805,2)</f>
        <v/>
      </c>
    </row>
    <row r="1806" spans="6:6">
      <c r="F1806" t="str">
        <f t="shared" si="29"/>
        <v/>
      </c>
    </row>
    <row r="1807" spans="6:6">
      <c r="F1807" t="str">
        <f t="shared" si="29"/>
        <v/>
      </c>
    </row>
    <row r="1808" spans="6:6">
      <c r="F1808" t="str">
        <f t="shared" si="29"/>
        <v/>
      </c>
    </row>
    <row r="1809" spans="6:6">
      <c r="F1809" t="str">
        <f t="shared" si="29"/>
        <v/>
      </c>
    </row>
    <row r="1810" spans="6:6">
      <c r="F1810" t="str">
        <f t="shared" si="29"/>
        <v/>
      </c>
    </row>
    <row r="1811" spans="6:6">
      <c r="F1811" t="str">
        <f t="shared" si="29"/>
        <v/>
      </c>
    </row>
    <row r="1812" spans="6:6">
      <c r="F1812" t="str">
        <f t="shared" si="29"/>
        <v/>
      </c>
    </row>
    <row r="1813" spans="6:6">
      <c r="F1813" t="str">
        <f t="shared" si="29"/>
        <v/>
      </c>
    </row>
    <row r="1814" spans="6:6">
      <c r="F1814" t="str">
        <f t="shared" si="29"/>
        <v/>
      </c>
    </row>
    <row r="1815" spans="6:6">
      <c r="F1815" t="str">
        <f t="shared" si="29"/>
        <v/>
      </c>
    </row>
    <row r="1816" spans="6:6">
      <c r="F1816" t="str">
        <f t="shared" si="29"/>
        <v/>
      </c>
    </row>
    <row r="1817" spans="6:6">
      <c r="F1817" t="str">
        <f t="shared" si="29"/>
        <v/>
      </c>
    </row>
    <row r="1818" spans="6:6">
      <c r="F1818" t="str">
        <f t="shared" si="29"/>
        <v/>
      </c>
    </row>
    <row r="1819" spans="6:6">
      <c r="F1819" t="str">
        <f t="shared" si="29"/>
        <v/>
      </c>
    </row>
    <row r="1820" spans="6:6">
      <c r="F1820" t="str">
        <f t="shared" si="29"/>
        <v/>
      </c>
    </row>
    <row r="1821" spans="6:6">
      <c r="F1821" t="str">
        <f t="shared" si="29"/>
        <v/>
      </c>
    </row>
    <row r="1822" spans="6:6">
      <c r="F1822" t="str">
        <f t="shared" si="29"/>
        <v/>
      </c>
    </row>
    <row r="1823" spans="6:6">
      <c r="F1823" t="str">
        <f t="shared" si="29"/>
        <v/>
      </c>
    </row>
    <row r="1824" spans="6:6">
      <c r="F1824" t="str">
        <f t="shared" si="29"/>
        <v/>
      </c>
    </row>
    <row r="1825" spans="6:6">
      <c r="F1825" t="str">
        <f t="shared" si="29"/>
        <v/>
      </c>
    </row>
    <row r="1826" spans="6:6">
      <c r="F1826" t="str">
        <f t="shared" si="29"/>
        <v/>
      </c>
    </row>
    <row r="1827" spans="6:6">
      <c r="F1827" t="str">
        <f t="shared" si="29"/>
        <v/>
      </c>
    </row>
    <row r="1828" spans="6:6">
      <c r="F1828" t="str">
        <f t="shared" si="29"/>
        <v/>
      </c>
    </row>
    <row r="1829" spans="6:6">
      <c r="F1829" t="str">
        <f t="shared" si="29"/>
        <v/>
      </c>
    </row>
    <row r="1830" spans="6:6">
      <c r="F1830" t="str">
        <f t="shared" si="29"/>
        <v/>
      </c>
    </row>
    <row r="1831" spans="6:6">
      <c r="F1831" t="str">
        <f t="shared" si="29"/>
        <v/>
      </c>
    </row>
    <row r="1832" spans="6:6">
      <c r="F1832" t="str">
        <f t="shared" si="29"/>
        <v/>
      </c>
    </row>
    <row r="1833" spans="6:6">
      <c r="F1833" t="str">
        <f t="shared" si="29"/>
        <v/>
      </c>
    </row>
    <row r="1834" spans="6:6">
      <c r="F1834" t="str">
        <f t="shared" si="29"/>
        <v/>
      </c>
    </row>
    <row r="1835" spans="6:6">
      <c r="F1835" t="str">
        <f t="shared" si="29"/>
        <v/>
      </c>
    </row>
    <row r="1836" spans="6:6">
      <c r="F1836" t="str">
        <f t="shared" si="29"/>
        <v/>
      </c>
    </row>
    <row r="1837" spans="6:6">
      <c r="F1837" t="str">
        <f t="shared" si="29"/>
        <v/>
      </c>
    </row>
    <row r="1838" spans="6:6">
      <c r="F1838" t="str">
        <f t="shared" si="29"/>
        <v/>
      </c>
    </row>
    <row r="1839" spans="6:6">
      <c r="F1839" t="str">
        <f t="shared" si="29"/>
        <v/>
      </c>
    </row>
    <row r="1840" spans="6:6">
      <c r="F1840" t="str">
        <f t="shared" si="29"/>
        <v/>
      </c>
    </row>
    <row r="1841" spans="6:6">
      <c r="F1841" t="str">
        <f t="shared" si="29"/>
        <v/>
      </c>
    </row>
    <row r="1842" spans="6:6">
      <c r="F1842" t="str">
        <f t="shared" si="29"/>
        <v/>
      </c>
    </row>
    <row r="1843" spans="6:6">
      <c r="F1843" t="str">
        <f t="shared" si="29"/>
        <v/>
      </c>
    </row>
    <row r="1844" spans="6:6">
      <c r="F1844" t="str">
        <f t="shared" si="29"/>
        <v/>
      </c>
    </row>
    <row r="1845" spans="6:6">
      <c r="F1845" t="str">
        <f t="shared" si="29"/>
        <v/>
      </c>
    </row>
    <row r="1846" spans="6:6">
      <c r="F1846" t="str">
        <f t="shared" si="29"/>
        <v/>
      </c>
    </row>
    <row r="1847" spans="6:6">
      <c r="F1847" t="str">
        <f t="shared" si="29"/>
        <v/>
      </c>
    </row>
    <row r="1848" spans="6:6">
      <c r="F1848" t="str">
        <f t="shared" si="29"/>
        <v/>
      </c>
    </row>
    <row r="1849" spans="6:6">
      <c r="F1849" t="str">
        <f t="shared" si="29"/>
        <v/>
      </c>
    </row>
    <row r="1850" spans="6:6">
      <c r="F1850" t="str">
        <f t="shared" si="29"/>
        <v/>
      </c>
    </row>
    <row r="1851" spans="6:6">
      <c r="F1851" t="str">
        <f t="shared" si="29"/>
        <v/>
      </c>
    </row>
    <row r="1852" spans="6:6">
      <c r="F1852" t="str">
        <f t="shared" si="29"/>
        <v/>
      </c>
    </row>
    <row r="1853" spans="6:6">
      <c r="F1853" t="str">
        <f t="shared" si="29"/>
        <v/>
      </c>
    </row>
    <row r="1854" spans="6:6">
      <c r="F1854" t="str">
        <f t="shared" si="29"/>
        <v/>
      </c>
    </row>
    <row r="1855" spans="6:6">
      <c r="F1855" t="str">
        <f t="shared" si="29"/>
        <v/>
      </c>
    </row>
    <row r="1856" spans="6:6">
      <c r="F1856" t="str">
        <f t="shared" si="29"/>
        <v/>
      </c>
    </row>
    <row r="1857" spans="6:6">
      <c r="F1857" t="str">
        <f t="shared" si="29"/>
        <v/>
      </c>
    </row>
    <row r="1858" spans="6:6">
      <c r="F1858" t="str">
        <f t="shared" si="29"/>
        <v/>
      </c>
    </row>
    <row r="1859" spans="6:6">
      <c r="F1859" t="str">
        <f t="shared" si="29"/>
        <v/>
      </c>
    </row>
    <row r="1860" spans="6:6">
      <c r="F1860" t="str">
        <f t="shared" si="29"/>
        <v/>
      </c>
    </row>
    <row r="1861" spans="6:6">
      <c r="F1861" t="str">
        <f t="shared" si="29"/>
        <v/>
      </c>
    </row>
    <row r="1862" spans="6:6">
      <c r="F1862" t="str">
        <f t="shared" si="29"/>
        <v/>
      </c>
    </row>
    <row r="1863" spans="6:6">
      <c r="F1863" t="str">
        <f t="shared" si="29"/>
        <v/>
      </c>
    </row>
    <row r="1864" spans="6:6">
      <c r="F1864" t="str">
        <f t="shared" si="29"/>
        <v/>
      </c>
    </row>
    <row r="1865" spans="6:6">
      <c r="F1865" t="str">
        <f t="shared" si="29"/>
        <v/>
      </c>
    </row>
    <row r="1866" spans="6:6">
      <c r="F1866" t="str">
        <f t="shared" si="29"/>
        <v/>
      </c>
    </row>
    <row r="1867" spans="6:6">
      <c r="F1867" t="str">
        <f t="shared" si="29"/>
        <v/>
      </c>
    </row>
    <row r="1868" spans="6:6">
      <c r="F1868" t="str">
        <f t="shared" si="29"/>
        <v/>
      </c>
    </row>
    <row r="1869" spans="6:6">
      <c r="F1869" t="str">
        <f t="shared" ref="F1869:F1932" si="30">RIGHT(D1869,2)</f>
        <v/>
      </c>
    </row>
    <row r="1870" spans="6:6">
      <c r="F1870" t="str">
        <f t="shared" si="30"/>
        <v/>
      </c>
    </row>
    <row r="1871" spans="6:6">
      <c r="F1871" t="str">
        <f t="shared" si="30"/>
        <v/>
      </c>
    </row>
    <row r="1872" spans="6:6">
      <c r="F1872" t="str">
        <f t="shared" si="30"/>
        <v/>
      </c>
    </row>
    <row r="1873" spans="6:6">
      <c r="F1873" t="str">
        <f t="shared" si="30"/>
        <v/>
      </c>
    </row>
    <row r="1874" spans="6:6">
      <c r="F1874" t="str">
        <f t="shared" si="30"/>
        <v/>
      </c>
    </row>
    <row r="1875" spans="6:6">
      <c r="F1875" t="str">
        <f t="shared" si="30"/>
        <v/>
      </c>
    </row>
    <row r="1876" spans="6:6">
      <c r="F1876" t="str">
        <f t="shared" si="30"/>
        <v/>
      </c>
    </row>
    <row r="1877" spans="6:6">
      <c r="F1877" t="str">
        <f t="shared" si="30"/>
        <v/>
      </c>
    </row>
    <row r="1878" spans="6:6">
      <c r="F1878" t="str">
        <f t="shared" si="30"/>
        <v/>
      </c>
    </row>
    <row r="1879" spans="6:6">
      <c r="F1879" t="str">
        <f t="shared" si="30"/>
        <v/>
      </c>
    </row>
    <row r="1880" spans="6:6">
      <c r="F1880" t="str">
        <f t="shared" si="30"/>
        <v/>
      </c>
    </row>
    <row r="1881" spans="6:6">
      <c r="F1881" t="str">
        <f t="shared" si="30"/>
        <v/>
      </c>
    </row>
    <row r="1882" spans="6:6">
      <c r="F1882" t="str">
        <f t="shared" si="30"/>
        <v/>
      </c>
    </row>
    <row r="1883" spans="6:6">
      <c r="F1883" t="str">
        <f t="shared" si="30"/>
        <v/>
      </c>
    </row>
    <row r="1884" spans="6:6">
      <c r="F1884" t="str">
        <f t="shared" si="30"/>
        <v/>
      </c>
    </row>
    <row r="1885" spans="6:6">
      <c r="F1885" t="str">
        <f t="shared" si="30"/>
        <v/>
      </c>
    </row>
    <row r="1886" spans="6:6">
      <c r="F1886" t="str">
        <f t="shared" si="30"/>
        <v/>
      </c>
    </row>
    <row r="1887" spans="6:6">
      <c r="F1887" t="str">
        <f t="shared" si="30"/>
        <v/>
      </c>
    </row>
    <row r="1888" spans="6:6">
      <c r="F1888" t="str">
        <f t="shared" si="30"/>
        <v/>
      </c>
    </row>
    <row r="1889" spans="6:6">
      <c r="F1889" t="str">
        <f t="shared" si="30"/>
        <v/>
      </c>
    </row>
    <row r="1890" spans="6:6">
      <c r="F1890" t="str">
        <f t="shared" si="30"/>
        <v/>
      </c>
    </row>
    <row r="1891" spans="6:6">
      <c r="F1891" t="str">
        <f t="shared" si="30"/>
        <v/>
      </c>
    </row>
    <row r="1892" spans="6:6">
      <c r="F1892" t="str">
        <f t="shared" si="30"/>
        <v/>
      </c>
    </row>
    <row r="1893" spans="6:6">
      <c r="F1893" t="str">
        <f t="shared" si="30"/>
        <v/>
      </c>
    </row>
    <row r="1894" spans="6:6">
      <c r="F1894" t="str">
        <f t="shared" si="30"/>
        <v/>
      </c>
    </row>
    <row r="1895" spans="6:6">
      <c r="F1895" t="str">
        <f t="shared" si="30"/>
        <v/>
      </c>
    </row>
    <row r="1896" spans="6:6">
      <c r="F1896" t="str">
        <f t="shared" si="30"/>
        <v/>
      </c>
    </row>
    <row r="1897" spans="6:6">
      <c r="F1897" t="str">
        <f t="shared" si="30"/>
        <v/>
      </c>
    </row>
    <row r="1898" spans="6:6">
      <c r="F1898" t="str">
        <f t="shared" si="30"/>
        <v/>
      </c>
    </row>
    <row r="1899" spans="6:6">
      <c r="F1899" t="str">
        <f t="shared" si="30"/>
        <v/>
      </c>
    </row>
    <row r="1900" spans="6:6">
      <c r="F1900" t="str">
        <f t="shared" si="30"/>
        <v/>
      </c>
    </row>
    <row r="1901" spans="6:6">
      <c r="F1901" t="str">
        <f t="shared" si="30"/>
        <v/>
      </c>
    </row>
    <row r="1902" spans="6:6">
      <c r="F1902" t="str">
        <f t="shared" si="30"/>
        <v/>
      </c>
    </row>
    <row r="1903" spans="6:6">
      <c r="F1903" t="str">
        <f t="shared" si="30"/>
        <v/>
      </c>
    </row>
    <row r="1904" spans="6:6">
      <c r="F1904" t="str">
        <f t="shared" si="30"/>
        <v/>
      </c>
    </row>
    <row r="1905" spans="6:6">
      <c r="F1905" t="str">
        <f t="shared" si="30"/>
        <v/>
      </c>
    </row>
    <row r="1906" spans="6:6">
      <c r="F1906" t="str">
        <f t="shared" si="30"/>
        <v/>
      </c>
    </row>
    <row r="1907" spans="6:6">
      <c r="F1907" t="str">
        <f t="shared" si="30"/>
        <v/>
      </c>
    </row>
    <row r="1908" spans="6:6">
      <c r="F1908" t="str">
        <f t="shared" si="30"/>
        <v/>
      </c>
    </row>
    <row r="1909" spans="6:6">
      <c r="F1909" t="str">
        <f t="shared" si="30"/>
        <v/>
      </c>
    </row>
    <row r="1910" spans="6:6">
      <c r="F1910" t="str">
        <f t="shared" si="30"/>
        <v/>
      </c>
    </row>
    <row r="1911" spans="6:6">
      <c r="F1911" t="str">
        <f t="shared" si="30"/>
        <v/>
      </c>
    </row>
    <row r="1912" spans="6:6">
      <c r="F1912" t="str">
        <f t="shared" si="30"/>
        <v/>
      </c>
    </row>
    <row r="1913" spans="6:6">
      <c r="F1913" t="str">
        <f t="shared" si="30"/>
        <v/>
      </c>
    </row>
    <row r="1914" spans="6:6">
      <c r="F1914" t="str">
        <f t="shared" si="30"/>
        <v/>
      </c>
    </row>
    <row r="1915" spans="6:6">
      <c r="F1915" t="str">
        <f t="shared" si="30"/>
        <v/>
      </c>
    </row>
    <row r="1916" spans="6:6">
      <c r="F1916" t="str">
        <f t="shared" si="30"/>
        <v/>
      </c>
    </row>
    <row r="1917" spans="6:6">
      <c r="F1917" t="str">
        <f t="shared" si="30"/>
        <v/>
      </c>
    </row>
    <row r="1918" spans="6:6">
      <c r="F1918" t="str">
        <f t="shared" si="30"/>
        <v/>
      </c>
    </row>
    <row r="1919" spans="6:6">
      <c r="F1919" t="str">
        <f t="shared" si="30"/>
        <v/>
      </c>
    </row>
    <row r="1920" spans="6:6">
      <c r="F1920" t="str">
        <f t="shared" si="30"/>
        <v/>
      </c>
    </row>
    <row r="1921" spans="6:6">
      <c r="F1921" t="str">
        <f t="shared" si="30"/>
        <v/>
      </c>
    </row>
    <row r="1922" spans="6:6">
      <c r="F1922" t="str">
        <f t="shared" si="30"/>
        <v/>
      </c>
    </row>
    <row r="1923" spans="6:6">
      <c r="F1923" t="str">
        <f t="shared" si="30"/>
        <v/>
      </c>
    </row>
    <row r="1924" spans="6:6">
      <c r="F1924" t="str">
        <f t="shared" si="30"/>
        <v/>
      </c>
    </row>
    <row r="1925" spans="6:6">
      <c r="F1925" t="str">
        <f t="shared" si="30"/>
        <v/>
      </c>
    </row>
    <row r="1926" spans="6:6">
      <c r="F1926" t="str">
        <f t="shared" si="30"/>
        <v/>
      </c>
    </row>
    <row r="1927" spans="6:6">
      <c r="F1927" t="str">
        <f t="shared" si="30"/>
        <v/>
      </c>
    </row>
    <row r="1928" spans="6:6">
      <c r="F1928" t="str">
        <f t="shared" si="30"/>
        <v/>
      </c>
    </row>
    <row r="1929" spans="6:6">
      <c r="F1929" t="str">
        <f t="shared" si="30"/>
        <v/>
      </c>
    </row>
    <row r="1930" spans="6:6">
      <c r="F1930" t="str">
        <f t="shared" si="30"/>
        <v/>
      </c>
    </row>
    <row r="1931" spans="6:6">
      <c r="F1931" t="str">
        <f t="shared" si="30"/>
        <v/>
      </c>
    </row>
    <row r="1932" spans="6:6">
      <c r="F1932" t="str">
        <f t="shared" si="30"/>
        <v/>
      </c>
    </row>
    <row r="1933" spans="6:6">
      <c r="F1933" t="str">
        <f t="shared" ref="F1933:F1996" si="31">RIGHT(D1933,2)</f>
        <v/>
      </c>
    </row>
    <row r="1934" spans="6:6">
      <c r="F1934" t="str">
        <f t="shared" si="31"/>
        <v/>
      </c>
    </row>
    <row r="1935" spans="6:6">
      <c r="F1935" t="str">
        <f t="shared" si="31"/>
        <v/>
      </c>
    </row>
    <row r="1936" spans="6:6">
      <c r="F1936" t="str">
        <f t="shared" si="31"/>
        <v/>
      </c>
    </row>
    <row r="1937" spans="6:6">
      <c r="F1937" t="str">
        <f t="shared" si="31"/>
        <v/>
      </c>
    </row>
    <row r="1938" spans="6:6">
      <c r="F1938" t="str">
        <f t="shared" si="31"/>
        <v/>
      </c>
    </row>
    <row r="1939" spans="6:6">
      <c r="F1939" t="str">
        <f t="shared" si="31"/>
        <v/>
      </c>
    </row>
    <row r="1940" spans="6:6">
      <c r="F1940" t="str">
        <f t="shared" si="31"/>
        <v/>
      </c>
    </row>
    <row r="1941" spans="6:6">
      <c r="F1941" t="str">
        <f t="shared" si="31"/>
        <v/>
      </c>
    </row>
    <row r="1942" spans="6:6">
      <c r="F1942" t="str">
        <f t="shared" si="31"/>
        <v/>
      </c>
    </row>
    <row r="1943" spans="6:6">
      <c r="F1943" t="str">
        <f t="shared" si="31"/>
        <v/>
      </c>
    </row>
    <row r="1944" spans="6:6">
      <c r="F1944" t="str">
        <f t="shared" si="31"/>
        <v/>
      </c>
    </row>
    <row r="1945" spans="6:6">
      <c r="F1945" t="str">
        <f t="shared" si="31"/>
        <v/>
      </c>
    </row>
    <row r="1946" spans="6:6">
      <c r="F1946" t="str">
        <f t="shared" si="31"/>
        <v/>
      </c>
    </row>
    <row r="1947" spans="6:6">
      <c r="F1947" t="str">
        <f t="shared" si="31"/>
        <v/>
      </c>
    </row>
    <row r="1948" spans="6:6">
      <c r="F1948" t="str">
        <f t="shared" si="31"/>
        <v/>
      </c>
    </row>
    <row r="1949" spans="6:6">
      <c r="F1949" t="str">
        <f t="shared" si="31"/>
        <v/>
      </c>
    </row>
    <row r="1950" spans="6:6">
      <c r="F1950" t="str">
        <f t="shared" si="31"/>
        <v/>
      </c>
    </row>
    <row r="1951" spans="6:6">
      <c r="F1951" t="str">
        <f t="shared" si="31"/>
        <v/>
      </c>
    </row>
    <row r="1952" spans="6:6">
      <c r="F1952" t="str">
        <f t="shared" si="31"/>
        <v/>
      </c>
    </row>
    <row r="1953" spans="6:6">
      <c r="F1953" t="str">
        <f t="shared" si="31"/>
        <v/>
      </c>
    </row>
    <row r="1954" spans="6:6">
      <c r="F1954" t="str">
        <f t="shared" si="31"/>
        <v/>
      </c>
    </row>
    <row r="1955" spans="6:6">
      <c r="F1955" t="str">
        <f t="shared" si="31"/>
        <v/>
      </c>
    </row>
    <row r="1956" spans="6:6">
      <c r="F1956" t="str">
        <f t="shared" si="31"/>
        <v/>
      </c>
    </row>
    <row r="1957" spans="6:6">
      <c r="F1957" t="str">
        <f t="shared" si="31"/>
        <v/>
      </c>
    </row>
    <row r="1958" spans="6:6">
      <c r="F1958" t="str">
        <f t="shared" si="31"/>
        <v/>
      </c>
    </row>
    <row r="1959" spans="6:6">
      <c r="F1959" t="str">
        <f t="shared" si="31"/>
        <v/>
      </c>
    </row>
    <row r="1960" spans="6:6">
      <c r="F1960" t="str">
        <f t="shared" si="31"/>
        <v/>
      </c>
    </row>
    <row r="1961" spans="6:6">
      <c r="F1961" t="str">
        <f t="shared" si="31"/>
        <v/>
      </c>
    </row>
    <row r="1962" spans="6:6">
      <c r="F1962" t="str">
        <f t="shared" si="31"/>
        <v/>
      </c>
    </row>
    <row r="1963" spans="6:6">
      <c r="F1963" t="str">
        <f t="shared" si="31"/>
        <v/>
      </c>
    </row>
    <row r="1964" spans="6:6">
      <c r="F1964" t="str">
        <f t="shared" si="31"/>
        <v/>
      </c>
    </row>
    <row r="1965" spans="6:6">
      <c r="F1965" t="str">
        <f t="shared" si="31"/>
        <v/>
      </c>
    </row>
    <row r="1966" spans="6:6">
      <c r="F1966" t="str">
        <f t="shared" si="31"/>
        <v/>
      </c>
    </row>
    <row r="1967" spans="6:6">
      <c r="F1967" t="str">
        <f t="shared" si="31"/>
        <v/>
      </c>
    </row>
    <row r="1968" spans="6:6">
      <c r="F1968" t="str">
        <f t="shared" si="31"/>
        <v/>
      </c>
    </row>
    <row r="1969" spans="6:6">
      <c r="F1969" t="str">
        <f t="shared" si="31"/>
        <v/>
      </c>
    </row>
    <row r="1970" spans="6:6">
      <c r="F1970" t="str">
        <f t="shared" si="31"/>
        <v/>
      </c>
    </row>
    <row r="1971" spans="6:6">
      <c r="F1971" t="str">
        <f t="shared" si="31"/>
        <v/>
      </c>
    </row>
    <row r="1972" spans="6:6">
      <c r="F1972" t="str">
        <f t="shared" si="31"/>
        <v/>
      </c>
    </row>
    <row r="1973" spans="6:6">
      <c r="F1973" t="str">
        <f t="shared" si="31"/>
        <v/>
      </c>
    </row>
    <row r="1974" spans="6:6">
      <c r="F1974" t="str">
        <f t="shared" si="31"/>
        <v/>
      </c>
    </row>
    <row r="1975" spans="6:6">
      <c r="F1975" t="str">
        <f t="shared" si="31"/>
        <v/>
      </c>
    </row>
    <row r="1976" spans="6:6">
      <c r="F1976" t="str">
        <f t="shared" si="31"/>
        <v/>
      </c>
    </row>
    <row r="1977" spans="6:6">
      <c r="F1977" t="str">
        <f t="shared" si="31"/>
        <v/>
      </c>
    </row>
    <row r="1978" spans="6:6">
      <c r="F1978" t="str">
        <f t="shared" si="31"/>
        <v/>
      </c>
    </row>
    <row r="1979" spans="6:6">
      <c r="F1979" t="str">
        <f t="shared" si="31"/>
        <v/>
      </c>
    </row>
    <row r="1980" spans="6:6">
      <c r="F1980" t="str">
        <f t="shared" si="31"/>
        <v/>
      </c>
    </row>
    <row r="1981" spans="6:6">
      <c r="F1981" t="str">
        <f t="shared" si="31"/>
        <v/>
      </c>
    </row>
    <row r="1982" spans="6:6">
      <c r="F1982" t="str">
        <f t="shared" si="31"/>
        <v/>
      </c>
    </row>
    <row r="1983" spans="6:6">
      <c r="F1983" t="str">
        <f t="shared" si="31"/>
        <v/>
      </c>
    </row>
    <row r="1984" spans="6:6">
      <c r="F1984" t="str">
        <f t="shared" si="31"/>
        <v/>
      </c>
    </row>
    <row r="1985" spans="6:6">
      <c r="F1985" t="str">
        <f t="shared" si="31"/>
        <v/>
      </c>
    </row>
    <row r="1986" spans="6:6">
      <c r="F1986" t="str">
        <f t="shared" si="31"/>
        <v/>
      </c>
    </row>
    <row r="1987" spans="6:6">
      <c r="F1987" t="str">
        <f t="shared" si="31"/>
        <v/>
      </c>
    </row>
    <row r="1988" spans="6:6">
      <c r="F1988" t="str">
        <f t="shared" si="31"/>
        <v/>
      </c>
    </row>
    <row r="1989" spans="6:6">
      <c r="F1989" t="str">
        <f t="shared" si="31"/>
        <v/>
      </c>
    </row>
    <row r="1990" spans="6:6">
      <c r="F1990" t="str">
        <f t="shared" si="31"/>
        <v/>
      </c>
    </row>
    <row r="1991" spans="6:6">
      <c r="F1991" t="str">
        <f t="shared" si="31"/>
        <v/>
      </c>
    </row>
    <row r="1992" spans="6:6">
      <c r="F1992" t="str">
        <f t="shared" si="31"/>
        <v/>
      </c>
    </row>
    <row r="1993" spans="6:6">
      <c r="F1993" t="str">
        <f t="shared" si="31"/>
        <v/>
      </c>
    </row>
    <row r="1994" spans="6:6">
      <c r="F1994" t="str">
        <f t="shared" si="31"/>
        <v/>
      </c>
    </row>
    <row r="1995" spans="6:6">
      <c r="F1995" t="str">
        <f t="shared" si="31"/>
        <v/>
      </c>
    </row>
    <row r="1996" spans="6:6">
      <c r="F1996" t="str">
        <f t="shared" si="31"/>
        <v/>
      </c>
    </row>
    <row r="1997" spans="6:6">
      <c r="F1997" t="str">
        <f t="shared" ref="F1997:F2060" si="32">RIGHT(D1997,2)</f>
        <v/>
      </c>
    </row>
    <row r="1998" spans="6:6">
      <c r="F1998" t="str">
        <f t="shared" si="32"/>
        <v/>
      </c>
    </row>
    <row r="1999" spans="6:6">
      <c r="F1999" t="str">
        <f t="shared" si="32"/>
        <v/>
      </c>
    </row>
    <row r="2000" spans="6:6">
      <c r="F2000" t="str">
        <f t="shared" si="32"/>
        <v/>
      </c>
    </row>
    <row r="2001" spans="6:6">
      <c r="F2001" t="str">
        <f t="shared" si="32"/>
        <v/>
      </c>
    </row>
    <row r="2002" spans="6:6">
      <c r="F2002" t="str">
        <f t="shared" si="32"/>
        <v/>
      </c>
    </row>
    <row r="2003" spans="6:6">
      <c r="F2003" t="str">
        <f t="shared" si="32"/>
        <v/>
      </c>
    </row>
    <row r="2004" spans="6:6">
      <c r="F2004" t="str">
        <f t="shared" si="32"/>
        <v/>
      </c>
    </row>
    <row r="2005" spans="6:6">
      <c r="F2005" t="str">
        <f t="shared" si="32"/>
        <v/>
      </c>
    </row>
    <row r="2006" spans="6:6">
      <c r="F2006" t="str">
        <f t="shared" si="32"/>
        <v/>
      </c>
    </row>
    <row r="2007" spans="6:6">
      <c r="F2007" t="str">
        <f t="shared" si="32"/>
        <v/>
      </c>
    </row>
    <row r="2008" spans="6:6">
      <c r="F2008" t="str">
        <f t="shared" si="32"/>
        <v/>
      </c>
    </row>
    <row r="2009" spans="6:6">
      <c r="F2009" t="str">
        <f t="shared" si="32"/>
        <v/>
      </c>
    </row>
    <row r="2010" spans="6:6">
      <c r="F2010" t="str">
        <f t="shared" si="32"/>
        <v/>
      </c>
    </row>
    <row r="2011" spans="6:6">
      <c r="F2011" t="str">
        <f t="shared" si="32"/>
        <v/>
      </c>
    </row>
    <row r="2012" spans="6:6">
      <c r="F2012" t="str">
        <f t="shared" si="32"/>
        <v/>
      </c>
    </row>
    <row r="2013" spans="6:6">
      <c r="F2013" t="str">
        <f t="shared" si="32"/>
        <v/>
      </c>
    </row>
    <row r="2014" spans="6:6">
      <c r="F2014" t="str">
        <f t="shared" si="32"/>
        <v/>
      </c>
    </row>
    <row r="2015" spans="6:6">
      <c r="F2015" t="str">
        <f t="shared" si="32"/>
        <v/>
      </c>
    </row>
    <row r="2016" spans="6:6">
      <c r="F2016" t="str">
        <f t="shared" si="32"/>
        <v/>
      </c>
    </row>
    <row r="2017" spans="6:6">
      <c r="F2017" t="str">
        <f t="shared" si="32"/>
        <v/>
      </c>
    </row>
    <row r="2018" spans="6:6">
      <c r="F2018" t="str">
        <f t="shared" si="32"/>
        <v/>
      </c>
    </row>
    <row r="2019" spans="6:6">
      <c r="F2019" t="str">
        <f t="shared" si="32"/>
        <v/>
      </c>
    </row>
    <row r="2020" spans="6:6">
      <c r="F2020" t="str">
        <f t="shared" si="32"/>
        <v/>
      </c>
    </row>
    <row r="2021" spans="6:6">
      <c r="F2021" t="str">
        <f t="shared" si="32"/>
        <v/>
      </c>
    </row>
    <row r="2022" spans="6:6">
      <c r="F2022" t="str">
        <f t="shared" si="32"/>
        <v/>
      </c>
    </row>
    <row r="2023" spans="6:6">
      <c r="F2023" t="str">
        <f t="shared" si="32"/>
        <v/>
      </c>
    </row>
    <row r="2024" spans="6:6">
      <c r="F2024" t="str">
        <f t="shared" si="32"/>
        <v/>
      </c>
    </row>
    <row r="2025" spans="6:6">
      <c r="F2025" t="str">
        <f t="shared" si="32"/>
        <v/>
      </c>
    </row>
    <row r="2026" spans="6:6">
      <c r="F2026" t="str">
        <f t="shared" si="32"/>
        <v/>
      </c>
    </row>
    <row r="2027" spans="6:6">
      <c r="F2027" t="str">
        <f t="shared" si="32"/>
        <v/>
      </c>
    </row>
    <row r="2028" spans="6:6">
      <c r="F2028" t="str">
        <f t="shared" si="32"/>
        <v/>
      </c>
    </row>
    <row r="2029" spans="6:6">
      <c r="F2029" t="str">
        <f t="shared" si="32"/>
        <v/>
      </c>
    </row>
    <row r="2030" spans="6:6">
      <c r="F2030" t="str">
        <f t="shared" si="32"/>
        <v/>
      </c>
    </row>
    <row r="2031" spans="6:6">
      <c r="F2031" t="str">
        <f t="shared" si="32"/>
        <v/>
      </c>
    </row>
    <row r="2032" spans="6:6">
      <c r="F2032" t="str">
        <f t="shared" si="32"/>
        <v/>
      </c>
    </row>
    <row r="2033" spans="6:6">
      <c r="F2033" t="str">
        <f t="shared" si="32"/>
        <v/>
      </c>
    </row>
    <row r="2034" spans="6:6">
      <c r="F2034" t="str">
        <f t="shared" si="32"/>
        <v/>
      </c>
    </row>
    <row r="2035" spans="6:6">
      <c r="F2035" t="str">
        <f t="shared" si="32"/>
        <v/>
      </c>
    </row>
    <row r="2036" spans="6:6">
      <c r="F2036" t="str">
        <f t="shared" si="32"/>
        <v/>
      </c>
    </row>
    <row r="2037" spans="6:6">
      <c r="F2037" t="str">
        <f t="shared" si="32"/>
        <v/>
      </c>
    </row>
    <row r="2038" spans="6:6">
      <c r="F2038" t="str">
        <f t="shared" si="32"/>
        <v/>
      </c>
    </row>
    <row r="2039" spans="6:6">
      <c r="F2039" t="str">
        <f t="shared" si="32"/>
        <v/>
      </c>
    </row>
    <row r="2040" spans="6:6">
      <c r="F2040" t="str">
        <f t="shared" si="32"/>
        <v/>
      </c>
    </row>
    <row r="2041" spans="6:6">
      <c r="F2041" t="str">
        <f t="shared" si="32"/>
        <v/>
      </c>
    </row>
    <row r="2042" spans="6:6">
      <c r="F2042" t="str">
        <f t="shared" si="32"/>
        <v/>
      </c>
    </row>
    <row r="2043" spans="6:6">
      <c r="F2043" t="str">
        <f t="shared" si="32"/>
        <v/>
      </c>
    </row>
    <row r="2044" spans="6:6">
      <c r="F2044" t="str">
        <f t="shared" si="32"/>
        <v/>
      </c>
    </row>
    <row r="2045" spans="6:6">
      <c r="F2045" t="str">
        <f t="shared" si="32"/>
        <v/>
      </c>
    </row>
    <row r="2046" spans="6:6">
      <c r="F2046" t="str">
        <f t="shared" si="32"/>
        <v/>
      </c>
    </row>
    <row r="2047" spans="6:6">
      <c r="F2047" t="str">
        <f t="shared" si="32"/>
        <v/>
      </c>
    </row>
    <row r="2048" spans="6:6">
      <c r="F2048" t="str">
        <f t="shared" si="32"/>
        <v/>
      </c>
    </row>
    <row r="2049" spans="6:6">
      <c r="F2049" t="str">
        <f t="shared" si="32"/>
        <v/>
      </c>
    </row>
    <row r="2050" spans="6:6">
      <c r="F2050" t="str">
        <f t="shared" si="32"/>
        <v/>
      </c>
    </row>
    <row r="2051" spans="6:6">
      <c r="F2051" t="str">
        <f t="shared" si="32"/>
        <v/>
      </c>
    </row>
    <row r="2052" spans="6:6">
      <c r="F2052" t="str">
        <f t="shared" si="32"/>
        <v/>
      </c>
    </row>
    <row r="2053" spans="6:6">
      <c r="F2053" t="str">
        <f t="shared" si="32"/>
        <v/>
      </c>
    </row>
    <row r="2054" spans="6:6">
      <c r="F2054" t="str">
        <f t="shared" si="32"/>
        <v/>
      </c>
    </row>
    <row r="2055" spans="6:6">
      <c r="F2055" t="str">
        <f t="shared" si="32"/>
        <v/>
      </c>
    </row>
    <row r="2056" spans="6:6">
      <c r="F2056" t="str">
        <f t="shared" si="32"/>
        <v/>
      </c>
    </row>
    <row r="2057" spans="6:6">
      <c r="F2057" t="str">
        <f t="shared" si="32"/>
        <v/>
      </c>
    </row>
    <row r="2058" spans="6:6">
      <c r="F2058" t="str">
        <f t="shared" si="32"/>
        <v/>
      </c>
    </row>
    <row r="2059" spans="6:6">
      <c r="F2059" t="str">
        <f t="shared" si="32"/>
        <v/>
      </c>
    </row>
    <row r="2060" spans="6:6">
      <c r="F2060" t="str">
        <f t="shared" si="32"/>
        <v/>
      </c>
    </row>
    <row r="2061" spans="6:6">
      <c r="F2061" t="str">
        <f t="shared" ref="F2061:F2124" si="33">RIGHT(D2061,2)</f>
        <v/>
      </c>
    </row>
    <row r="2062" spans="6:6">
      <c r="F2062" t="str">
        <f t="shared" si="33"/>
        <v/>
      </c>
    </row>
    <row r="2063" spans="6:6">
      <c r="F2063" t="str">
        <f t="shared" si="33"/>
        <v/>
      </c>
    </row>
    <row r="2064" spans="6:6">
      <c r="F2064" t="str">
        <f t="shared" si="33"/>
        <v/>
      </c>
    </row>
    <row r="2065" spans="6:6">
      <c r="F2065" t="str">
        <f t="shared" si="33"/>
        <v/>
      </c>
    </row>
    <row r="2066" spans="6:6">
      <c r="F2066" t="str">
        <f t="shared" si="33"/>
        <v/>
      </c>
    </row>
    <row r="2067" spans="6:6">
      <c r="F2067" t="str">
        <f t="shared" si="33"/>
        <v/>
      </c>
    </row>
    <row r="2068" spans="6:6">
      <c r="F2068" t="str">
        <f t="shared" si="33"/>
        <v/>
      </c>
    </row>
    <row r="2069" spans="6:6">
      <c r="F2069" t="str">
        <f t="shared" si="33"/>
        <v/>
      </c>
    </row>
    <row r="2070" spans="6:6">
      <c r="F2070" t="str">
        <f t="shared" si="33"/>
        <v/>
      </c>
    </row>
    <row r="2071" spans="6:6">
      <c r="F2071" t="str">
        <f t="shared" si="33"/>
        <v/>
      </c>
    </row>
    <row r="2072" spans="6:6">
      <c r="F2072" t="str">
        <f t="shared" si="33"/>
        <v/>
      </c>
    </row>
    <row r="2073" spans="6:6">
      <c r="F2073" t="str">
        <f t="shared" si="33"/>
        <v/>
      </c>
    </row>
    <row r="2074" spans="6:6">
      <c r="F2074" t="str">
        <f t="shared" si="33"/>
        <v/>
      </c>
    </row>
    <row r="2075" spans="6:6">
      <c r="F2075" t="str">
        <f t="shared" si="33"/>
        <v/>
      </c>
    </row>
    <row r="2076" spans="6:6">
      <c r="F2076" t="str">
        <f t="shared" si="33"/>
        <v/>
      </c>
    </row>
    <row r="2077" spans="6:6">
      <c r="F2077" t="str">
        <f t="shared" si="33"/>
        <v/>
      </c>
    </row>
    <row r="2078" spans="6:6">
      <c r="F2078" t="str">
        <f t="shared" si="33"/>
        <v/>
      </c>
    </row>
    <row r="2079" spans="6:6">
      <c r="F2079" t="str">
        <f t="shared" si="33"/>
        <v/>
      </c>
    </row>
    <row r="2080" spans="6:6">
      <c r="F2080" t="str">
        <f t="shared" si="33"/>
        <v/>
      </c>
    </row>
    <row r="2081" spans="6:6">
      <c r="F2081" t="str">
        <f t="shared" si="33"/>
        <v/>
      </c>
    </row>
    <row r="2082" spans="6:6">
      <c r="F2082" t="str">
        <f t="shared" si="33"/>
        <v/>
      </c>
    </row>
    <row r="2083" spans="6:6">
      <c r="F2083" t="str">
        <f t="shared" si="33"/>
        <v/>
      </c>
    </row>
    <row r="2084" spans="6:6">
      <c r="F2084" t="str">
        <f t="shared" si="33"/>
        <v/>
      </c>
    </row>
    <row r="2085" spans="6:6">
      <c r="F2085" t="str">
        <f t="shared" si="33"/>
        <v/>
      </c>
    </row>
    <row r="2086" spans="6:6">
      <c r="F2086" t="str">
        <f t="shared" si="33"/>
        <v/>
      </c>
    </row>
    <row r="2087" spans="6:6">
      <c r="F2087" t="str">
        <f t="shared" si="33"/>
        <v/>
      </c>
    </row>
    <row r="2088" spans="6:6">
      <c r="F2088" t="str">
        <f t="shared" si="33"/>
        <v/>
      </c>
    </row>
    <row r="2089" spans="6:6">
      <c r="F2089" t="str">
        <f t="shared" si="33"/>
        <v/>
      </c>
    </row>
    <row r="2090" spans="6:6">
      <c r="F2090" t="str">
        <f t="shared" si="33"/>
        <v/>
      </c>
    </row>
    <row r="2091" spans="6:6">
      <c r="F2091" t="str">
        <f t="shared" si="33"/>
        <v/>
      </c>
    </row>
    <row r="2092" spans="6:6">
      <c r="F2092" t="str">
        <f t="shared" si="33"/>
        <v/>
      </c>
    </row>
    <row r="2093" spans="6:6">
      <c r="F2093" t="str">
        <f t="shared" si="33"/>
        <v/>
      </c>
    </row>
    <row r="2094" spans="6:6">
      <c r="F2094" t="str">
        <f t="shared" si="33"/>
        <v/>
      </c>
    </row>
    <row r="2095" spans="6:6">
      <c r="F2095" t="str">
        <f t="shared" si="33"/>
        <v/>
      </c>
    </row>
    <row r="2096" spans="6:6">
      <c r="F2096" t="str">
        <f t="shared" si="33"/>
        <v/>
      </c>
    </row>
    <row r="2097" spans="6:6">
      <c r="F2097" t="str">
        <f t="shared" si="33"/>
        <v/>
      </c>
    </row>
    <row r="2098" spans="6:6">
      <c r="F2098" t="str">
        <f t="shared" si="33"/>
        <v/>
      </c>
    </row>
    <row r="2099" spans="6:6">
      <c r="F2099" t="str">
        <f t="shared" si="33"/>
        <v/>
      </c>
    </row>
    <row r="2100" spans="6:6">
      <c r="F2100" t="str">
        <f t="shared" si="33"/>
        <v/>
      </c>
    </row>
    <row r="2101" spans="6:6">
      <c r="F2101" t="str">
        <f t="shared" si="33"/>
        <v/>
      </c>
    </row>
    <row r="2102" spans="6:6">
      <c r="F2102" t="str">
        <f t="shared" si="33"/>
        <v/>
      </c>
    </row>
    <row r="2103" spans="6:6">
      <c r="F2103" t="str">
        <f t="shared" si="33"/>
        <v/>
      </c>
    </row>
    <row r="2104" spans="6:6">
      <c r="F2104" t="str">
        <f t="shared" si="33"/>
        <v/>
      </c>
    </row>
    <row r="2105" spans="6:6">
      <c r="F2105" t="str">
        <f t="shared" si="33"/>
        <v/>
      </c>
    </row>
    <row r="2106" spans="6:6">
      <c r="F2106" t="str">
        <f t="shared" si="33"/>
        <v/>
      </c>
    </row>
    <row r="2107" spans="6:6">
      <c r="F2107" t="str">
        <f t="shared" si="33"/>
        <v/>
      </c>
    </row>
    <row r="2108" spans="6:6">
      <c r="F2108" t="str">
        <f t="shared" si="33"/>
        <v/>
      </c>
    </row>
    <row r="2109" spans="6:6">
      <c r="F2109" t="str">
        <f t="shared" si="33"/>
        <v/>
      </c>
    </row>
    <row r="2110" spans="6:6">
      <c r="F2110" t="str">
        <f t="shared" si="33"/>
        <v/>
      </c>
    </row>
    <row r="2111" spans="6:6">
      <c r="F2111" t="str">
        <f t="shared" si="33"/>
        <v/>
      </c>
    </row>
    <row r="2112" spans="6:6">
      <c r="F2112" t="str">
        <f t="shared" si="33"/>
        <v/>
      </c>
    </row>
    <row r="2113" spans="6:6">
      <c r="F2113" t="str">
        <f t="shared" si="33"/>
        <v/>
      </c>
    </row>
    <row r="2114" spans="6:6">
      <c r="F2114" t="str">
        <f t="shared" si="33"/>
        <v/>
      </c>
    </row>
    <row r="2115" spans="6:6">
      <c r="F2115" t="str">
        <f t="shared" si="33"/>
        <v/>
      </c>
    </row>
    <row r="2116" spans="6:6">
      <c r="F2116" t="str">
        <f t="shared" si="33"/>
        <v/>
      </c>
    </row>
    <row r="2117" spans="6:6">
      <c r="F2117" t="str">
        <f t="shared" si="33"/>
        <v/>
      </c>
    </row>
    <row r="2118" spans="6:6">
      <c r="F2118" t="str">
        <f t="shared" si="33"/>
        <v/>
      </c>
    </row>
    <row r="2119" spans="6:6">
      <c r="F2119" t="str">
        <f t="shared" si="33"/>
        <v/>
      </c>
    </row>
    <row r="2120" spans="6:6">
      <c r="F2120" t="str">
        <f t="shared" si="33"/>
        <v/>
      </c>
    </row>
    <row r="2121" spans="6:6">
      <c r="F2121" t="str">
        <f t="shared" si="33"/>
        <v/>
      </c>
    </row>
    <row r="2122" spans="6:6">
      <c r="F2122" t="str">
        <f t="shared" si="33"/>
        <v/>
      </c>
    </row>
    <row r="2123" spans="6:6">
      <c r="F2123" t="str">
        <f t="shared" si="33"/>
        <v/>
      </c>
    </row>
    <row r="2124" spans="6:6">
      <c r="F2124" t="str">
        <f t="shared" si="33"/>
        <v/>
      </c>
    </row>
    <row r="2125" spans="6:6">
      <c r="F2125" t="str">
        <f t="shared" ref="F2125:F2188" si="34">RIGHT(D2125,2)</f>
        <v/>
      </c>
    </row>
    <row r="2126" spans="6:6">
      <c r="F2126" t="str">
        <f t="shared" si="34"/>
        <v/>
      </c>
    </row>
    <row r="2127" spans="6:6">
      <c r="F2127" t="str">
        <f t="shared" si="34"/>
        <v/>
      </c>
    </row>
    <row r="2128" spans="6:6">
      <c r="F2128" t="str">
        <f t="shared" si="34"/>
        <v/>
      </c>
    </row>
    <row r="2129" spans="6:6">
      <c r="F2129" t="str">
        <f t="shared" si="34"/>
        <v/>
      </c>
    </row>
    <row r="2130" spans="6:6">
      <c r="F2130" t="str">
        <f t="shared" si="34"/>
        <v/>
      </c>
    </row>
    <row r="2131" spans="6:6">
      <c r="F2131" t="str">
        <f t="shared" si="34"/>
        <v/>
      </c>
    </row>
    <row r="2132" spans="6:6">
      <c r="F2132" t="str">
        <f t="shared" si="34"/>
        <v/>
      </c>
    </row>
    <row r="2133" spans="6:6">
      <c r="F2133" t="str">
        <f t="shared" si="34"/>
        <v/>
      </c>
    </row>
    <row r="2134" spans="6:6">
      <c r="F2134" t="str">
        <f t="shared" si="34"/>
        <v/>
      </c>
    </row>
    <row r="2135" spans="6:6">
      <c r="F2135" t="str">
        <f t="shared" si="34"/>
        <v/>
      </c>
    </row>
    <row r="2136" spans="6:6">
      <c r="F2136" t="str">
        <f t="shared" si="34"/>
        <v/>
      </c>
    </row>
    <row r="2137" spans="6:6">
      <c r="F2137" t="str">
        <f t="shared" si="34"/>
        <v/>
      </c>
    </row>
    <row r="2138" spans="6:6">
      <c r="F2138" t="str">
        <f t="shared" si="34"/>
        <v/>
      </c>
    </row>
    <row r="2139" spans="6:6">
      <c r="F2139" t="str">
        <f t="shared" si="34"/>
        <v/>
      </c>
    </row>
    <row r="2140" spans="6:6">
      <c r="F2140" t="str">
        <f t="shared" si="34"/>
        <v/>
      </c>
    </row>
    <row r="2141" spans="6:6">
      <c r="F2141" t="str">
        <f t="shared" si="34"/>
        <v/>
      </c>
    </row>
    <row r="2142" spans="6:6">
      <c r="F2142" t="str">
        <f t="shared" si="34"/>
        <v/>
      </c>
    </row>
    <row r="2143" spans="6:6">
      <c r="F2143" t="str">
        <f t="shared" si="34"/>
        <v/>
      </c>
    </row>
    <row r="2144" spans="6:6">
      <c r="F2144" t="str">
        <f t="shared" si="34"/>
        <v/>
      </c>
    </row>
    <row r="2145" spans="6:6">
      <c r="F2145" t="str">
        <f t="shared" si="34"/>
        <v/>
      </c>
    </row>
    <row r="2146" spans="6:6">
      <c r="F2146" t="str">
        <f t="shared" si="34"/>
        <v/>
      </c>
    </row>
    <row r="2147" spans="6:6">
      <c r="F2147" t="str">
        <f t="shared" si="34"/>
        <v/>
      </c>
    </row>
    <row r="2148" spans="6:6">
      <c r="F2148" t="str">
        <f t="shared" si="34"/>
        <v/>
      </c>
    </row>
    <row r="2149" spans="6:6">
      <c r="F2149" t="str">
        <f t="shared" si="34"/>
        <v/>
      </c>
    </row>
    <row r="2150" spans="6:6">
      <c r="F2150" t="str">
        <f t="shared" si="34"/>
        <v/>
      </c>
    </row>
    <row r="2151" spans="6:6">
      <c r="F2151" t="str">
        <f t="shared" si="34"/>
        <v/>
      </c>
    </row>
    <row r="2152" spans="6:6">
      <c r="F2152" t="str">
        <f t="shared" si="34"/>
        <v/>
      </c>
    </row>
    <row r="2153" spans="6:6">
      <c r="F2153" t="str">
        <f t="shared" si="34"/>
        <v/>
      </c>
    </row>
    <row r="2154" spans="6:6">
      <c r="F2154" t="str">
        <f t="shared" si="34"/>
        <v/>
      </c>
    </row>
    <row r="2155" spans="6:6">
      <c r="F2155" t="str">
        <f t="shared" si="34"/>
        <v/>
      </c>
    </row>
    <row r="2156" spans="6:6">
      <c r="F2156" t="str">
        <f t="shared" si="34"/>
        <v/>
      </c>
    </row>
    <row r="2157" spans="6:6">
      <c r="F2157" t="str">
        <f t="shared" si="34"/>
        <v/>
      </c>
    </row>
    <row r="2158" spans="6:6">
      <c r="F2158" t="str">
        <f t="shared" si="34"/>
        <v/>
      </c>
    </row>
    <row r="2159" spans="6:6">
      <c r="F2159" t="str">
        <f t="shared" si="34"/>
        <v/>
      </c>
    </row>
    <row r="2160" spans="6:6">
      <c r="F2160" t="str">
        <f t="shared" si="34"/>
        <v/>
      </c>
    </row>
    <row r="2161" spans="6:6">
      <c r="F2161" t="str">
        <f t="shared" si="34"/>
        <v/>
      </c>
    </row>
    <row r="2162" spans="6:6">
      <c r="F2162" t="str">
        <f t="shared" si="34"/>
        <v/>
      </c>
    </row>
    <row r="2163" spans="6:6">
      <c r="F2163" t="str">
        <f t="shared" si="34"/>
        <v/>
      </c>
    </row>
    <row r="2164" spans="6:6">
      <c r="F2164" t="str">
        <f t="shared" si="34"/>
        <v/>
      </c>
    </row>
    <row r="2165" spans="6:6">
      <c r="F2165" t="str">
        <f t="shared" si="34"/>
        <v/>
      </c>
    </row>
    <row r="2166" spans="6:6">
      <c r="F2166" t="str">
        <f t="shared" si="34"/>
        <v/>
      </c>
    </row>
    <row r="2167" spans="6:6">
      <c r="F2167" t="str">
        <f t="shared" si="34"/>
        <v/>
      </c>
    </row>
    <row r="2168" spans="6:6">
      <c r="F2168" t="str">
        <f t="shared" si="34"/>
        <v/>
      </c>
    </row>
    <row r="2169" spans="6:6">
      <c r="F2169" t="str">
        <f t="shared" si="34"/>
        <v/>
      </c>
    </row>
    <row r="2170" spans="6:6">
      <c r="F2170" t="str">
        <f t="shared" si="34"/>
        <v/>
      </c>
    </row>
    <row r="2171" spans="6:6">
      <c r="F2171" t="str">
        <f t="shared" si="34"/>
        <v/>
      </c>
    </row>
    <row r="2172" spans="6:6">
      <c r="F2172" t="str">
        <f t="shared" si="34"/>
        <v/>
      </c>
    </row>
    <row r="2173" spans="6:6">
      <c r="F2173" t="str">
        <f t="shared" si="34"/>
        <v/>
      </c>
    </row>
    <row r="2174" spans="6:6">
      <c r="F2174" t="str">
        <f t="shared" si="34"/>
        <v/>
      </c>
    </row>
    <row r="2175" spans="6:6">
      <c r="F2175" t="str">
        <f t="shared" si="34"/>
        <v/>
      </c>
    </row>
    <row r="2176" spans="6:6">
      <c r="F2176" t="str">
        <f t="shared" si="34"/>
        <v/>
      </c>
    </row>
    <row r="2177" spans="6:6">
      <c r="F2177" t="str">
        <f t="shared" si="34"/>
        <v/>
      </c>
    </row>
    <row r="2178" spans="6:6">
      <c r="F2178" t="str">
        <f t="shared" si="34"/>
        <v/>
      </c>
    </row>
    <row r="2179" spans="6:6">
      <c r="F2179" t="str">
        <f t="shared" si="34"/>
        <v/>
      </c>
    </row>
    <row r="2180" spans="6:6">
      <c r="F2180" t="str">
        <f t="shared" si="34"/>
        <v/>
      </c>
    </row>
    <row r="2181" spans="6:6">
      <c r="F2181" t="str">
        <f t="shared" si="34"/>
        <v/>
      </c>
    </row>
    <row r="2182" spans="6:6">
      <c r="F2182" t="str">
        <f t="shared" si="34"/>
        <v/>
      </c>
    </row>
    <row r="2183" spans="6:6">
      <c r="F2183" t="str">
        <f t="shared" si="34"/>
        <v/>
      </c>
    </row>
    <row r="2184" spans="6:6">
      <c r="F2184" t="str">
        <f t="shared" si="34"/>
        <v/>
      </c>
    </row>
    <row r="2185" spans="6:6">
      <c r="F2185" t="str">
        <f t="shared" si="34"/>
        <v/>
      </c>
    </row>
    <row r="2186" spans="6:6">
      <c r="F2186" t="str">
        <f t="shared" si="34"/>
        <v/>
      </c>
    </row>
    <row r="2187" spans="6:6">
      <c r="F2187" t="str">
        <f t="shared" si="34"/>
        <v/>
      </c>
    </row>
    <row r="2188" spans="6:6">
      <c r="F2188" t="str">
        <f t="shared" si="34"/>
        <v/>
      </c>
    </row>
    <row r="2189" spans="6:6">
      <c r="F2189" t="str">
        <f t="shared" ref="F2189:F2252" si="35">RIGHT(D2189,2)</f>
        <v/>
      </c>
    </row>
    <row r="2190" spans="6:6">
      <c r="F2190" t="str">
        <f t="shared" si="35"/>
        <v/>
      </c>
    </row>
    <row r="2191" spans="6:6">
      <c r="F2191" t="str">
        <f t="shared" si="35"/>
        <v/>
      </c>
    </row>
    <row r="2192" spans="6:6">
      <c r="F2192" t="str">
        <f t="shared" si="35"/>
        <v/>
      </c>
    </row>
    <row r="2193" spans="6:6">
      <c r="F2193" t="str">
        <f t="shared" si="35"/>
        <v/>
      </c>
    </row>
    <row r="2194" spans="6:6">
      <c r="F2194" t="str">
        <f t="shared" si="35"/>
        <v/>
      </c>
    </row>
    <row r="2195" spans="6:6">
      <c r="F2195" t="str">
        <f t="shared" si="35"/>
        <v/>
      </c>
    </row>
    <row r="2196" spans="6:6">
      <c r="F2196" t="str">
        <f t="shared" si="35"/>
        <v/>
      </c>
    </row>
    <row r="2197" spans="6:6">
      <c r="F2197" t="str">
        <f t="shared" si="35"/>
        <v/>
      </c>
    </row>
    <row r="2198" spans="6:6">
      <c r="F2198" t="str">
        <f t="shared" si="35"/>
        <v/>
      </c>
    </row>
    <row r="2199" spans="6:6">
      <c r="F2199" t="str">
        <f t="shared" si="35"/>
        <v/>
      </c>
    </row>
    <row r="2200" spans="6:6">
      <c r="F2200" t="str">
        <f t="shared" si="35"/>
        <v/>
      </c>
    </row>
    <row r="2201" spans="6:6">
      <c r="F2201" t="str">
        <f t="shared" si="35"/>
        <v/>
      </c>
    </row>
    <row r="2202" spans="6:6">
      <c r="F2202" t="str">
        <f t="shared" si="35"/>
        <v/>
      </c>
    </row>
    <row r="2203" spans="6:6">
      <c r="F2203" t="str">
        <f t="shared" si="35"/>
        <v/>
      </c>
    </row>
    <row r="2204" spans="6:6">
      <c r="F2204" t="str">
        <f t="shared" si="35"/>
        <v/>
      </c>
    </row>
    <row r="2205" spans="6:6">
      <c r="F2205" t="str">
        <f t="shared" si="35"/>
        <v/>
      </c>
    </row>
    <row r="2206" spans="6:6">
      <c r="F2206" t="str">
        <f t="shared" si="35"/>
        <v/>
      </c>
    </row>
    <row r="2207" spans="6:6">
      <c r="F2207" t="str">
        <f t="shared" si="35"/>
        <v/>
      </c>
    </row>
    <row r="2208" spans="6:6">
      <c r="F2208" t="str">
        <f t="shared" si="35"/>
        <v/>
      </c>
    </row>
    <row r="2209" spans="6:6">
      <c r="F2209" t="str">
        <f t="shared" si="35"/>
        <v/>
      </c>
    </row>
    <row r="2210" spans="6:6">
      <c r="F2210" t="str">
        <f t="shared" si="35"/>
        <v/>
      </c>
    </row>
    <row r="2211" spans="6:6">
      <c r="F2211" t="str">
        <f t="shared" si="35"/>
        <v/>
      </c>
    </row>
    <row r="2212" spans="6:6">
      <c r="F2212" t="str">
        <f t="shared" si="35"/>
        <v/>
      </c>
    </row>
    <row r="2213" spans="6:6">
      <c r="F2213" t="str">
        <f t="shared" si="35"/>
        <v/>
      </c>
    </row>
    <row r="2214" spans="6:6">
      <c r="F2214" t="str">
        <f t="shared" si="35"/>
        <v/>
      </c>
    </row>
    <row r="2215" spans="6:6">
      <c r="F2215" t="str">
        <f t="shared" si="35"/>
        <v/>
      </c>
    </row>
    <row r="2216" spans="6:6">
      <c r="F2216" t="str">
        <f t="shared" si="35"/>
        <v/>
      </c>
    </row>
    <row r="2217" spans="6:6">
      <c r="F2217" t="str">
        <f t="shared" si="35"/>
        <v/>
      </c>
    </row>
    <row r="2218" spans="6:6">
      <c r="F2218" t="str">
        <f t="shared" si="35"/>
        <v/>
      </c>
    </row>
    <row r="2219" spans="6:6">
      <c r="F2219" t="str">
        <f t="shared" si="35"/>
        <v/>
      </c>
    </row>
    <row r="2220" spans="6:6">
      <c r="F2220" t="str">
        <f t="shared" si="35"/>
        <v/>
      </c>
    </row>
    <row r="2221" spans="6:6">
      <c r="F2221" t="str">
        <f t="shared" si="35"/>
        <v/>
      </c>
    </row>
    <row r="2222" spans="6:6">
      <c r="F2222" t="str">
        <f t="shared" si="35"/>
        <v/>
      </c>
    </row>
    <row r="2223" spans="6:6">
      <c r="F2223" t="str">
        <f t="shared" si="35"/>
        <v/>
      </c>
    </row>
    <row r="2224" spans="6:6">
      <c r="F2224" t="str">
        <f t="shared" si="35"/>
        <v/>
      </c>
    </row>
    <row r="2225" spans="6:6">
      <c r="F2225" t="str">
        <f t="shared" si="35"/>
        <v/>
      </c>
    </row>
    <row r="2226" spans="6:6">
      <c r="F2226" t="str">
        <f t="shared" si="35"/>
        <v/>
      </c>
    </row>
    <row r="2227" spans="6:6">
      <c r="F2227" t="str">
        <f t="shared" si="35"/>
        <v/>
      </c>
    </row>
    <row r="2228" spans="6:6">
      <c r="F2228" t="str">
        <f t="shared" si="35"/>
        <v/>
      </c>
    </row>
    <row r="2229" spans="6:6">
      <c r="F2229" t="str">
        <f t="shared" si="35"/>
        <v/>
      </c>
    </row>
    <row r="2230" spans="6:6">
      <c r="F2230" t="str">
        <f t="shared" si="35"/>
        <v/>
      </c>
    </row>
    <row r="2231" spans="6:6">
      <c r="F2231" t="str">
        <f t="shared" si="35"/>
        <v/>
      </c>
    </row>
    <row r="2232" spans="6:6">
      <c r="F2232" t="str">
        <f t="shared" si="35"/>
        <v/>
      </c>
    </row>
    <row r="2233" spans="6:6">
      <c r="F2233" t="str">
        <f t="shared" si="35"/>
        <v/>
      </c>
    </row>
    <row r="2234" spans="6:6">
      <c r="F2234" t="str">
        <f t="shared" si="35"/>
        <v/>
      </c>
    </row>
    <row r="2235" spans="6:6">
      <c r="F2235" t="str">
        <f t="shared" si="35"/>
        <v/>
      </c>
    </row>
    <row r="2236" spans="6:6">
      <c r="F2236" t="str">
        <f t="shared" si="35"/>
        <v/>
      </c>
    </row>
    <row r="2237" spans="6:6">
      <c r="F2237" t="str">
        <f t="shared" si="35"/>
        <v/>
      </c>
    </row>
    <row r="2238" spans="6:6">
      <c r="F2238" t="str">
        <f t="shared" si="35"/>
        <v/>
      </c>
    </row>
    <row r="2239" spans="6:6">
      <c r="F2239" t="str">
        <f t="shared" si="35"/>
        <v/>
      </c>
    </row>
    <row r="2240" spans="6:6">
      <c r="F2240" t="str">
        <f t="shared" si="35"/>
        <v/>
      </c>
    </row>
    <row r="2241" spans="6:6">
      <c r="F2241" t="str">
        <f t="shared" si="35"/>
        <v/>
      </c>
    </row>
    <row r="2242" spans="6:6">
      <c r="F2242" t="str">
        <f t="shared" si="35"/>
        <v/>
      </c>
    </row>
    <row r="2243" spans="6:6">
      <c r="F2243" t="str">
        <f t="shared" si="35"/>
        <v/>
      </c>
    </row>
    <row r="2244" spans="6:6">
      <c r="F2244" t="str">
        <f t="shared" si="35"/>
        <v/>
      </c>
    </row>
    <row r="2245" spans="6:6">
      <c r="F2245" t="str">
        <f t="shared" si="35"/>
        <v/>
      </c>
    </row>
    <row r="2246" spans="6:6">
      <c r="F2246" t="str">
        <f t="shared" si="35"/>
        <v/>
      </c>
    </row>
    <row r="2247" spans="6:6">
      <c r="F2247" t="str">
        <f t="shared" si="35"/>
        <v/>
      </c>
    </row>
    <row r="2248" spans="6:6">
      <c r="F2248" t="str">
        <f t="shared" si="35"/>
        <v/>
      </c>
    </row>
    <row r="2249" spans="6:6">
      <c r="F2249" t="str">
        <f t="shared" si="35"/>
        <v/>
      </c>
    </row>
    <row r="2250" spans="6:6">
      <c r="F2250" t="str">
        <f t="shared" si="35"/>
        <v/>
      </c>
    </row>
    <row r="2251" spans="6:6">
      <c r="F2251" t="str">
        <f t="shared" si="35"/>
        <v/>
      </c>
    </row>
    <row r="2252" spans="6:6">
      <c r="F2252" t="str">
        <f t="shared" si="35"/>
        <v/>
      </c>
    </row>
    <row r="2253" spans="6:6">
      <c r="F2253" t="str">
        <f t="shared" ref="F2253:F2316" si="36">RIGHT(D2253,2)</f>
        <v/>
      </c>
    </row>
    <row r="2254" spans="6:6">
      <c r="F2254" t="str">
        <f t="shared" si="36"/>
        <v/>
      </c>
    </row>
    <row r="2255" spans="6:6">
      <c r="F2255" t="str">
        <f t="shared" si="36"/>
        <v/>
      </c>
    </row>
    <row r="2256" spans="6:6">
      <c r="F2256" t="str">
        <f t="shared" si="36"/>
        <v/>
      </c>
    </row>
    <row r="2257" spans="6:6">
      <c r="F2257" t="str">
        <f t="shared" si="36"/>
        <v/>
      </c>
    </row>
    <row r="2258" spans="6:6">
      <c r="F2258" t="str">
        <f t="shared" si="36"/>
        <v/>
      </c>
    </row>
    <row r="2259" spans="6:6">
      <c r="F2259" t="str">
        <f t="shared" si="36"/>
        <v/>
      </c>
    </row>
    <row r="2260" spans="6:6">
      <c r="F2260" t="str">
        <f t="shared" si="36"/>
        <v/>
      </c>
    </row>
    <row r="2261" spans="6:6">
      <c r="F2261" t="str">
        <f t="shared" si="36"/>
        <v/>
      </c>
    </row>
    <row r="2262" spans="6:6">
      <c r="F2262" t="str">
        <f t="shared" si="36"/>
        <v/>
      </c>
    </row>
    <row r="2263" spans="6:6">
      <c r="F2263" t="str">
        <f t="shared" si="36"/>
        <v/>
      </c>
    </row>
    <row r="2264" spans="6:6">
      <c r="F2264" t="str">
        <f t="shared" si="36"/>
        <v/>
      </c>
    </row>
    <row r="2265" spans="6:6">
      <c r="F2265" t="str">
        <f t="shared" si="36"/>
        <v/>
      </c>
    </row>
    <row r="2266" spans="6:6">
      <c r="F2266" t="str">
        <f t="shared" si="36"/>
        <v/>
      </c>
    </row>
    <row r="2267" spans="6:6">
      <c r="F2267" t="str">
        <f t="shared" si="36"/>
        <v/>
      </c>
    </row>
    <row r="2268" spans="6:6">
      <c r="F2268" t="str">
        <f t="shared" si="36"/>
        <v/>
      </c>
    </row>
    <row r="2269" spans="6:6">
      <c r="F2269" t="str">
        <f t="shared" si="36"/>
        <v/>
      </c>
    </row>
    <row r="2270" spans="6:6">
      <c r="F2270" t="str">
        <f t="shared" si="36"/>
        <v/>
      </c>
    </row>
    <row r="2271" spans="6:6">
      <c r="F2271" t="str">
        <f t="shared" si="36"/>
        <v/>
      </c>
    </row>
    <row r="2272" spans="6:6">
      <c r="F2272" t="str">
        <f t="shared" si="36"/>
        <v/>
      </c>
    </row>
    <row r="2273" spans="6:6">
      <c r="F2273" t="str">
        <f t="shared" si="36"/>
        <v/>
      </c>
    </row>
    <row r="2274" spans="6:6">
      <c r="F2274" t="str">
        <f t="shared" si="36"/>
        <v/>
      </c>
    </row>
    <row r="2275" spans="6:6">
      <c r="F2275" t="str">
        <f t="shared" si="36"/>
        <v/>
      </c>
    </row>
    <row r="2276" spans="6:6">
      <c r="F2276" t="str">
        <f t="shared" si="36"/>
        <v/>
      </c>
    </row>
    <row r="2277" spans="6:6">
      <c r="F2277" t="str">
        <f t="shared" si="36"/>
        <v/>
      </c>
    </row>
    <row r="2278" spans="6:6">
      <c r="F2278" t="str">
        <f t="shared" si="36"/>
        <v/>
      </c>
    </row>
    <row r="2279" spans="6:6">
      <c r="F2279" t="str">
        <f t="shared" si="36"/>
        <v/>
      </c>
    </row>
    <row r="2280" spans="6:6">
      <c r="F2280" t="str">
        <f t="shared" si="36"/>
        <v/>
      </c>
    </row>
    <row r="2281" spans="6:6">
      <c r="F2281" t="str">
        <f t="shared" si="36"/>
        <v/>
      </c>
    </row>
    <row r="2282" spans="6:6">
      <c r="F2282" t="str">
        <f t="shared" si="36"/>
        <v/>
      </c>
    </row>
    <row r="2283" spans="6:6">
      <c r="F2283" t="str">
        <f t="shared" si="36"/>
        <v/>
      </c>
    </row>
    <row r="2284" spans="6:6">
      <c r="F2284" t="str">
        <f t="shared" si="36"/>
        <v/>
      </c>
    </row>
    <row r="2285" spans="6:6">
      <c r="F2285" t="str">
        <f t="shared" si="36"/>
        <v/>
      </c>
    </row>
    <row r="2286" spans="6:6">
      <c r="F2286" t="str">
        <f t="shared" si="36"/>
        <v/>
      </c>
    </row>
    <row r="2287" spans="6:6">
      <c r="F2287" t="str">
        <f t="shared" si="36"/>
        <v/>
      </c>
    </row>
    <row r="2288" spans="6:6">
      <c r="F2288" t="str">
        <f t="shared" si="36"/>
        <v/>
      </c>
    </row>
    <row r="2289" spans="6:6">
      <c r="F2289" t="str">
        <f t="shared" si="36"/>
        <v/>
      </c>
    </row>
    <row r="2290" spans="6:6">
      <c r="F2290" t="str">
        <f t="shared" si="36"/>
        <v/>
      </c>
    </row>
    <row r="2291" spans="6:6">
      <c r="F2291" t="str">
        <f t="shared" si="36"/>
        <v/>
      </c>
    </row>
    <row r="2292" spans="6:6">
      <c r="F2292" t="str">
        <f t="shared" si="36"/>
        <v/>
      </c>
    </row>
    <row r="2293" spans="6:6">
      <c r="F2293" t="str">
        <f t="shared" si="36"/>
        <v/>
      </c>
    </row>
    <row r="2294" spans="6:6">
      <c r="F2294" t="str">
        <f t="shared" si="36"/>
        <v/>
      </c>
    </row>
    <row r="2295" spans="6:6">
      <c r="F2295" t="str">
        <f t="shared" si="36"/>
        <v/>
      </c>
    </row>
    <row r="2296" spans="6:6">
      <c r="F2296" t="str">
        <f t="shared" si="36"/>
        <v/>
      </c>
    </row>
    <row r="2297" spans="6:6">
      <c r="F2297" t="str">
        <f t="shared" si="36"/>
        <v/>
      </c>
    </row>
    <row r="2298" spans="6:6">
      <c r="F2298" t="str">
        <f t="shared" si="36"/>
        <v/>
      </c>
    </row>
    <row r="2299" spans="6:6">
      <c r="F2299" t="str">
        <f t="shared" si="36"/>
        <v/>
      </c>
    </row>
    <row r="2300" spans="6:6">
      <c r="F2300" t="str">
        <f t="shared" si="36"/>
        <v/>
      </c>
    </row>
    <row r="2301" spans="6:6">
      <c r="F2301" t="str">
        <f t="shared" si="36"/>
        <v/>
      </c>
    </row>
    <row r="2302" spans="6:6">
      <c r="F2302" t="str">
        <f t="shared" si="36"/>
        <v/>
      </c>
    </row>
    <row r="2303" spans="6:6">
      <c r="F2303" t="str">
        <f t="shared" si="36"/>
        <v/>
      </c>
    </row>
    <row r="2304" spans="6:6">
      <c r="F2304" t="str">
        <f t="shared" si="36"/>
        <v/>
      </c>
    </row>
    <row r="2305" spans="6:6">
      <c r="F2305" t="str">
        <f t="shared" si="36"/>
        <v/>
      </c>
    </row>
    <row r="2306" spans="6:6">
      <c r="F2306" t="str">
        <f t="shared" si="36"/>
        <v/>
      </c>
    </row>
    <row r="2307" spans="6:6">
      <c r="F2307" t="str">
        <f t="shared" si="36"/>
        <v/>
      </c>
    </row>
    <row r="2308" spans="6:6">
      <c r="F2308" t="str">
        <f t="shared" si="36"/>
        <v/>
      </c>
    </row>
    <row r="2309" spans="6:6">
      <c r="F2309" t="str">
        <f t="shared" si="36"/>
        <v/>
      </c>
    </row>
    <row r="2310" spans="6:6">
      <c r="F2310" t="str">
        <f t="shared" si="36"/>
        <v/>
      </c>
    </row>
    <row r="2311" spans="6:6">
      <c r="F2311" t="str">
        <f t="shared" si="36"/>
        <v/>
      </c>
    </row>
    <row r="2312" spans="6:6">
      <c r="F2312" t="str">
        <f t="shared" si="36"/>
        <v/>
      </c>
    </row>
    <row r="2313" spans="6:6">
      <c r="F2313" t="str">
        <f t="shared" si="36"/>
        <v/>
      </c>
    </row>
    <row r="2314" spans="6:6">
      <c r="F2314" t="str">
        <f t="shared" si="36"/>
        <v/>
      </c>
    </row>
    <row r="2315" spans="6:6">
      <c r="F2315" t="str">
        <f t="shared" si="36"/>
        <v/>
      </c>
    </row>
    <row r="2316" spans="6:6">
      <c r="F2316" t="str">
        <f t="shared" si="36"/>
        <v/>
      </c>
    </row>
    <row r="2317" spans="6:6">
      <c r="F2317" t="str">
        <f t="shared" ref="F2317:F2380" si="37">RIGHT(D2317,2)</f>
        <v/>
      </c>
    </row>
    <row r="2318" spans="6:6">
      <c r="F2318" t="str">
        <f t="shared" si="37"/>
        <v/>
      </c>
    </row>
    <row r="2319" spans="6:6">
      <c r="F2319" t="str">
        <f t="shared" si="37"/>
        <v/>
      </c>
    </row>
    <row r="2320" spans="6:6">
      <c r="F2320" t="str">
        <f t="shared" si="37"/>
        <v/>
      </c>
    </row>
    <row r="2321" spans="6:6">
      <c r="F2321" t="str">
        <f t="shared" si="37"/>
        <v/>
      </c>
    </row>
    <row r="2322" spans="6:6">
      <c r="F2322" t="str">
        <f t="shared" si="37"/>
        <v/>
      </c>
    </row>
    <row r="2323" spans="6:6">
      <c r="F2323" t="str">
        <f t="shared" si="37"/>
        <v/>
      </c>
    </row>
    <row r="2324" spans="6:6">
      <c r="F2324" t="str">
        <f t="shared" si="37"/>
        <v/>
      </c>
    </row>
    <row r="2325" spans="6:6">
      <c r="F2325" t="str">
        <f t="shared" si="37"/>
        <v/>
      </c>
    </row>
    <row r="2326" spans="6:6">
      <c r="F2326" t="str">
        <f t="shared" si="37"/>
        <v/>
      </c>
    </row>
    <row r="2327" spans="6:6">
      <c r="F2327" t="str">
        <f t="shared" si="37"/>
        <v/>
      </c>
    </row>
    <row r="2328" spans="6:6">
      <c r="F2328" t="str">
        <f t="shared" si="37"/>
        <v/>
      </c>
    </row>
    <row r="2329" spans="6:6">
      <c r="F2329" t="str">
        <f t="shared" si="37"/>
        <v/>
      </c>
    </row>
    <row r="2330" spans="6:6">
      <c r="F2330" t="str">
        <f t="shared" si="37"/>
        <v/>
      </c>
    </row>
    <row r="2331" spans="6:6">
      <c r="F2331" t="str">
        <f t="shared" si="37"/>
        <v/>
      </c>
    </row>
    <row r="2332" spans="6:6">
      <c r="F2332" t="str">
        <f t="shared" si="37"/>
        <v/>
      </c>
    </row>
    <row r="2333" spans="6:6">
      <c r="F2333" t="str">
        <f t="shared" si="37"/>
        <v/>
      </c>
    </row>
    <row r="2334" spans="6:6">
      <c r="F2334" t="str">
        <f t="shared" si="37"/>
        <v/>
      </c>
    </row>
    <row r="2335" spans="6:6">
      <c r="F2335" t="str">
        <f t="shared" si="37"/>
        <v/>
      </c>
    </row>
    <row r="2336" spans="6:6">
      <c r="F2336" t="str">
        <f t="shared" si="37"/>
        <v/>
      </c>
    </row>
    <row r="2337" spans="6:6">
      <c r="F2337" t="str">
        <f t="shared" si="37"/>
        <v/>
      </c>
    </row>
    <row r="2338" spans="6:6">
      <c r="F2338" t="str">
        <f t="shared" si="37"/>
        <v/>
      </c>
    </row>
    <row r="2339" spans="6:6">
      <c r="F2339" t="str">
        <f t="shared" si="37"/>
        <v/>
      </c>
    </row>
    <row r="2340" spans="6:6">
      <c r="F2340" t="str">
        <f t="shared" si="37"/>
        <v/>
      </c>
    </row>
    <row r="2341" spans="6:6">
      <c r="F2341" t="str">
        <f t="shared" si="37"/>
        <v/>
      </c>
    </row>
    <row r="2342" spans="6:6">
      <c r="F2342" t="str">
        <f t="shared" si="37"/>
        <v/>
      </c>
    </row>
    <row r="2343" spans="6:6">
      <c r="F2343" t="str">
        <f t="shared" si="37"/>
        <v/>
      </c>
    </row>
    <row r="2344" spans="6:6">
      <c r="F2344" t="str">
        <f t="shared" si="37"/>
        <v/>
      </c>
    </row>
    <row r="2345" spans="6:6">
      <c r="F2345" t="str">
        <f t="shared" si="37"/>
        <v/>
      </c>
    </row>
    <row r="2346" spans="6:6">
      <c r="F2346" t="str">
        <f t="shared" si="37"/>
        <v/>
      </c>
    </row>
    <row r="2347" spans="6:6">
      <c r="F2347" t="str">
        <f t="shared" si="37"/>
        <v/>
      </c>
    </row>
    <row r="2348" spans="6:6">
      <c r="F2348" t="str">
        <f t="shared" si="37"/>
        <v/>
      </c>
    </row>
    <row r="2349" spans="6:6">
      <c r="F2349" t="str">
        <f t="shared" si="37"/>
        <v/>
      </c>
    </row>
    <row r="2350" spans="6:6">
      <c r="F2350" t="str">
        <f t="shared" si="37"/>
        <v/>
      </c>
    </row>
    <row r="2351" spans="6:6">
      <c r="F2351" t="str">
        <f t="shared" si="37"/>
        <v/>
      </c>
    </row>
    <row r="2352" spans="6:6">
      <c r="F2352" t="str">
        <f t="shared" si="37"/>
        <v/>
      </c>
    </row>
    <row r="2353" spans="6:6">
      <c r="F2353" t="str">
        <f t="shared" si="37"/>
        <v/>
      </c>
    </row>
    <row r="2354" spans="6:6">
      <c r="F2354" t="str">
        <f t="shared" si="37"/>
        <v/>
      </c>
    </row>
    <row r="2355" spans="6:6">
      <c r="F2355" t="str">
        <f t="shared" si="37"/>
        <v/>
      </c>
    </row>
    <row r="2356" spans="6:6">
      <c r="F2356" t="str">
        <f t="shared" si="37"/>
        <v/>
      </c>
    </row>
    <row r="2357" spans="6:6">
      <c r="F2357" t="str">
        <f t="shared" si="37"/>
        <v/>
      </c>
    </row>
    <row r="2358" spans="6:6">
      <c r="F2358" t="str">
        <f t="shared" si="37"/>
        <v/>
      </c>
    </row>
    <row r="2359" spans="6:6">
      <c r="F2359" t="str">
        <f t="shared" si="37"/>
        <v/>
      </c>
    </row>
    <row r="2360" spans="6:6">
      <c r="F2360" t="str">
        <f t="shared" si="37"/>
        <v/>
      </c>
    </row>
    <row r="2361" spans="6:6">
      <c r="F2361" t="str">
        <f t="shared" si="37"/>
        <v/>
      </c>
    </row>
    <row r="2362" spans="6:6">
      <c r="F2362" t="str">
        <f t="shared" si="37"/>
        <v/>
      </c>
    </row>
    <row r="2363" spans="6:6">
      <c r="F2363" t="str">
        <f t="shared" si="37"/>
        <v/>
      </c>
    </row>
    <row r="2364" spans="6:6">
      <c r="F2364" t="str">
        <f t="shared" si="37"/>
        <v/>
      </c>
    </row>
    <row r="2365" spans="6:6">
      <c r="F2365" t="str">
        <f t="shared" si="37"/>
        <v/>
      </c>
    </row>
    <row r="2366" spans="6:6">
      <c r="F2366" t="str">
        <f t="shared" si="37"/>
        <v/>
      </c>
    </row>
    <row r="2367" spans="6:6">
      <c r="F2367" t="str">
        <f t="shared" si="37"/>
        <v/>
      </c>
    </row>
    <row r="2368" spans="6:6">
      <c r="F2368" t="str">
        <f t="shared" si="37"/>
        <v/>
      </c>
    </row>
    <row r="2369" spans="6:6">
      <c r="F2369" t="str">
        <f t="shared" si="37"/>
        <v/>
      </c>
    </row>
    <row r="2370" spans="6:6">
      <c r="F2370" t="str">
        <f t="shared" si="37"/>
        <v/>
      </c>
    </row>
    <row r="2371" spans="6:6">
      <c r="F2371" t="str">
        <f t="shared" si="37"/>
        <v/>
      </c>
    </row>
    <row r="2372" spans="6:6">
      <c r="F2372" t="str">
        <f t="shared" si="37"/>
        <v/>
      </c>
    </row>
    <row r="2373" spans="6:6">
      <c r="F2373" t="str">
        <f t="shared" si="37"/>
        <v/>
      </c>
    </row>
    <row r="2374" spans="6:6">
      <c r="F2374" t="str">
        <f t="shared" si="37"/>
        <v/>
      </c>
    </row>
    <row r="2375" spans="6:6">
      <c r="F2375" t="str">
        <f t="shared" si="37"/>
        <v/>
      </c>
    </row>
    <row r="2376" spans="6:6">
      <c r="F2376" t="str">
        <f t="shared" si="37"/>
        <v/>
      </c>
    </row>
    <row r="2377" spans="6:6">
      <c r="F2377" t="str">
        <f t="shared" si="37"/>
        <v/>
      </c>
    </row>
    <row r="2378" spans="6:6">
      <c r="F2378" t="str">
        <f t="shared" si="37"/>
        <v/>
      </c>
    </row>
    <row r="2379" spans="6:6">
      <c r="F2379" t="str">
        <f t="shared" si="37"/>
        <v/>
      </c>
    </row>
    <row r="2380" spans="6:6">
      <c r="F2380" t="str">
        <f t="shared" si="37"/>
        <v/>
      </c>
    </row>
    <row r="2381" spans="6:6">
      <c r="F2381" t="str">
        <f t="shared" ref="F2381:F2444" si="38">RIGHT(D2381,2)</f>
        <v/>
      </c>
    </row>
    <row r="2382" spans="6:6">
      <c r="F2382" t="str">
        <f t="shared" si="38"/>
        <v/>
      </c>
    </row>
    <row r="2383" spans="6:6">
      <c r="F2383" t="str">
        <f t="shared" si="38"/>
        <v/>
      </c>
    </row>
    <row r="2384" spans="6:6">
      <c r="F2384" t="str">
        <f t="shared" si="38"/>
        <v/>
      </c>
    </row>
    <row r="2385" spans="6:6">
      <c r="F2385" t="str">
        <f t="shared" si="38"/>
        <v/>
      </c>
    </row>
    <row r="2386" spans="6:6">
      <c r="F2386" t="str">
        <f t="shared" si="38"/>
        <v/>
      </c>
    </row>
    <row r="2387" spans="6:6">
      <c r="F2387" t="str">
        <f t="shared" si="38"/>
        <v/>
      </c>
    </row>
    <row r="2388" spans="6:6">
      <c r="F2388" t="str">
        <f t="shared" si="38"/>
        <v/>
      </c>
    </row>
    <row r="2389" spans="6:6">
      <c r="F2389" t="str">
        <f t="shared" si="38"/>
        <v/>
      </c>
    </row>
    <row r="2390" spans="6:6">
      <c r="F2390" t="str">
        <f t="shared" si="38"/>
        <v/>
      </c>
    </row>
    <row r="2391" spans="6:6">
      <c r="F2391" t="str">
        <f t="shared" si="38"/>
        <v/>
      </c>
    </row>
    <row r="2392" spans="6:6">
      <c r="F2392" t="str">
        <f t="shared" si="38"/>
        <v/>
      </c>
    </row>
    <row r="2393" spans="6:6">
      <c r="F2393" t="str">
        <f t="shared" si="38"/>
        <v/>
      </c>
    </row>
    <row r="2394" spans="6:6">
      <c r="F2394" t="str">
        <f t="shared" si="38"/>
        <v/>
      </c>
    </row>
    <row r="2395" spans="6:6">
      <c r="F2395" t="str">
        <f t="shared" si="38"/>
        <v/>
      </c>
    </row>
    <row r="2396" spans="6:6">
      <c r="F2396" t="str">
        <f t="shared" si="38"/>
        <v/>
      </c>
    </row>
    <row r="2397" spans="6:6">
      <c r="F2397" t="str">
        <f t="shared" si="38"/>
        <v/>
      </c>
    </row>
    <row r="2398" spans="6:6">
      <c r="F2398" t="str">
        <f t="shared" si="38"/>
        <v/>
      </c>
    </row>
    <row r="2399" spans="6:6">
      <c r="F2399" t="str">
        <f t="shared" si="38"/>
        <v/>
      </c>
    </row>
    <row r="2400" spans="6:6">
      <c r="F2400" t="str">
        <f t="shared" si="38"/>
        <v/>
      </c>
    </row>
    <row r="2401" spans="6:6">
      <c r="F2401" t="str">
        <f t="shared" si="38"/>
        <v/>
      </c>
    </row>
    <row r="2402" spans="6:6">
      <c r="F2402" t="str">
        <f t="shared" si="38"/>
        <v/>
      </c>
    </row>
    <row r="2403" spans="6:6">
      <c r="F2403" t="str">
        <f t="shared" si="38"/>
        <v/>
      </c>
    </row>
    <row r="2404" spans="6:6">
      <c r="F2404" t="str">
        <f t="shared" si="38"/>
        <v/>
      </c>
    </row>
    <row r="2405" spans="6:6">
      <c r="F2405" t="str">
        <f t="shared" si="38"/>
        <v/>
      </c>
    </row>
    <row r="2406" spans="6:6">
      <c r="F2406" t="str">
        <f t="shared" si="38"/>
        <v/>
      </c>
    </row>
    <row r="2407" spans="6:6">
      <c r="F2407" t="str">
        <f t="shared" si="38"/>
        <v/>
      </c>
    </row>
    <row r="2408" spans="6:6">
      <c r="F2408" t="str">
        <f t="shared" si="38"/>
        <v/>
      </c>
    </row>
    <row r="2409" spans="6:6">
      <c r="F2409" t="str">
        <f t="shared" si="38"/>
        <v/>
      </c>
    </row>
    <row r="2410" spans="6:6">
      <c r="F2410" t="str">
        <f t="shared" si="38"/>
        <v/>
      </c>
    </row>
    <row r="2411" spans="6:6">
      <c r="F2411" t="str">
        <f t="shared" si="38"/>
        <v/>
      </c>
    </row>
    <row r="2412" spans="6:6">
      <c r="F2412" t="str">
        <f t="shared" si="38"/>
        <v/>
      </c>
    </row>
    <row r="2413" spans="6:6">
      <c r="F2413" t="str">
        <f t="shared" si="38"/>
        <v/>
      </c>
    </row>
    <row r="2414" spans="6:6">
      <c r="F2414" t="str">
        <f t="shared" si="38"/>
        <v/>
      </c>
    </row>
    <row r="2415" spans="6:6">
      <c r="F2415" t="str">
        <f t="shared" si="38"/>
        <v/>
      </c>
    </row>
    <row r="2416" spans="6:6">
      <c r="F2416" t="str">
        <f t="shared" si="38"/>
        <v/>
      </c>
    </row>
    <row r="2417" spans="6:6">
      <c r="F2417" t="str">
        <f t="shared" si="38"/>
        <v/>
      </c>
    </row>
    <row r="2418" spans="6:6">
      <c r="F2418" t="str">
        <f t="shared" si="38"/>
        <v/>
      </c>
    </row>
    <row r="2419" spans="6:6">
      <c r="F2419" t="str">
        <f t="shared" si="38"/>
        <v/>
      </c>
    </row>
    <row r="2420" spans="6:6">
      <c r="F2420" t="str">
        <f t="shared" si="38"/>
        <v/>
      </c>
    </row>
    <row r="2421" spans="6:6">
      <c r="F2421" t="str">
        <f t="shared" si="38"/>
        <v/>
      </c>
    </row>
    <row r="2422" spans="6:6">
      <c r="F2422" t="str">
        <f t="shared" si="38"/>
        <v/>
      </c>
    </row>
    <row r="2423" spans="6:6">
      <c r="F2423" t="str">
        <f t="shared" si="38"/>
        <v/>
      </c>
    </row>
    <row r="2424" spans="6:6">
      <c r="F2424" t="str">
        <f t="shared" si="38"/>
        <v/>
      </c>
    </row>
    <row r="2425" spans="6:6">
      <c r="F2425" t="str">
        <f t="shared" si="38"/>
        <v/>
      </c>
    </row>
    <row r="2426" spans="6:6">
      <c r="F2426" t="str">
        <f t="shared" si="38"/>
        <v/>
      </c>
    </row>
    <row r="2427" spans="6:6">
      <c r="F2427" t="str">
        <f t="shared" si="38"/>
        <v/>
      </c>
    </row>
    <row r="2428" spans="6:6">
      <c r="F2428" t="str">
        <f t="shared" si="38"/>
        <v/>
      </c>
    </row>
    <row r="2429" spans="6:6">
      <c r="F2429" t="str">
        <f t="shared" si="38"/>
        <v/>
      </c>
    </row>
    <row r="2430" spans="6:6">
      <c r="F2430" t="str">
        <f t="shared" si="38"/>
        <v/>
      </c>
    </row>
    <row r="2431" spans="6:6">
      <c r="F2431" t="str">
        <f t="shared" si="38"/>
        <v/>
      </c>
    </row>
    <row r="2432" spans="6:6">
      <c r="F2432" t="str">
        <f t="shared" si="38"/>
        <v/>
      </c>
    </row>
    <row r="2433" spans="6:6">
      <c r="F2433" t="str">
        <f t="shared" si="38"/>
        <v/>
      </c>
    </row>
    <row r="2434" spans="6:6">
      <c r="F2434" t="str">
        <f t="shared" si="38"/>
        <v/>
      </c>
    </row>
    <row r="2435" spans="6:6">
      <c r="F2435" t="str">
        <f t="shared" si="38"/>
        <v/>
      </c>
    </row>
    <row r="2436" spans="6:6">
      <c r="F2436" t="str">
        <f t="shared" si="38"/>
        <v/>
      </c>
    </row>
    <row r="2437" spans="6:6">
      <c r="F2437" t="str">
        <f t="shared" si="38"/>
        <v/>
      </c>
    </row>
    <row r="2438" spans="6:6">
      <c r="F2438" t="str">
        <f t="shared" si="38"/>
        <v/>
      </c>
    </row>
    <row r="2439" spans="6:6">
      <c r="F2439" t="str">
        <f t="shared" si="38"/>
        <v/>
      </c>
    </row>
    <row r="2440" spans="6:6">
      <c r="F2440" t="str">
        <f t="shared" si="38"/>
        <v/>
      </c>
    </row>
    <row r="2441" spans="6:6">
      <c r="F2441" t="str">
        <f t="shared" si="38"/>
        <v/>
      </c>
    </row>
    <row r="2442" spans="6:6">
      <c r="F2442" t="str">
        <f t="shared" si="38"/>
        <v/>
      </c>
    </row>
    <row r="2443" spans="6:6">
      <c r="F2443" t="str">
        <f t="shared" si="38"/>
        <v/>
      </c>
    </row>
    <row r="2444" spans="6:6">
      <c r="F2444" t="str">
        <f t="shared" si="38"/>
        <v/>
      </c>
    </row>
    <row r="2445" spans="6:6">
      <c r="F2445" t="str">
        <f t="shared" ref="F2445:F2508" si="39">RIGHT(D2445,2)</f>
        <v/>
      </c>
    </row>
    <row r="2446" spans="6:6">
      <c r="F2446" t="str">
        <f t="shared" si="39"/>
        <v/>
      </c>
    </row>
    <row r="2447" spans="6:6">
      <c r="F2447" t="str">
        <f t="shared" si="39"/>
        <v/>
      </c>
    </row>
    <row r="2448" spans="6:6">
      <c r="F2448" t="str">
        <f t="shared" si="39"/>
        <v/>
      </c>
    </row>
    <row r="2449" spans="6:6">
      <c r="F2449" t="str">
        <f t="shared" si="39"/>
        <v/>
      </c>
    </row>
    <row r="2450" spans="6:6">
      <c r="F2450" t="str">
        <f t="shared" si="39"/>
        <v/>
      </c>
    </row>
    <row r="2451" spans="6:6">
      <c r="F2451" t="str">
        <f t="shared" si="39"/>
        <v/>
      </c>
    </row>
    <row r="2452" spans="6:6">
      <c r="F2452" t="str">
        <f t="shared" si="39"/>
        <v/>
      </c>
    </row>
    <row r="2453" spans="6:6">
      <c r="F2453" t="str">
        <f t="shared" si="39"/>
        <v/>
      </c>
    </row>
    <row r="2454" spans="6:6">
      <c r="F2454" t="str">
        <f t="shared" si="39"/>
        <v/>
      </c>
    </row>
    <row r="2455" spans="6:6">
      <c r="F2455" t="str">
        <f t="shared" si="39"/>
        <v/>
      </c>
    </row>
    <row r="2456" spans="6:6">
      <c r="F2456" t="str">
        <f t="shared" si="39"/>
        <v/>
      </c>
    </row>
    <row r="2457" spans="6:6">
      <c r="F2457" t="str">
        <f t="shared" si="39"/>
        <v/>
      </c>
    </row>
    <row r="2458" spans="6:6">
      <c r="F2458" t="str">
        <f t="shared" si="39"/>
        <v/>
      </c>
    </row>
    <row r="2459" spans="6:6">
      <c r="F2459" t="str">
        <f t="shared" si="39"/>
        <v/>
      </c>
    </row>
    <row r="2460" spans="6:6">
      <c r="F2460" t="str">
        <f t="shared" si="39"/>
        <v/>
      </c>
    </row>
    <row r="2461" spans="6:6">
      <c r="F2461" t="str">
        <f t="shared" si="39"/>
        <v/>
      </c>
    </row>
    <row r="2462" spans="6:6">
      <c r="F2462" t="str">
        <f t="shared" si="39"/>
        <v/>
      </c>
    </row>
    <row r="2463" spans="6:6">
      <c r="F2463" t="str">
        <f t="shared" si="39"/>
        <v/>
      </c>
    </row>
    <row r="2464" spans="6:6">
      <c r="F2464" t="str">
        <f t="shared" si="39"/>
        <v/>
      </c>
    </row>
    <row r="2465" spans="6:6">
      <c r="F2465" t="str">
        <f t="shared" si="39"/>
        <v/>
      </c>
    </row>
    <row r="2466" spans="6:6">
      <c r="F2466" t="str">
        <f t="shared" si="39"/>
        <v/>
      </c>
    </row>
    <row r="2467" spans="6:6">
      <c r="F2467" t="str">
        <f t="shared" si="39"/>
        <v/>
      </c>
    </row>
    <row r="2468" spans="6:6">
      <c r="F2468" t="str">
        <f t="shared" si="39"/>
        <v/>
      </c>
    </row>
    <row r="2469" spans="6:6">
      <c r="F2469" t="str">
        <f t="shared" si="39"/>
        <v/>
      </c>
    </row>
    <row r="2470" spans="6:6">
      <c r="F2470" t="str">
        <f t="shared" si="39"/>
        <v/>
      </c>
    </row>
    <row r="2471" spans="6:6">
      <c r="F2471" t="str">
        <f t="shared" si="39"/>
        <v/>
      </c>
    </row>
    <row r="2472" spans="6:6">
      <c r="F2472" t="str">
        <f t="shared" si="39"/>
        <v/>
      </c>
    </row>
    <row r="2473" spans="6:6">
      <c r="F2473" t="str">
        <f t="shared" si="39"/>
        <v/>
      </c>
    </row>
    <row r="2474" spans="6:6">
      <c r="F2474" t="str">
        <f t="shared" si="39"/>
        <v/>
      </c>
    </row>
    <row r="2475" spans="6:6">
      <c r="F2475" t="str">
        <f t="shared" si="39"/>
        <v/>
      </c>
    </row>
    <row r="2476" spans="6:6">
      <c r="F2476" t="str">
        <f t="shared" si="39"/>
        <v/>
      </c>
    </row>
    <row r="2477" spans="6:6">
      <c r="F2477" t="str">
        <f t="shared" si="39"/>
        <v/>
      </c>
    </row>
    <row r="2478" spans="6:6">
      <c r="F2478" t="str">
        <f t="shared" si="39"/>
        <v/>
      </c>
    </row>
    <row r="2479" spans="6:6">
      <c r="F2479" t="str">
        <f t="shared" si="39"/>
        <v/>
      </c>
    </row>
    <row r="2480" spans="6:6">
      <c r="F2480" t="str">
        <f t="shared" si="39"/>
        <v/>
      </c>
    </row>
    <row r="2481" spans="6:6">
      <c r="F2481" t="str">
        <f t="shared" si="39"/>
        <v/>
      </c>
    </row>
    <row r="2482" spans="6:6">
      <c r="F2482" t="str">
        <f t="shared" si="39"/>
        <v/>
      </c>
    </row>
    <row r="2483" spans="6:6">
      <c r="F2483" t="str">
        <f t="shared" si="39"/>
        <v/>
      </c>
    </row>
    <row r="2484" spans="6:6">
      <c r="F2484" t="str">
        <f t="shared" si="39"/>
        <v/>
      </c>
    </row>
    <row r="2485" spans="6:6">
      <c r="F2485" t="str">
        <f t="shared" si="39"/>
        <v/>
      </c>
    </row>
    <row r="2486" spans="6:6">
      <c r="F2486" t="str">
        <f t="shared" si="39"/>
        <v/>
      </c>
    </row>
    <row r="2487" spans="6:6">
      <c r="F2487" t="str">
        <f t="shared" si="39"/>
        <v/>
      </c>
    </row>
    <row r="2488" spans="6:6">
      <c r="F2488" t="str">
        <f t="shared" si="39"/>
        <v/>
      </c>
    </row>
    <row r="2489" spans="6:6">
      <c r="F2489" t="str">
        <f t="shared" si="39"/>
        <v/>
      </c>
    </row>
    <row r="2490" spans="6:6">
      <c r="F2490" t="str">
        <f t="shared" si="39"/>
        <v/>
      </c>
    </row>
    <row r="2491" spans="6:6">
      <c r="F2491" t="str">
        <f t="shared" si="39"/>
        <v/>
      </c>
    </row>
    <row r="2492" spans="6:6">
      <c r="F2492" t="str">
        <f t="shared" si="39"/>
        <v/>
      </c>
    </row>
    <row r="2493" spans="6:6">
      <c r="F2493" t="str">
        <f t="shared" si="39"/>
        <v/>
      </c>
    </row>
    <row r="2494" spans="6:6">
      <c r="F2494" t="str">
        <f t="shared" si="39"/>
        <v/>
      </c>
    </row>
    <row r="2495" spans="6:6">
      <c r="F2495" t="str">
        <f t="shared" si="39"/>
        <v/>
      </c>
    </row>
    <row r="2496" spans="6:6">
      <c r="F2496" t="str">
        <f t="shared" si="39"/>
        <v/>
      </c>
    </row>
    <row r="2497" spans="6:6">
      <c r="F2497" t="str">
        <f t="shared" si="39"/>
        <v/>
      </c>
    </row>
    <row r="2498" spans="6:6">
      <c r="F2498" t="str">
        <f t="shared" si="39"/>
        <v/>
      </c>
    </row>
    <row r="2499" spans="6:6">
      <c r="F2499" t="str">
        <f t="shared" si="39"/>
        <v/>
      </c>
    </row>
    <row r="2500" spans="6:6">
      <c r="F2500" t="str">
        <f t="shared" si="39"/>
        <v/>
      </c>
    </row>
    <row r="2501" spans="6:6">
      <c r="F2501" t="str">
        <f t="shared" si="39"/>
        <v/>
      </c>
    </row>
    <row r="2502" spans="6:6">
      <c r="F2502" t="str">
        <f t="shared" si="39"/>
        <v/>
      </c>
    </row>
    <row r="2503" spans="6:6">
      <c r="F2503" t="str">
        <f t="shared" si="39"/>
        <v/>
      </c>
    </row>
    <row r="2504" spans="6:6">
      <c r="F2504" t="str">
        <f t="shared" si="39"/>
        <v/>
      </c>
    </row>
    <row r="2505" spans="6:6">
      <c r="F2505" t="str">
        <f t="shared" si="39"/>
        <v/>
      </c>
    </row>
    <row r="2506" spans="6:6">
      <c r="F2506" t="str">
        <f t="shared" si="39"/>
        <v/>
      </c>
    </row>
    <row r="2507" spans="6:6">
      <c r="F2507" t="str">
        <f t="shared" si="39"/>
        <v/>
      </c>
    </row>
    <row r="2508" spans="6:6">
      <c r="F2508" t="str">
        <f t="shared" si="39"/>
        <v/>
      </c>
    </row>
    <row r="2509" spans="6:6">
      <c r="F2509" t="str">
        <f t="shared" ref="F2509:F2572" si="40">RIGHT(D2509,2)</f>
        <v/>
      </c>
    </row>
    <row r="2510" spans="6:6">
      <c r="F2510" t="str">
        <f t="shared" si="40"/>
        <v/>
      </c>
    </row>
    <row r="2511" spans="6:6">
      <c r="F2511" t="str">
        <f t="shared" si="40"/>
        <v/>
      </c>
    </row>
    <row r="2512" spans="6:6">
      <c r="F2512" t="str">
        <f t="shared" si="40"/>
        <v/>
      </c>
    </row>
    <row r="2513" spans="6:6">
      <c r="F2513" t="str">
        <f t="shared" si="40"/>
        <v/>
      </c>
    </row>
    <row r="2514" spans="6:6">
      <c r="F2514" t="str">
        <f t="shared" si="40"/>
        <v/>
      </c>
    </row>
    <row r="2515" spans="6:6">
      <c r="F2515" t="str">
        <f t="shared" si="40"/>
        <v/>
      </c>
    </row>
    <row r="2516" spans="6:6">
      <c r="F2516" t="str">
        <f t="shared" si="40"/>
        <v/>
      </c>
    </row>
    <row r="2517" spans="6:6">
      <c r="F2517" t="str">
        <f t="shared" si="40"/>
        <v/>
      </c>
    </row>
    <row r="2518" spans="6:6">
      <c r="F2518" t="str">
        <f t="shared" si="40"/>
        <v/>
      </c>
    </row>
    <row r="2519" spans="6:6">
      <c r="F2519" t="str">
        <f t="shared" si="40"/>
        <v/>
      </c>
    </row>
    <row r="2520" spans="6:6">
      <c r="F2520" t="str">
        <f t="shared" si="40"/>
        <v/>
      </c>
    </row>
    <row r="2521" spans="6:6">
      <c r="F2521" t="str">
        <f t="shared" si="40"/>
        <v/>
      </c>
    </row>
    <row r="2522" spans="6:6">
      <c r="F2522" t="str">
        <f t="shared" si="40"/>
        <v/>
      </c>
    </row>
    <row r="2523" spans="6:6">
      <c r="F2523" t="str">
        <f t="shared" si="40"/>
        <v/>
      </c>
    </row>
    <row r="2524" spans="6:6">
      <c r="F2524" t="str">
        <f t="shared" si="40"/>
        <v/>
      </c>
    </row>
    <row r="2525" spans="6:6">
      <c r="F2525" t="str">
        <f t="shared" si="40"/>
        <v/>
      </c>
    </row>
    <row r="2526" spans="6:6">
      <c r="F2526" t="str">
        <f t="shared" si="40"/>
        <v/>
      </c>
    </row>
    <row r="2527" spans="6:6">
      <c r="F2527" t="str">
        <f t="shared" si="40"/>
        <v/>
      </c>
    </row>
    <row r="2528" spans="6:6">
      <c r="F2528" t="str">
        <f t="shared" si="40"/>
        <v/>
      </c>
    </row>
    <row r="2529" spans="6:6">
      <c r="F2529" t="str">
        <f t="shared" si="40"/>
        <v/>
      </c>
    </row>
    <row r="2530" spans="6:6">
      <c r="F2530" t="str">
        <f t="shared" si="40"/>
        <v/>
      </c>
    </row>
    <row r="2531" spans="6:6">
      <c r="F2531" t="str">
        <f t="shared" si="40"/>
        <v/>
      </c>
    </row>
    <row r="2532" spans="6:6">
      <c r="F2532" t="str">
        <f t="shared" si="40"/>
        <v/>
      </c>
    </row>
    <row r="2533" spans="6:6">
      <c r="F2533" t="str">
        <f t="shared" si="40"/>
        <v/>
      </c>
    </row>
    <row r="2534" spans="6:6">
      <c r="F2534" t="str">
        <f t="shared" si="40"/>
        <v/>
      </c>
    </row>
    <row r="2535" spans="6:6">
      <c r="F2535" t="str">
        <f t="shared" si="40"/>
        <v/>
      </c>
    </row>
    <row r="2536" spans="6:6">
      <c r="F2536" t="str">
        <f t="shared" si="40"/>
        <v/>
      </c>
    </row>
    <row r="2537" spans="6:6">
      <c r="F2537" t="str">
        <f t="shared" si="40"/>
        <v/>
      </c>
    </row>
    <row r="2538" spans="6:6">
      <c r="F2538" t="str">
        <f t="shared" si="40"/>
        <v/>
      </c>
    </row>
    <row r="2539" spans="6:6">
      <c r="F2539" t="str">
        <f t="shared" si="40"/>
        <v/>
      </c>
    </row>
    <row r="2540" spans="6:6">
      <c r="F2540" t="str">
        <f t="shared" si="40"/>
        <v/>
      </c>
    </row>
    <row r="2541" spans="6:6">
      <c r="F2541" t="str">
        <f t="shared" si="40"/>
        <v/>
      </c>
    </row>
    <row r="2542" spans="6:6">
      <c r="F2542" t="str">
        <f t="shared" si="40"/>
        <v/>
      </c>
    </row>
    <row r="2543" spans="6:6">
      <c r="F2543" t="str">
        <f t="shared" si="40"/>
        <v/>
      </c>
    </row>
    <row r="2544" spans="6:6">
      <c r="F2544" t="str">
        <f t="shared" si="40"/>
        <v/>
      </c>
    </row>
    <row r="2545" spans="6:6">
      <c r="F2545" t="str">
        <f t="shared" si="40"/>
        <v/>
      </c>
    </row>
    <row r="2546" spans="6:6">
      <c r="F2546" t="str">
        <f t="shared" si="40"/>
        <v/>
      </c>
    </row>
    <row r="2547" spans="6:6">
      <c r="F2547" t="str">
        <f t="shared" si="40"/>
        <v/>
      </c>
    </row>
    <row r="2548" spans="6:6">
      <c r="F2548" t="str">
        <f t="shared" si="40"/>
        <v/>
      </c>
    </row>
    <row r="2549" spans="6:6">
      <c r="F2549" t="str">
        <f t="shared" si="40"/>
        <v/>
      </c>
    </row>
    <row r="2550" spans="6:6">
      <c r="F2550" t="str">
        <f t="shared" si="40"/>
        <v/>
      </c>
    </row>
    <row r="2551" spans="6:6">
      <c r="F2551" t="str">
        <f t="shared" si="40"/>
        <v/>
      </c>
    </row>
    <row r="2552" spans="6:6">
      <c r="F2552" t="str">
        <f t="shared" si="40"/>
        <v/>
      </c>
    </row>
    <row r="2553" spans="6:6">
      <c r="F2553" t="str">
        <f t="shared" si="40"/>
        <v/>
      </c>
    </row>
    <row r="2554" spans="6:6">
      <c r="F2554" t="str">
        <f t="shared" si="40"/>
        <v/>
      </c>
    </row>
    <row r="2555" spans="6:6">
      <c r="F2555" t="str">
        <f t="shared" si="40"/>
        <v/>
      </c>
    </row>
    <row r="2556" spans="6:6">
      <c r="F2556" t="str">
        <f t="shared" si="40"/>
        <v/>
      </c>
    </row>
    <row r="2557" spans="6:6">
      <c r="F2557" t="str">
        <f t="shared" si="40"/>
        <v/>
      </c>
    </row>
    <row r="2558" spans="6:6">
      <c r="F2558" t="str">
        <f t="shared" si="40"/>
        <v/>
      </c>
    </row>
    <row r="2559" spans="6:6">
      <c r="F2559" t="str">
        <f t="shared" si="40"/>
        <v/>
      </c>
    </row>
    <row r="2560" spans="6:6">
      <c r="F2560" t="str">
        <f t="shared" si="40"/>
        <v/>
      </c>
    </row>
    <row r="2561" spans="6:6">
      <c r="F2561" t="str">
        <f t="shared" si="40"/>
        <v/>
      </c>
    </row>
    <row r="2562" spans="6:6">
      <c r="F2562" t="str">
        <f t="shared" si="40"/>
        <v/>
      </c>
    </row>
    <row r="2563" spans="6:6">
      <c r="F2563" t="str">
        <f t="shared" si="40"/>
        <v/>
      </c>
    </row>
    <row r="2564" spans="6:6">
      <c r="F2564" t="str">
        <f t="shared" si="40"/>
        <v/>
      </c>
    </row>
    <row r="2565" spans="6:6">
      <c r="F2565" t="str">
        <f t="shared" si="40"/>
        <v/>
      </c>
    </row>
    <row r="2566" spans="6:6">
      <c r="F2566" t="str">
        <f t="shared" si="40"/>
        <v/>
      </c>
    </row>
    <row r="2567" spans="6:6">
      <c r="F2567" t="str">
        <f t="shared" si="40"/>
        <v/>
      </c>
    </row>
    <row r="2568" spans="6:6">
      <c r="F2568" t="str">
        <f t="shared" si="40"/>
        <v/>
      </c>
    </row>
    <row r="2569" spans="6:6">
      <c r="F2569" t="str">
        <f t="shared" si="40"/>
        <v/>
      </c>
    </row>
    <row r="2570" spans="6:6">
      <c r="F2570" t="str">
        <f t="shared" si="40"/>
        <v/>
      </c>
    </row>
    <row r="2571" spans="6:6">
      <c r="F2571" t="str">
        <f t="shared" si="40"/>
        <v/>
      </c>
    </row>
    <row r="2572" spans="6:6">
      <c r="F2572" t="str">
        <f t="shared" si="40"/>
        <v/>
      </c>
    </row>
    <row r="2573" spans="6:6">
      <c r="F2573" t="str">
        <f t="shared" ref="F2573:F2636" si="41">RIGHT(D2573,2)</f>
        <v/>
      </c>
    </row>
    <row r="2574" spans="6:6">
      <c r="F2574" t="str">
        <f t="shared" si="41"/>
        <v/>
      </c>
    </row>
    <row r="2575" spans="6:6">
      <c r="F2575" t="str">
        <f t="shared" si="41"/>
        <v/>
      </c>
    </row>
    <row r="2576" spans="6:6">
      <c r="F2576" t="str">
        <f t="shared" si="41"/>
        <v/>
      </c>
    </row>
    <row r="2577" spans="6:6">
      <c r="F2577" t="str">
        <f t="shared" si="41"/>
        <v/>
      </c>
    </row>
    <row r="2578" spans="6:6">
      <c r="F2578" t="str">
        <f t="shared" si="41"/>
        <v/>
      </c>
    </row>
    <row r="2579" spans="6:6">
      <c r="F2579" t="str">
        <f t="shared" si="41"/>
        <v/>
      </c>
    </row>
    <row r="2580" spans="6:6">
      <c r="F2580" t="str">
        <f t="shared" si="41"/>
        <v/>
      </c>
    </row>
    <row r="2581" spans="6:6">
      <c r="F2581" t="str">
        <f t="shared" si="41"/>
        <v/>
      </c>
    </row>
    <row r="2582" spans="6:6">
      <c r="F2582" t="str">
        <f t="shared" si="41"/>
        <v/>
      </c>
    </row>
    <row r="2583" spans="6:6">
      <c r="F2583" t="str">
        <f t="shared" si="41"/>
        <v/>
      </c>
    </row>
    <row r="2584" spans="6:6">
      <c r="F2584" t="str">
        <f t="shared" si="41"/>
        <v/>
      </c>
    </row>
    <row r="2585" spans="6:6">
      <c r="F2585" t="str">
        <f t="shared" si="41"/>
        <v/>
      </c>
    </row>
    <row r="2586" spans="6:6">
      <c r="F2586" t="str">
        <f t="shared" si="41"/>
        <v/>
      </c>
    </row>
    <row r="2587" spans="6:6">
      <c r="F2587" t="str">
        <f t="shared" si="41"/>
        <v/>
      </c>
    </row>
    <row r="2588" spans="6:6">
      <c r="F2588" t="str">
        <f t="shared" si="41"/>
        <v/>
      </c>
    </row>
    <row r="2589" spans="6:6">
      <c r="F2589" t="str">
        <f t="shared" si="41"/>
        <v/>
      </c>
    </row>
    <row r="2590" spans="6:6">
      <c r="F2590" t="str">
        <f t="shared" si="41"/>
        <v/>
      </c>
    </row>
    <row r="2591" spans="6:6">
      <c r="F2591" t="str">
        <f t="shared" si="41"/>
        <v/>
      </c>
    </row>
    <row r="2592" spans="6:6">
      <c r="F2592" t="str">
        <f t="shared" si="41"/>
        <v/>
      </c>
    </row>
    <row r="2593" spans="6:6">
      <c r="F2593" t="str">
        <f t="shared" si="41"/>
        <v/>
      </c>
    </row>
    <row r="2594" spans="6:6">
      <c r="F2594" t="str">
        <f t="shared" si="41"/>
        <v/>
      </c>
    </row>
    <row r="2595" spans="6:6">
      <c r="F2595" t="str">
        <f t="shared" si="41"/>
        <v/>
      </c>
    </row>
    <row r="2596" spans="6:6">
      <c r="F2596" t="str">
        <f t="shared" si="41"/>
        <v/>
      </c>
    </row>
    <row r="2597" spans="6:6">
      <c r="F2597" t="str">
        <f t="shared" si="41"/>
        <v/>
      </c>
    </row>
    <row r="2598" spans="6:6">
      <c r="F2598" t="str">
        <f t="shared" si="41"/>
        <v/>
      </c>
    </row>
    <row r="2599" spans="6:6">
      <c r="F2599" t="str">
        <f t="shared" si="41"/>
        <v/>
      </c>
    </row>
    <row r="2600" spans="6:6">
      <c r="F2600" t="str">
        <f t="shared" si="41"/>
        <v/>
      </c>
    </row>
    <row r="2601" spans="6:6">
      <c r="F2601" t="str">
        <f t="shared" si="41"/>
        <v/>
      </c>
    </row>
    <row r="2602" spans="6:6">
      <c r="F2602" t="str">
        <f t="shared" si="41"/>
        <v/>
      </c>
    </row>
    <row r="2603" spans="6:6">
      <c r="F2603" t="str">
        <f t="shared" si="41"/>
        <v/>
      </c>
    </row>
    <row r="2604" spans="6:6">
      <c r="F2604" t="str">
        <f t="shared" si="41"/>
        <v/>
      </c>
    </row>
    <row r="2605" spans="6:6">
      <c r="F2605" t="str">
        <f t="shared" si="41"/>
        <v/>
      </c>
    </row>
    <row r="2606" spans="6:6">
      <c r="F2606" t="str">
        <f t="shared" si="41"/>
        <v/>
      </c>
    </row>
    <row r="2607" spans="6:6">
      <c r="F2607" t="str">
        <f t="shared" si="41"/>
        <v/>
      </c>
    </row>
    <row r="2608" spans="6:6">
      <c r="F2608" t="str">
        <f t="shared" si="41"/>
        <v/>
      </c>
    </row>
    <row r="2609" spans="6:6">
      <c r="F2609" t="str">
        <f t="shared" si="41"/>
        <v/>
      </c>
    </row>
    <row r="2610" spans="6:6">
      <c r="F2610" t="str">
        <f t="shared" si="41"/>
        <v/>
      </c>
    </row>
    <row r="2611" spans="6:6">
      <c r="F2611" t="str">
        <f t="shared" si="41"/>
        <v/>
      </c>
    </row>
    <row r="2612" spans="6:6">
      <c r="F2612" t="str">
        <f t="shared" si="41"/>
        <v/>
      </c>
    </row>
    <row r="2613" spans="6:6">
      <c r="F2613" t="str">
        <f t="shared" si="41"/>
        <v/>
      </c>
    </row>
    <row r="2614" spans="6:6">
      <c r="F2614" t="str">
        <f t="shared" si="41"/>
        <v/>
      </c>
    </row>
    <row r="2615" spans="6:6">
      <c r="F2615" t="str">
        <f t="shared" si="41"/>
        <v/>
      </c>
    </row>
    <row r="2616" spans="6:6">
      <c r="F2616" t="str">
        <f t="shared" si="41"/>
        <v/>
      </c>
    </row>
    <row r="2617" spans="6:6">
      <c r="F2617" t="str">
        <f t="shared" si="41"/>
        <v/>
      </c>
    </row>
    <row r="2618" spans="6:6">
      <c r="F2618" t="str">
        <f t="shared" si="41"/>
        <v/>
      </c>
    </row>
    <row r="2619" spans="6:6">
      <c r="F2619" t="str">
        <f t="shared" si="41"/>
        <v/>
      </c>
    </row>
    <row r="2620" spans="6:6">
      <c r="F2620" t="str">
        <f t="shared" si="41"/>
        <v/>
      </c>
    </row>
    <row r="2621" spans="6:6">
      <c r="F2621" t="str">
        <f t="shared" si="41"/>
        <v/>
      </c>
    </row>
    <row r="2622" spans="6:6">
      <c r="F2622" t="str">
        <f t="shared" si="41"/>
        <v/>
      </c>
    </row>
    <row r="2623" spans="6:6">
      <c r="F2623" t="str">
        <f t="shared" si="41"/>
        <v/>
      </c>
    </row>
    <row r="2624" spans="6:6">
      <c r="F2624" t="str">
        <f t="shared" si="41"/>
        <v/>
      </c>
    </row>
    <row r="2625" spans="6:6">
      <c r="F2625" t="str">
        <f t="shared" si="41"/>
        <v/>
      </c>
    </row>
    <row r="2626" spans="6:6">
      <c r="F2626" t="str">
        <f t="shared" si="41"/>
        <v/>
      </c>
    </row>
    <row r="2627" spans="6:6">
      <c r="F2627" t="str">
        <f t="shared" si="41"/>
        <v/>
      </c>
    </row>
    <row r="2628" spans="6:6">
      <c r="F2628" t="str">
        <f t="shared" si="41"/>
        <v/>
      </c>
    </row>
    <row r="2629" spans="6:6">
      <c r="F2629" t="str">
        <f t="shared" si="41"/>
        <v/>
      </c>
    </row>
    <row r="2630" spans="6:6">
      <c r="F2630" t="str">
        <f t="shared" si="41"/>
        <v/>
      </c>
    </row>
    <row r="2631" spans="6:6">
      <c r="F2631" t="str">
        <f t="shared" si="41"/>
        <v/>
      </c>
    </row>
    <row r="2632" spans="6:6">
      <c r="F2632" t="str">
        <f t="shared" si="41"/>
        <v/>
      </c>
    </row>
    <row r="2633" spans="6:6">
      <c r="F2633" t="str">
        <f t="shared" si="41"/>
        <v/>
      </c>
    </row>
    <row r="2634" spans="6:6">
      <c r="F2634" t="str">
        <f t="shared" si="41"/>
        <v/>
      </c>
    </row>
    <row r="2635" spans="6:6">
      <c r="F2635" t="str">
        <f t="shared" si="41"/>
        <v/>
      </c>
    </row>
    <row r="2636" spans="6:6">
      <c r="F2636" t="str">
        <f t="shared" si="41"/>
        <v/>
      </c>
    </row>
    <row r="2637" spans="6:6">
      <c r="F2637" t="str">
        <f t="shared" ref="F2637:F2700" si="42">RIGHT(D2637,2)</f>
        <v/>
      </c>
    </row>
    <row r="2638" spans="6:6">
      <c r="F2638" t="str">
        <f t="shared" si="42"/>
        <v/>
      </c>
    </row>
    <row r="2639" spans="6:6">
      <c r="F2639" t="str">
        <f t="shared" si="42"/>
        <v/>
      </c>
    </row>
    <row r="2640" spans="6:6">
      <c r="F2640" t="str">
        <f t="shared" si="42"/>
        <v/>
      </c>
    </row>
    <row r="2641" spans="6:6">
      <c r="F2641" t="str">
        <f t="shared" si="42"/>
        <v/>
      </c>
    </row>
    <row r="2642" spans="6:6">
      <c r="F2642" t="str">
        <f t="shared" si="42"/>
        <v/>
      </c>
    </row>
    <row r="2643" spans="6:6">
      <c r="F2643" t="str">
        <f t="shared" si="42"/>
        <v/>
      </c>
    </row>
    <row r="2644" spans="6:6">
      <c r="F2644" t="str">
        <f t="shared" si="42"/>
        <v/>
      </c>
    </row>
    <row r="2645" spans="6:6">
      <c r="F2645" t="str">
        <f t="shared" si="42"/>
        <v/>
      </c>
    </row>
    <row r="2646" spans="6:6">
      <c r="F2646" t="str">
        <f t="shared" si="42"/>
        <v/>
      </c>
    </row>
    <row r="2647" spans="6:6">
      <c r="F2647" t="str">
        <f t="shared" si="42"/>
        <v/>
      </c>
    </row>
    <row r="2648" spans="6:6">
      <c r="F2648" t="str">
        <f t="shared" si="42"/>
        <v/>
      </c>
    </row>
    <row r="2649" spans="6:6">
      <c r="F2649" t="str">
        <f t="shared" si="42"/>
        <v/>
      </c>
    </row>
    <row r="2650" spans="6:6">
      <c r="F2650" t="str">
        <f t="shared" si="42"/>
        <v/>
      </c>
    </row>
    <row r="2651" spans="6:6">
      <c r="F2651" t="str">
        <f t="shared" si="42"/>
        <v/>
      </c>
    </row>
    <row r="2652" spans="6:6">
      <c r="F2652" t="str">
        <f t="shared" si="42"/>
        <v/>
      </c>
    </row>
    <row r="2653" spans="6:6">
      <c r="F2653" t="str">
        <f t="shared" si="42"/>
        <v/>
      </c>
    </row>
    <row r="2654" spans="6:6">
      <c r="F2654" t="str">
        <f t="shared" si="42"/>
        <v/>
      </c>
    </row>
    <row r="2655" spans="6:6">
      <c r="F2655" t="str">
        <f t="shared" si="42"/>
        <v/>
      </c>
    </row>
    <row r="2656" spans="6:6">
      <c r="F2656" t="str">
        <f t="shared" si="42"/>
        <v/>
      </c>
    </row>
    <row r="2657" spans="6:6">
      <c r="F2657" t="str">
        <f t="shared" si="42"/>
        <v/>
      </c>
    </row>
    <row r="2658" spans="6:6">
      <c r="F2658" t="str">
        <f t="shared" si="42"/>
        <v/>
      </c>
    </row>
    <row r="2659" spans="6:6">
      <c r="F2659" t="str">
        <f t="shared" si="42"/>
        <v/>
      </c>
    </row>
    <row r="2660" spans="6:6">
      <c r="F2660" t="str">
        <f t="shared" si="42"/>
        <v/>
      </c>
    </row>
    <row r="2661" spans="6:6">
      <c r="F2661" t="str">
        <f t="shared" si="42"/>
        <v/>
      </c>
    </row>
    <row r="2662" spans="6:6">
      <c r="F2662" t="str">
        <f t="shared" si="42"/>
        <v/>
      </c>
    </row>
    <row r="2663" spans="6:6">
      <c r="F2663" t="str">
        <f t="shared" si="42"/>
        <v/>
      </c>
    </row>
    <row r="2664" spans="6:6">
      <c r="F2664" t="str">
        <f t="shared" si="42"/>
        <v/>
      </c>
    </row>
    <row r="2665" spans="6:6">
      <c r="F2665" t="str">
        <f t="shared" si="42"/>
        <v/>
      </c>
    </row>
    <row r="2666" spans="6:6">
      <c r="F2666" t="str">
        <f t="shared" si="42"/>
        <v/>
      </c>
    </row>
    <row r="2667" spans="6:6">
      <c r="F2667" t="str">
        <f t="shared" si="42"/>
        <v/>
      </c>
    </row>
    <row r="2668" spans="6:6">
      <c r="F2668" t="str">
        <f t="shared" si="42"/>
        <v/>
      </c>
    </row>
    <row r="2669" spans="6:6">
      <c r="F2669" t="str">
        <f t="shared" si="42"/>
        <v/>
      </c>
    </row>
    <row r="2670" spans="6:6">
      <c r="F2670" t="str">
        <f t="shared" si="42"/>
        <v/>
      </c>
    </row>
    <row r="2671" spans="6:6">
      <c r="F2671" t="str">
        <f t="shared" si="42"/>
        <v/>
      </c>
    </row>
    <row r="2672" spans="6:6">
      <c r="F2672" t="str">
        <f t="shared" si="42"/>
        <v/>
      </c>
    </row>
    <row r="2673" spans="6:6">
      <c r="F2673" t="str">
        <f t="shared" si="42"/>
        <v/>
      </c>
    </row>
    <row r="2674" spans="6:6">
      <c r="F2674" t="str">
        <f t="shared" si="42"/>
        <v/>
      </c>
    </row>
    <row r="2675" spans="6:6">
      <c r="F2675" t="str">
        <f t="shared" si="42"/>
        <v/>
      </c>
    </row>
    <row r="2676" spans="6:6">
      <c r="F2676" t="str">
        <f t="shared" si="42"/>
        <v/>
      </c>
    </row>
    <row r="2677" spans="6:6">
      <c r="F2677" t="str">
        <f t="shared" si="42"/>
        <v/>
      </c>
    </row>
    <row r="2678" spans="6:6">
      <c r="F2678" t="str">
        <f t="shared" si="42"/>
        <v/>
      </c>
    </row>
    <row r="2679" spans="6:6">
      <c r="F2679" t="str">
        <f t="shared" si="42"/>
        <v/>
      </c>
    </row>
    <row r="2680" spans="6:6">
      <c r="F2680" t="str">
        <f t="shared" si="42"/>
        <v/>
      </c>
    </row>
    <row r="2681" spans="6:6">
      <c r="F2681" t="str">
        <f t="shared" si="42"/>
        <v/>
      </c>
    </row>
    <row r="2682" spans="6:6">
      <c r="F2682" t="str">
        <f t="shared" si="42"/>
        <v/>
      </c>
    </row>
    <row r="2683" spans="6:6">
      <c r="F2683" t="str">
        <f t="shared" si="42"/>
        <v/>
      </c>
    </row>
    <row r="2684" spans="6:6">
      <c r="F2684" t="str">
        <f t="shared" si="42"/>
        <v/>
      </c>
    </row>
    <row r="2685" spans="6:6">
      <c r="F2685" t="str">
        <f t="shared" si="42"/>
        <v/>
      </c>
    </row>
    <row r="2686" spans="6:6">
      <c r="F2686" t="str">
        <f t="shared" si="42"/>
        <v/>
      </c>
    </row>
    <row r="2687" spans="6:6">
      <c r="F2687" t="str">
        <f t="shared" si="42"/>
        <v/>
      </c>
    </row>
    <row r="2688" spans="6:6">
      <c r="F2688" t="str">
        <f t="shared" si="42"/>
        <v/>
      </c>
    </row>
    <row r="2689" spans="6:6">
      <c r="F2689" t="str">
        <f t="shared" si="42"/>
        <v/>
      </c>
    </row>
    <row r="2690" spans="6:6">
      <c r="F2690" t="str">
        <f t="shared" si="42"/>
        <v/>
      </c>
    </row>
    <row r="2691" spans="6:6">
      <c r="F2691" t="str">
        <f t="shared" si="42"/>
        <v/>
      </c>
    </row>
    <row r="2692" spans="6:6">
      <c r="F2692" t="str">
        <f t="shared" si="42"/>
        <v/>
      </c>
    </row>
    <row r="2693" spans="6:6">
      <c r="F2693" t="str">
        <f t="shared" si="42"/>
        <v/>
      </c>
    </row>
    <row r="2694" spans="6:6">
      <c r="F2694" t="str">
        <f t="shared" si="42"/>
        <v/>
      </c>
    </row>
    <row r="2695" spans="6:6">
      <c r="F2695" t="str">
        <f t="shared" si="42"/>
        <v/>
      </c>
    </row>
    <row r="2696" spans="6:6">
      <c r="F2696" t="str">
        <f t="shared" si="42"/>
        <v/>
      </c>
    </row>
    <row r="2697" spans="6:6">
      <c r="F2697" t="str">
        <f t="shared" si="42"/>
        <v/>
      </c>
    </row>
    <row r="2698" spans="6:6">
      <c r="F2698" t="str">
        <f t="shared" si="42"/>
        <v/>
      </c>
    </row>
    <row r="2699" spans="6:6">
      <c r="F2699" t="str">
        <f t="shared" si="42"/>
        <v/>
      </c>
    </row>
    <row r="2700" spans="6:6">
      <c r="F2700" t="str">
        <f t="shared" si="42"/>
        <v/>
      </c>
    </row>
    <row r="2701" spans="6:6">
      <c r="F2701" t="str">
        <f t="shared" ref="F2701:F2764" si="43">RIGHT(D2701,2)</f>
        <v/>
      </c>
    </row>
    <row r="2702" spans="6:6">
      <c r="F2702" t="str">
        <f t="shared" si="43"/>
        <v/>
      </c>
    </row>
    <row r="2703" spans="6:6">
      <c r="F2703" t="str">
        <f t="shared" si="43"/>
        <v/>
      </c>
    </row>
    <row r="2704" spans="6:6">
      <c r="F2704" t="str">
        <f t="shared" si="43"/>
        <v/>
      </c>
    </row>
    <row r="2705" spans="6:6">
      <c r="F2705" t="str">
        <f t="shared" si="43"/>
        <v/>
      </c>
    </row>
    <row r="2706" spans="6:6">
      <c r="F2706" t="str">
        <f t="shared" si="43"/>
        <v/>
      </c>
    </row>
    <row r="2707" spans="6:6">
      <c r="F2707" t="str">
        <f t="shared" si="43"/>
        <v/>
      </c>
    </row>
    <row r="2708" spans="6:6">
      <c r="F2708" t="str">
        <f t="shared" si="43"/>
        <v/>
      </c>
    </row>
    <row r="2709" spans="6:6">
      <c r="F2709" t="str">
        <f t="shared" si="43"/>
        <v/>
      </c>
    </row>
    <row r="2710" spans="6:6">
      <c r="F2710" t="str">
        <f t="shared" si="43"/>
        <v/>
      </c>
    </row>
    <row r="2711" spans="6:6">
      <c r="F2711" t="str">
        <f t="shared" si="43"/>
        <v/>
      </c>
    </row>
    <row r="2712" spans="6:6">
      <c r="F2712" t="str">
        <f t="shared" si="43"/>
        <v/>
      </c>
    </row>
    <row r="2713" spans="6:6">
      <c r="F2713" t="str">
        <f t="shared" si="43"/>
        <v/>
      </c>
    </row>
    <row r="2714" spans="6:6">
      <c r="F2714" t="str">
        <f t="shared" si="43"/>
        <v/>
      </c>
    </row>
    <row r="2715" spans="6:6">
      <c r="F2715" t="str">
        <f t="shared" si="43"/>
        <v/>
      </c>
    </row>
    <row r="2716" spans="6:6">
      <c r="F2716" t="str">
        <f t="shared" si="43"/>
        <v/>
      </c>
    </row>
    <row r="2717" spans="6:6">
      <c r="F2717" t="str">
        <f t="shared" si="43"/>
        <v/>
      </c>
    </row>
    <row r="2718" spans="6:6">
      <c r="F2718" t="str">
        <f t="shared" si="43"/>
        <v/>
      </c>
    </row>
    <row r="2719" spans="6:6">
      <c r="F2719" t="str">
        <f t="shared" si="43"/>
        <v/>
      </c>
    </row>
    <row r="2720" spans="6:6">
      <c r="F2720" t="str">
        <f t="shared" si="43"/>
        <v/>
      </c>
    </row>
    <row r="2721" spans="6:6">
      <c r="F2721" t="str">
        <f t="shared" si="43"/>
        <v/>
      </c>
    </row>
    <row r="2722" spans="6:6">
      <c r="F2722" t="str">
        <f t="shared" si="43"/>
        <v/>
      </c>
    </row>
    <row r="2723" spans="6:6">
      <c r="F2723" t="str">
        <f t="shared" si="43"/>
        <v/>
      </c>
    </row>
    <row r="2724" spans="6:6">
      <c r="F2724" t="str">
        <f t="shared" si="43"/>
        <v/>
      </c>
    </row>
    <row r="2725" spans="6:6">
      <c r="F2725" t="str">
        <f t="shared" si="43"/>
        <v/>
      </c>
    </row>
    <row r="2726" spans="6:6">
      <c r="F2726" t="str">
        <f t="shared" si="43"/>
        <v/>
      </c>
    </row>
    <row r="2727" spans="6:6">
      <c r="F2727" t="str">
        <f t="shared" si="43"/>
        <v/>
      </c>
    </row>
    <row r="2728" spans="6:6">
      <c r="F2728" t="str">
        <f t="shared" si="43"/>
        <v/>
      </c>
    </row>
    <row r="2729" spans="6:6">
      <c r="F2729" t="str">
        <f t="shared" si="43"/>
        <v/>
      </c>
    </row>
    <row r="2730" spans="6:6">
      <c r="F2730" t="str">
        <f t="shared" si="43"/>
        <v/>
      </c>
    </row>
    <row r="2731" spans="6:6">
      <c r="F2731" t="str">
        <f t="shared" si="43"/>
        <v/>
      </c>
    </row>
    <row r="2732" spans="6:6">
      <c r="F2732" t="str">
        <f t="shared" si="43"/>
        <v/>
      </c>
    </row>
    <row r="2733" spans="6:6">
      <c r="F2733" t="str">
        <f t="shared" si="43"/>
        <v/>
      </c>
    </row>
    <row r="2734" spans="6:6">
      <c r="F2734" t="str">
        <f t="shared" si="43"/>
        <v/>
      </c>
    </row>
    <row r="2735" spans="6:6">
      <c r="F2735" t="str">
        <f t="shared" si="43"/>
        <v/>
      </c>
    </row>
    <row r="2736" spans="6:6">
      <c r="F2736" t="str">
        <f t="shared" si="43"/>
        <v/>
      </c>
    </row>
    <row r="2737" spans="6:6">
      <c r="F2737" t="str">
        <f t="shared" si="43"/>
        <v/>
      </c>
    </row>
    <row r="2738" spans="6:6">
      <c r="F2738" t="str">
        <f t="shared" si="43"/>
        <v/>
      </c>
    </row>
    <row r="2739" spans="6:6">
      <c r="F2739" t="str">
        <f t="shared" si="43"/>
        <v/>
      </c>
    </row>
    <row r="2740" spans="6:6">
      <c r="F2740" t="str">
        <f t="shared" si="43"/>
        <v/>
      </c>
    </row>
    <row r="2741" spans="6:6">
      <c r="F2741" t="str">
        <f t="shared" si="43"/>
        <v/>
      </c>
    </row>
    <row r="2742" spans="6:6">
      <c r="F2742" t="str">
        <f t="shared" si="43"/>
        <v/>
      </c>
    </row>
    <row r="2743" spans="6:6">
      <c r="F2743" t="str">
        <f t="shared" si="43"/>
        <v/>
      </c>
    </row>
    <row r="2744" spans="6:6">
      <c r="F2744" t="str">
        <f t="shared" si="43"/>
        <v/>
      </c>
    </row>
    <row r="2745" spans="6:6">
      <c r="F2745" t="str">
        <f t="shared" si="43"/>
        <v/>
      </c>
    </row>
    <row r="2746" spans="6:6">
      <c r="F2746" t="str">
        <f t="shared" si="43"/>
        <v/>
      </c>
    </row>
    <row r="2747" spans="6:6">
      <c r="F2747" t="str">
        <f t="shared" si="43"/>
        <v/>
      </c>
    </row>
    <row r="2748" spans="6:6">
      <c r="F2748" t="str">
        <f t="shared" si="43"/>
        <v/>
      </c>
    </row>
    <row r="2749" spans="6:6">
      <c r="F2749" t="str">
        <f t="shared" si="43"/>
        <v/>
      </c>
    </row>
    <row r="2750" spans="6:6">
      <c r="F2750" t="str">
        <f t="shared" si="43"/>
        <v/>
      </c>
    </row>
    <row r="2751" spans="6:6">
      <c r="F2751" t="str">
        <f t="shared" si="43"/>
        <v/>
      </c>
    </row>
    <row r="2752" spans="6:6">
      <c r="F2752" t="str">
        <f t="shared" si="43"/>
        <v/>
      </c>
    </row>
    <row r="2753" spans="6:6">
      <c r="F2753" t="str">
        <f t="shared" si="43"/>
        <v/>
      </c>
    </row>
    <row r="2754" spans="6:6">
      <c r="F2754" t="str">
        <f t="shared" si="43"/>
        <v/>
      </c>
    </row>
    <row r="2755" spans="6:6">
      <c r="F2755" t="str">
        <f t="shared" si="43"/>
        <v/>
      </c>
    </row>
    <row r="2756" spans="6:6">
      <c r="F2756" t="str">
        <f t="shared" si="43"/>
        <v/>
      </c>
    </row>
    <row r="2757" spans="6:6">
      <c r="F2757" t="str">
        <f t="shared" si="43"/>
        <v/>
      </c>
    </row>
    <row r="2758" spans="6:6">
      <c r="F2758" t="str">
        <f t="shared" si="43"/>
        <v/>
      </c>
    </row>
    <row r="2759" spans="6:6">
      <c r="F2759" t="str">
        <f t="shared" si="43"/>
        <v/>
      </c>
    </row>
    <row r="2760" spans="6:6">
      <c r="F2760" t="str">
        <f t="shared" si="43"/>
        <v/>
      </c>
    </row>
    <row r="2761" spans="6:6">
      <c r="F2761" t="str">
        <f t="shared" si="43"/>
        <v/>
      </c>
    </row>
    <row r="2762" spans="6:6">
      <c r="F2762" t="str">
        <f t="shared" si="43"/>
        <v/>
      </c>
    </row>
    <row r="2763" spans="6:6">
      <c r="F2763" t="str">
        <f t="shared" si="43"/>
        <v/>
      </c>
    </row>
    <row r="2764" spans="6:6">
      <c r="F2764" t="str">
        <f t="shared" si="43"/>
        <v/>
      </c>
    </row>
    <row r="2765" spans="6:6">
      <c r="F2765" t="str">
        <f t="shared" ref="F2765:F2828" si="44">RIGHT(D2765,2)</f>
        <v/>
      </c>
    </row>
    <row r="2766" spans="6:6">
      <c r="F2766" t="str">
        <f t="shared" si="44"/>
        <v/>
      </c>
    </row>
    <row r="2767" spans="6:6">
      <c r="F2767" t="str">
        <f t="shared" si="44"/>
        <v/>
      </c>
    </row>
    <row r="2768" spans="6:6">
      <c r="F2768" t="str">
        <f t="shared" si="44"/>
        <v/>
      </c>
    </row>
    <row r="2769" spans="6:6">
      <c r="F2769" t="str">
        <f t="shared" si="44"/>
        <v/>
      </c>
    </row>
    <row r="2770" spans="6:6">
      <c r="F2770" t="str">
        <f t="shared" si="44"/>
        <v/>
      </c>
    </row>
    <row r="2771" spans="6:6">
      <c r="F2771" t="str">
        <f t="shared" si="44"/>
        <v/>
      </c>
    </row>
    <row r="2772" spans="6:6">
      <c r="F2772" t="str">
        <f t="shared" si="44"/>
        <v/>
      </c>
    </row>
    <row r="2773" spans="6:6">
      <c r="F2773" t="str">
        <f t="shared" si="44"/>
        <v/>
      </c>
    </row>
    <row r="2774" spans="6:6">
      <c r="F2774" t="str">
        <f t="shared" si="44"/>
        <v/>
      </c>
    </row>
    <row r="2775" spans="6:6">
      <c r="F2775" t="str">
        <f t="shared" si="44"/>
        <v/>
      </c>
    </row>
    <row r="2776" spans="6:6">
      <c r="F2776" t="str">
        <f t="shared" si="44"/>
        <v/>
      </c>
    </row>
    <row r="2777" spans="6:6">
      <c r="F2777" t="str">
        <f t="shared" si="44"/>
        <v/>
      </c>
    </row>
    <row r="2778" spans="6:6">
      <c r="F2778" t="str">
        <f t="shared" si="44"/>
        <v/>
      </c>
    </row>
    <row r="2779" spans="6:6">
      <c r="F2779" t="str">
        <f t="shared" si="44"/>
        <v/>
      </c>
    </row>
    <row r="2780" spans="6:6">
      <c r="F2780" t="str">
        <f t="shared" si="44"/>
        <v/>
      </c>
    </row>
    <row r="2781" spans="6:6">
      <c r="F2781" t="str">
        <f t="shared" si="44"/>
        <v/>
      </c>
    </row>
    <row r="2782" spans="6:6">
      <c r="F2782" t="str">
        <f t="shared" si="44"/>
        <v/>
      </c>
    </row>
    <row r="2783" spans="6:6">
      <c r="F2783" t="str">
        <f t="shared" si="44"/>
        <v/>
      </c>
    </row>
    <row r="2784" spans="6:6">
      <c r="F2784" t="str">
        <f t="shared" si="44"/>
        <v/>
      </c>
    </row>
    <row r="2785" spans="6:6">
      <c r="F2785" t="str">
        <f t="shared" si="44"/>
        <v/>
      </c>
    </row>
    <row r="2786" spans="6:6">
      <c r="F2786" t="str">
        <f t="shared" si="44"/>
        <v/>
      </c>
    </row>
    <row r="2787" spans="6:6">
      <c r="F2787" t="str">
        <f t="shared" si="44"/>
        <v/>
      </c>
    </row>
    <row r="2788" spans="6:6">
      <c r="F2788" t="str">
        <f t="shared" si="44"/>
        <v/>
      </c>
    </row>
    <row r="2789" spans="6:6">
      <c r="F2789" t="str">
        <f t="shared" si="44"/>
        <v/>
      </c>
    </row>
    <row r="2790" spans="6:6">
      <c r="F2790" t="str">
        <f t="shared" si="44"/>
        <v/>
      </c>
    </row>
    <row r="2791" spans="6:6">
      <c r="F2791" t="str">
        <f t="shared" si="44"/>
        <v/>
      </c>
    </row>
    <row r="2792" spans="6:6">
      <c r="F2792" t="str">
        <f t="shared" si="44"/>
        <v/>
      </c>
    </row>
    <row r="2793" spans="6:6">
      <c r="F2793" t="str">
        <f t="shared" si="44"/>
        <v/>
      </c>
    </row>
    <row r="2794" spans="6:6">
      <c r="F2794" t="str">
        <f t="shared" si="44"/>
        <v/>
      </c>
    </row>
    <row r="2795" spans="6:6">
      <c r="F2795" t="str">
        <f t="shared" si="44"/>
        <v/>
      </c>
    </row>
    <row r="2796" spans="6:6">
      <c r="F2796" t="str">
        <f t="shared" si="44"/>
        <v/>
      </c>
    </row>
    <row r="2797" spans="6:6">
      <c r="F2797" t="str">
        <f t="shared" si="44"/>
        <v/>
      </c>
    </row>
    <row r="2798" spans="6:6">
      <c r="F2798" t="str">
        <f t="shared" si="44"/>
        <v/>
      </c>
    </row>
    <row r="2799" spans="6:6">
      <c r="F2799" t="str">
        <f t="shared" si="44"/>
        <v/>
      </c>
    </row>
    <row r="2800" spans="6:6">
      <c r="F2800" t="str">
        <f t="shared" si="44"/>
        <v/>
      </c>
    </row>
    <row r="2801" spans="6:6">
      <c r="F2801" t="str">
        <f t="shared" si="44"/>
        <v/>
      </c>
    </row>
    <row r="2802" spans="6:6">
      <c r="F2802" t="str">
        <f t="shared" si="44"/>
        <v/>
      </c>
    </row>
    <row r="2803" spans="6:6">
      <c r="F2803" t="str">
        <f t="shared" si="44"/>
        <v/>
      </c>
    </row>
    <row r="2804" spans="6:6">
      <c r="F2804" t="str">
        <f t="shared" si="44"/>
        <v/>
      </c>
    </row>
    <row r="2805" spans="6:6">
      <c r="F2805" t="str">
        <f t="shared" si="44"/>
        <v/>
      </c>
    </row>
    <row r="2806" spans="6:6">
      <c r="F2806" t="str">
        <f t="shared" si="44"/>
        <v/>
      </c>
    </row>
    <row r="2807" spans="6:6">
      <c r="F2807" t="str">
        <f t="shared" si="44"/>
        <v/>
      </c>
    </row>
    <row r="2808" spans="6:6">
      <c r="F2808" t="str">
        <f t="shared" si="44"/>
        <v/>
      </c>
    </row>
    <row r="2809" spans="6:6">
      <c r="F2809" t="str">
        <f t="shared" si="44"/>
        <v/>
      </c>
    </row>
    <row r="2810" spans="6:6">
      <c r="F2810" t="str">
        <f t="shared" si="44"/>
        <v/>
      </c>
    </row>
    <row r="2811" spans="6:6">
      <c r="F2811" t="str">
        <f t="shared" si="44"/>
        <v/>
      </c>
    </row>
    <row r="2812" spans="6:6">
      <c r="F2812" t="str">
        <f t="shared" si="44"/>
        <v/>
      </c>
    </row>
    <row r="2813" spans="6:6">
      <c r="F2813" t="str">
        <f t="shared" si="44"/>
        <v/>
      </c>
    </row>
    <row r="2814" spans="6:6">
      <c r="F2814" t="str">
        <f t="shared" si="44"/>
        <v/>
      </c>
    </row>
    <row r="2815" spans="6:6">
      <c r="F2815" t="str">
        <f t="shared" si="44"/>
        <v/>
      </c>
    </row>
    <row r="2816" spans="6:6">
      <c r="F2816" t="str">
        <f t="shared" si="44"/>
        <v/>
      </c>
    </row>
    <row r="2817" spans="6:6">
      <c r="F2817" t="str">
        <f t="shared" si="44"/>
        <v/>
      </c>
    </row>
    <row r="2818" spans="6:6">
      <c r="F2818" t="str">
        <f t="shared" si="44"/>
        <v/>
      </c>
    </row>
    <row r="2819" spans="6:6">
      <c r="F2819" t="str">
        <f t="shared" si="44"/>
        <v/>
      </c>
    </row>
    <row r="2820" spans="6:6">
      <c r="F2820" t="str">
        <f t="shared" si="44"/>
        <v/>
      </c>
    </row>
    <row r="2821" spans="6:6">
      <c r="F2821" t="str">
        <f t="shared" si="44"/>
        <v/>
      </c>
    </row>
    <row r="2822" spans="6:6">
      <c r="F2822" t="str">
        <f t="shared" si="44"/>
        <v/>
      </c>
    </row>
    <row r="2823" spans="6:6">
      <c r="F2823" t="str">
        <f t="shared" si="44"/>
        <v/>
      </c>
    </row>
    <row r="2824" spans="6:6">
      <c r="F2824" t="str">
        <f t="shared" si="44"/>
        <v/>
      </c>
    </row>
    <row r="2825" spans="6:6">
      <c r="F2825" t="str">
        <f t="shared" si="44"/>
        <v/>
      </c>
    </row>
    <row r="2826" spans="6:6">
      <c r="F2826" t="str">
        <f t="shared" si="44"/>
        <v/>
      </c>
    </row>
    <row r="2827" spans="6:6">
      <c r="F2827" t="str">
        <f t="shared" si="44"/>
        <v/>
      </c>
    </row>
    <row r="2828" spans="6:6">
      <c r="F2828" t="str">
        <f t="shared" si="44"/>
        <v/>
      </c>
    </row>
    <row r="2829" spans="6:6">
      <c r="F2829" t="str">
        <f t="shared" ref="F2829:F2892" si="45">RIGHT(D2829,2)</f>
        <v/>
      </c>
    </row>
    <row r="2830" spans="6:6">
      <c r="F2830" t="str">
        <f t="shared" si="45"/>
        <v/>
      </c>
    </row>
    <row r="2831" spans="6:6">
      <c r="F2831" t="str">
        <f t="shared" si="45"/>
        <v/>
      </c>
    </row>
    <row r="2832" spans="6:6">
      <c r="F2832" t="str">
        <f t="shared" si="45"/>
        <v/>
      </c>
    </row>
    <row r="2833" spans="6:6">
      <c r="F2833" t="str">
        <f t="shared" si="45"/>
        <v/>
      </c>
    </row>
    <row r="2834" spans="6:6">
      <c r="F2834" t="str">
        <f t="shared" si="45"/>
        <v/>
      </c>
    </row>
    <row r="2835" spans="6:6">
      <c r="F2835" t="str">
        <f t="shared" si="45"/>
        <v/>
      </c>
    </row>
    <row r="2836" spans="6:6">
      <c r="F2836" t="str">
        <f t="shared" si="45"/>
        <v/>
      </c>
    </row>
    <row r="2837" spans="6:6">
      <c r="F2837" t="str">
        <f t="shared" si="45"/>
        <v/>
      </c>
    </row>
    <row r="2838" spans="6:6">
      <c r="F2838" t="str">
        <f t="shared" si="45"/>
        <v/>
      </c>
    </row>
    <row r="2839" spans="6:6">
      <c r="F2839" t="str">
        <f t="shared" si="45"/>
        <v/>
      </c>
    </row>
    <row r="2840" spans="6:6">
      <c r="F2840" t="str">
        <f t="shared" si="45"/>
        <v/>
      </c>
    </row>
    <row r="2841" spans="6:6">
      <c r="F2841" t="str">
        <f t="shared" si="45"/>
        <v/>
      </c>
    </row>
    <row r="2842" spans="6:6">
      <c r="F2842" t="str">
        <f t="shared" si="45"/>
        <v/>
      </c>
    </row>
    <row r="2843" spans="6:6">
      <c r="F2843" t="str">
        <f t="shared" si="45"/>
        <v/>
      </c>
    </row>
    <row r="2844" spans="6:6">
      <c r="F2844" t="str">
        <f t="shared" si="45"/>
        <v/>
      </c>
    </row>
    <row r="2845" spans="6:6">
      <c r="F2845" t="str">
        <f t="shared" si="45"/>
        <v/>
      </c>
    </row>
    <row r="2846" spans="6:6">
      <c r="F2846" t="str">
        <f t="shared" si="45"/>
        <v/>
      </c>
    </row>
    <row r="2847" spans="6:6">
      <c r="F2847" t="str">
        <f t="shared" si="45"/>
        <v/>
      </c>
    </row>
    <row r="2848" spans="6:6">
      <c r="F2848" t="str">
        <f t="shared" si="45"/>
        <v/>
      </c>
    </row>
    <row r="2849" spans="6:6">
      <c r="F2849" t="str">
        <f t="shared" si="45"/>
        <v/>
      </c>
    </row>
    <row r="2850" spans="6:6">
      <c r="F2850" t="str">
        <f t="shared" si="45"/>
        <v/>
      </c>
    </row>
    <row r="2851" spans="6:6">
      <c r="F2851" t="str">
        <f t="shared" si="45"/>
        <v/>
      </c>
    </row>
    <row r="2852" spans="6:6">
      <c r="F2852" t="str">
        <f t="shared" si="45"/>
        <v/>
      </c>
    </row>
    <row r="2853" spans="6:6">
      <c r="F2853" t="str">
        <f t="shared" si="45"/>
        <v/>
      </c>
    </row>
    <row r="2854" spans="6:6">
      <c r="F2854" t="str">
        <f t="shared" si="45"/>
        <v/>
      </c>
    </row>
    <row r="2855" spans="6:6">
      <c r="F2855" t="str">
        <f t="shared" si="45"/>
        <v/>
      </c>
    </row>
    <row r="2856" spans="6:6">
      <c r="F2856" t="str">
        <f t="shared" si="45"/>
        <v/>
      </c>
    </row>
    <row r="2857" spans="6:6">
      <c r="F2857" t="str">
        <f t="shared" si="45"/>
        <v/>
      </c>
    </row>
    <row r="2858" spans="6:6">
      <c r="F2858" t="str">
        <f t="shared" si="45"/>
        <v/>
      </c>
    </row>
    <row r="2859" spans="6:6">
      <c r="F2859" t="str">
        <f t="shared" si="45"/>
        <v/>
      </c>
    </row>
    <row r="2860" spans="6:6">
      <c r="F2860" t="str">
        <f t="shared" si="45"/>
        <v/>
      </c>
    </row>
    <row r="2861" spans="6:6">
      <c r="F2861" t="str">
        <f t="shared" si="45"/>
        <v/>
      </c>
    </row>
    <row r="2862" spans="6:6">
      <c r="F2862" t="str">
        <f t="shared" si="45"/>
        <v/>
      </c>
    </row>
    <row r="2863" spans="6:6">
      <c r="F2863" t="str">
        <f t="shared" si="45"/>
        <v/>
      </c>
    </row>
    <row r="2864" spans="6:6">
      <c r="F2864" t="str">
        <f t="shared" si="45"/>
        <v/>
      </c>
    </row>
    <row r="2865" spans="6:6">
      <c r="F2865" t="str">
        <f t="shared" si="45"/>
        <v/>
      </c>
    </row>
    <row r="2866" spans="6:6">
      <c r="F2866" t="str">
        <f t="shared" si="45"/>
        <v/>
      </c>
    </row>
    <row r="2867" spans="6:6">
      <c r="F2867" t="str">
        <f t="shared" si="45"/>
        <v/>
      </c>
    </row>
    <row r="2868" spans="6:6">
      <c r="F2868" t="str">
        <f t="shared" si="45"/>
        <v/>
      </c>
    </row>
    <row r="2869" spans="6:6">
      <c r="F2869" t="str">
        <f t="shared" si="45"/>
        <v/>
      </c>
    </row>
    <row r="2870" spans="6:6">
      <c r="F2870" t="str">
        <f t="shared" si="45"/>
        <v/>
      </c>
    </row>
    <row r="2871" spans="6:6">
      <c r="F2871" t="str">
        <f t="shared" si="45"/>
        <v/>
      </c>
    </row>
    <row r="2872" spans="6:6">
      <c r="F2872" t="str">
        <f t="shared" si="45"/>
        <v/>
      </c>
    </row>
    <row r="2873" spans="6:6">
      <c r="F2873" t="str">
        <f t="shared" si="45"/>
        <v/>
      </c>
    </row>
    <row r="2874" spans="6:6">
      <c r="F2874" t="str">
        <f t="shared" si="45"/>
        <v/>
      </c>
    </row>
    <row r="2875" spans="6:6">
      <c r="F2875" t="str">
        <f t="shared" si="45"/>
        <v/>
      </c>
    </row>
    <row r="2876" spans="6:6">
      <c r="F2876" t="str">
        <f t="shared" si="45"/>
        <v/>
      </c>
    </row>
    <row r="2877" spans="6:6">
      <c r="F2877" t="str">
        <f t="shared" si="45"/>
        <v/>
      </c>
    </row>
    <row r="2878" spans="6:6">
      <c r="F2878" t="str">
        <f t="shared" si="45"/>
        <v/>
      </c>
    </row>
    <row r="2879" spans="6:6">
      <c r="F2879" t="str">
        <f t="shared" si="45"/>
        <v/>
      </c>
    </row>
    <row r="2880" spans="6:6">
      <c r="F2880" t="str">
        <f t="shared" si="45"/>
        <v/>
      </c>
    </row>
    <row r="2881" spans="6:6">
      <c r="F2881" t="str">
        <f t="shared" si="45"/>
        <v/>
      </c>
    </row>
    <row r="2882" spans="6:6">
      <c r="F2882" t="str">
        <f t="shared" si="45"/>
        <v/>
      </c>
    </row>
    <row r="2883" spans="6:6">
      <c r="F2883" t="str">
        <f t="shared" si="45"/>
        <v/>
      </c>
    </row>
    <row r="2884" spans="6:6">
      <c r="F2884" t="str">
        <f t="shared" si="45"/>
        <v/>
      </c>
    </row>
    <row r="2885" spans="6:6">
      <c r="F2885" t="str">
        <f t="shared" si="45"/>
        <v/>
      </c>
    </row>
    <row r="2886" spans="6:6">
      <c r="F2886" t="str">
        <f t="shared" si="45"/>
        <v/>
      </c>
    </row>
    <row r="2887" spans="6:6">
      <c r="F2887" t="str">
        <f t="shared" si="45"/>
        <v/>
      </c>
    </row>
    <row r="2888" spans="6:6">
      <c r="F2888" t="str">
        <f t="shared" si="45"/>
        <v/>
      </c>
    </row>
    <row r="2889" spans="6:6">
      <c r="F2889" t="str">
        <f t="shared" si="45"/>
        <v/>
      </c>
    </row>
    <row r="2890" spans="6:6">
      <c r="F2890" t="str">
        <f t="shared" si="45"/>
        <v/>
      </c>
    </row>
    <row r="2891" spans="6:6">
      <c r="F2891" t="str">
        <f t="shared" si="45"/>
        <v/>
      </c>
    </row>
    <row r="2892" spans="6:6">
      <c r="F2892" t="str">
        <f t="shared" si="45"/>
        <v/>
      </c>
    </row>
    <row r="2893" spans="6:6">
      <c r="F2893" t="str">
        <f t="shared" ref="F2893:F2956" si="46">RIGHT(D2893,2)</f>
        <v/>
      </c>
    </row>
    <row r="2894" spans="6:6">
      <c r="F2894" t="str">
        <f t="shared" si="46"/>
        <v/>
      </c>
    </row>
    <row r="2895" spans="6:6">
      <c r="F2895" t="str">
        <f t="shared" si="46"/>
        <v/>
      </c>
    </row>
    <row r="2896" spans="6:6">
      <c r="F2896" t="str">
        <f t="shared" si="46"/>
        <v/>
      </c>
    </row>
    <row r="2897" spans="6:6">
      <c r="F2897" t="str">
        <f t="shared" si="46"/>
        <v/>
      </c>
    </row>
    <row r="2898" spans="6:6">
      <c r="F2898" t="str">
        <f t="shared" si="46"/>
        <v/>
      </c>
    </row>
    <row r="2899" spans="6:6">
      <c r="F2899" t="str">
        <f t="shared" si="46"/>
        <v/>
      </c>
    </row>
    <row r="2900" spans="6:6">
      <c r="F2900" t="str">
        <f t="shared" si="46"/>
        <v/>
      </c>
    </row>
    <row r="2901" spans="6:6">
      <c r="F2901" t="str">
        <f t="shared" si="46"/>
        <v/>
      </c>
    </row>
    <row r="2902" spans="6:6">
      <c r="F2902" t="str">
        <f t="shared" si="46"/>
        <v/>
      </c>
    </row>
    <row r="2903" spans="6:6">
      <c r="F2903" t="str">
        <f t="shared" si="46"/>
        <v/>
      </c>
    </row>
    <row r="2904" spans="6:6">
      <c r="F2904" t="str">
        <f t="shared" si="46"/>
        <v/>
      </c>
    </row>
    <row r="2905" spans="6:6">
      <c r="F2905" t="str">
        <f t="shared" si="46"/>
        <v/>
      </c>
    </row>
    <row r="2906" spans="6:6">
      <c r="F2906" t="str">
        <f t="shared" si="46"/>
        <v/>
      </c>
    </row>
    <row r="2907" spans="6:6">
      <c r="F2907" t="str">
        <f t="shared" si="46"/>
        <v/>
      </c>
    </row>
    <row r="2908" spans="6:6">
      <c r="F2908" t="str">
        <f t="shared" si="46"/>
        <v/>
      </c>
    </row>
    <row r="2909" spans="6:6">
      <c r="F2909" t="str">
        <f t="shared" si="46"/>
        <v/>
      </c>
    </row>
    <row r="2910" spans="6:6">
      <c r="F2910" t="str">
        <f t="shared" si="46"/>
        <v/>
      </c>
    </row>
    <row r="2911" spans="6:6">
      <c r="F2911" t="str">
        <f t="shared" si="46"/>
        <v/>
      </c>
    </row>
    <row r="2912" spans="6:6">
      <c r="F2912" t="str">
        <f t="shared" si="46"/>
        <v/>
      </c>
    </row>
    <row r="2913" spans="6:6">
      <c r="F2913" t="str">
        <f t="shared" si="46"/>
        <v/>
      </c>
    </row>
    <row r="2914" spans="6:6">
      <c r="F2914" t="str">
        <f t="shared" si="46"/>
        <v/>
      </c>
    </row>
    <row r="2915" spans="6:6">
      <c r="F2915" t="str">
        <f t="shared" si="46"/>
        <v/>
      </c>
    </row>
    <row r="2916" spans="6:6">
      <c r="F2916" t="str">
        <f t="shared" si="46"/>
        <v/>
      </c>
    </row>
    <row r="2917" spans="6:6">
      <c r="F2917" t="str">
        <f t="shared" si="46"/>
        <v/>
      </c>
    </row>
    <row r="2918" spans="6:6">
      <c r="F2918" t="str">
        <f t="shared" si="46"/>
        <v/>
      </c>
    </row>
    <row r="2919" spans="6:6">
      <c r="F2919" t="str">
        <f t="shared" si="46"/>
        <v/>
      </c>
    </row>
    <row r="2920" spans="6:6">
      <c r="F2920" t="str">
        <f t="shared" si="46"/>
        <v/>
      </c>
    </row>
    <row r="2921" spans="6:6">
      <c r="F2921" t="str">
        <f t="shared" si="46"/>
        <v/>
      </c>
    </row>
    <row r="2922" spans="6:6">
      <c r="F2922" t="str">
        <f t="shared" si="46"/>
        <v/>
      </c>
    </row>
    <row r="2923" spans="6:6">
      <c r="F2923" t="str">
        <f t="shared" si="46"/>
        <v/>
      </c>
    </row>
    <row r="2924" spans="6:6">
      <c r="F2924" t="str">
        <f t="shared" si="46"/>
        <v/>
      </c>
    </row>
    <row r="2925" spans="6:6">
      <c r="F2925" t="str">
        <f t="shared" si="46"/>
        <v/>
      </c>
    </row>
    <row r="2926" spans="6:6">
      <c r="F2926" t="str">
        <f t="shared" si="46"/>
        <v/>
      </c>
    </row>
    <row r="2927" spans="6:6">
      <c r="F2927" t="str">
        <f t="shared" si="46"/>
        <v/>
      </c>
    </row>
    <row r="2928" spans="6:6">
      <c r="F2928" t="str">
        <f t="shared" si="46"/>
        <v/>
      </c>
    </row>
    <row r="2929" spans="6:6">
      <c r="F2929" t="str">
        <f t="shared" si="46"/>
        <v/>
      </c>
    </row>
    <row r="2930" spans="6:6">
      <c r="F2930" t="str">
        <f t="shared" si="46"/>
        <v/>
      </c>
    </row>
    <row r="2931" spans="6:6">
      <c r="F2931" t="str">
        <f t="shared" si="46"/>
        <v/>
      </c>
    </row>
    <row r="2932" spans="6:6">
      <c r="F2932" t="str">
        <f t="shared" si="46"/>
        <v/>
      </c>
    </row>
    <row r="2933" spans="6:6">
      <c r="F2933" t="str">
        <f t="shared" si="46"/>
        <v/>
      </c>
    </row>
    <row r="2934" spans="6:6">
      <c r="F2934" t="str">
        <f t="shared" si="46"/>
        <v/>
      </c>
    </row>
    <row r="2935" spans="6:6">
      <c r="F2935" t="str">
        <f t="shared" si="46"/>
        <v/>
      </c>
    </row>
    <row r="2936" spans="6:6">
      <c r="F2936" t="str">
        <f t="shared" si="46"/>
        <v/>
      </c>
    </row>
    <row r="2937" spans="6:6">
      <c r="F2937" t="str">
        <f t="shared" si="46"/>
        <v/>
      </c>
    </row>
    <row r="2938" spans="6:6">
      <c r="F2938" t="str">
        <f t="shared" si="46"/>
        <v/>
      </c>
    </row>
    <row r="2939" spans="6:6">
      <c r="F2939" t="str">
        <f t="shared" si="46"/>
        <v/>
      </c>
    </row>
    <row r="2940" spans="6:6">
      <c r="F2940" t="str">
        <f t="shared" si="46"/>
        <v/>
      </c>
    </row>
    <row r="2941" spans="6:6">
      <c r="F2941" t="str">
        <f t="shared" si="46"/>
        <v/>
      </c>
    </row>
    <row r="2942" spans="6:6">
      <c r="F2942" t="str">
        <f t="shared" si="46"/>
        <v/>
      </c>
    </row>
    <row r="2943" spans="6:6">
      <c r="F2943" t="str">
        <f t="shared" si="46"/>
        <v/>
      </c>
    </row>
    <row r="2944" spans="6:6">
      <c r="F2944" t="str">
        <f t="shared" si="46"/>
        <v/>
      </c>
    </row>
    <row r="2945" spans="6:6">
      <c r="F2945" t="str">
        <f t="shared" si="46"/>
        <v/>
      </c>
    </row>
    <row r="2946" spans="6:6">
      <c r="F2946" t="str">
        <f t="shared" si="46"/>
        <v/>
      </c>
    </row>
    <row r="2947" spans="6:6">
      <c r="F2947" t="str">
        <f t="shared" si="46"/>
        <v/>
      </c>
    </row>
    <row r="2948" spans="6:6">
      <c r="F2948" t="str">
        <f t="shared" si="46"/>
        <v/>
      </c>
    </row>
    <row r="2949" spans="6:6">
      <c r="F2949" t="str">
        <f t="shared" si="46"/>
        <v/>
      </c>
    </row>
    <row r="2950" spans="6:6">
      <c r="F2950" t="str">
        <f t="shared" si="46"/>
        <v/>
      </c>
    </row>
    <row r="2951" spans="6:6">
      <c r="F2951" t="str">
        <f t="shared" si="46"/>
        <v/>
      </c>
    </row>
    <row r="2952" spans="6:6">
      <c r="F2952" t="str">
        <f t="shared" si="46"/>
        <v/>
      </c>
    </row>
    <row r="2953" spans="6:6">
      <c r="F2953" t="str">
        <f t="shared" si="46"/>
        <v/>
      </c>
    </row>
    <row r="2954" spans="6:6">
      <c r="F2954" t="str">
        <f t="shared" si="46"/>
        <v/>
      </c>
    </row>
    <row r="2955" spans="6:6">
      <c r="F2955" t="str">
        <f t="shared" si="46"/>
        <v/>
      </c>
    </row>
    <row r="2956" spans="6:6">
      <c r="F2956" t="str">
        <f t="shared" si="46"/>
        <v/>
      </c>
    </row>
    <row r="2957" spans="6:6">
      <c r="F2957" t="str">
        <f t="shared" ref="F2957:F3020" si="47">RIGHT(D2957,2)</f>
        <v/>
      </c>
    </row>
    <row r="2958" spans="6:6">
      <c r="F2958" t="str">
        <f t="shared" si="47"/>
        <v/>
      </c>
    </row>
    <row r="2959" spans="6:6">
      <c r="F2959" t="str">
        <f t="shared" si="47"/>
        <v/>
      </c>
    </row>
    <row r="2960" spans="6:6">
      <c r="F2960" t="str">
        <f t="shared" si="47"/>
        <v/>
      </c>
    </row>
    <row r="2961" spans="6:6">
      <c r="F2961" t="str">
        <f t="shared" si="47"/>
        <v/>
      </c>
    </row>
    <row r="2962" spans="6:6">
      <c r="F2962" t="str">
        <f t="shared" si="47"/>
        <v/>
      </c>
    </row>
    <row r="2963" spans="6:6">
      <c r="F2963" t="str">
        <f t="shared" si="47"/>
        <v/>
      </c>
    </row>
    <row r="2964" spans="6:6">
      <c r="F2964" t="str">
        <f t="shared" si="47"/>
        <v/>
      </c>
    </row>
    <row r="2965" spans="6:6">
      <c r="F2965" t="str">
        <f t="shared" si="47"/>
        <v/>
      </c>
    </row>
    <row r="2966" spans="6:6">
      <c r="F2966" t="str">
        <f t="shared" si="47"/>
        <v/>
      </c>
    </row>
    <row r="2967" spans="6:6">
      <c r="F2967" t="str">
        <f t="shared" si="47"/>
        <v/>
      </c>
    </row>
    <row r="2968" spans="6:6">
      <c r="F2968" t="str">
        <f t="shared" si="47"/>
        <v/>
      </c>
    </row>
    <row r="2969" spans="6:6">
      <c r="F2969" t="str">
        <f t="shared" si="47"/>
        <v/>
      </c>
    </row>
    <row r="2970" spans="6:6">
      <c r="F2970" t="str">
        <f t="shared" si="47"/>
        <v/>
      </c>
    </row>
    <row r="2971" spans="6:6">
      <c r="F2971" t="str">
        <f t="shared" si="47"/>
        <v/>
      </c>
    </row>
    <row r="2972" spans="6:6">
      <c r="F2972" t="str">
        <f t="shared" si="47"/>
        <v/>
      </c>
    </row>
    <row r="2973" spans="6:6">
      <c r="F2973" t="str">
        <f t="shared" si="47"/>
        <v/>
      </c>
    </row>
    <row r="2974" spans="6:6">
      <c r="F2974" t="str">
        <f t="shared" si="47"/>
        <v/>
      </c>
    </row>
    <row r="2975" spans="6:6">
      <c r="F2975" t="str">
        <f t="shared" si="47"/>
        <v/>
      </c>
    </row>
    <row r="2976" spans="6:6">
      <c r="F2976" t="str">
        <f t="shared" si="47"/>
        <v/>
      </c>
    </row>
    <row r="2977" spans="6:6">
      <c r="F2977" t="str">
        <f t="shared" si="47"/>
        <v/>
      </c>
    </row>
    <row r="2978" spans="6:6">
      <c r="F2978" t="str">
        <f t="shared" si="47"/>
        <v/>
      </c>
    </row>
    <row r="2979" spans="6:6">
      <c r="F2979" t="str">
        <f t="shared" si="47"/>
        <v/>
      </c>
    </row>
    <row r="2980" spans="6:6">
      <c r="F2980" t="str">
        <f t="shared" si="47"/>
        <v/>
      </c>
    </row>
    <row r="2981" spans="6:6">
      <c r="F2981" t="str">
        <f t="shared" si="47"/>
        <v/>
      </c>
    </row>
    <row r="2982" spans="6:6">
      <c r="F2982" t="str">
        <f t="shared" si="47"/>
        <v/>
      </c>
    </row>
    <row r="2983" spans="6:6">
      <c r="F2983" t="str">
        <f t="shared" si="47"/>
        <v/>
      </c>
    </row>
    <row r="2984" spans="6:6">
      <c r="F2984" t="str">
        <f t="shared" si="47"/>
        <v/>
      </c>
    </row>
    <row r="2985" spans="6:6">
      <c r="F2985" t="str">
        <f t="shared" si="47"/>
        <v/>
      </c>
    </row>
    <row r="2986" spans="6:6">
      <c r="F2986" t="str">
        <f t="shared" si="47"/>
        <v/>
      </c>
    </row>
    <row r="2987" spans="6:6">
      <c r="F2987" t="str">
        <f t="shared" si="47"/>
        <v/>
      </c>
    </row>
    <row r="2988" spans="6:6">
      <c r="F2988" t="str">
        <f t="shared" si="47"/>
        <v/>
      </c>
    </row>
    <row r="2989" spans="6:6">
      <c r="F2989" t="str">
        <f t="shared" si="47"/>
        <v/>
      </c>
    </row>
    <row r="2990" spans="6:6">
      <c r="F2990" t="str">
        <f t="shared" si="47"/>
        <v/>
      </c>
    </row>
    <row r="2991" spans="6:6">
      <c r="F2991" t="str">
        <f t="shared" si="47"/>
        <v/>
      </c>
    </row>
    <row r="2992" spans="6:6">
      <c r="F2992" t="str">
        <f t="shared" si="47"/>
        <v/>
      </c>
    </row>
    <row r="2993" spans="6:6">
      <c r="F2993" t="str">
        <f t="shared" si="47"/>
        <v/>
      </c>
    </row>
    <row r="2994" spans="6:6">
      <c r="F2994" t="str">
        <f t="shared" si="47"/>
        <v/>
      </c>
    </row>
    <row r="2995" spans="6:6">
      <c r="F2995" t="str">
        <f t="shared" si="47"/>
        <v/>
      </c>
    </row>
    <row r="2996" spans="6:6">
      <c r="F2996" t="str">
        <f t="shared" si="47"/>
        <v/>
      </c>
    </row>
    <row r="2997" spans="6:6">
      <c r="F2997" t="str">
        <f t="shared" si="47"/>
        <v/>
      </c>
    </row>
    <row r="2998" spans="6:6">
      <c r="F2998" t="str">
        <f t="shared" si="47"/>
        <v/>
      </c>
    </row>
    <row r="2999" spans="6:6">
      <c r="F2999" t="str">
        <f t="shared" si="47"/>
        <v/>
      </c>
    </row>
    <row r="3000" spans="6:6">
      <c r="F3000" t="str">
        <f t="shared" si="47"/>
        <v/>
      </c>
    </row>
    <row r="3001" spans="6:6">
      <c r="F3001" t="str">
        <f t="shared" si="47"/>
        <v/>
      </c>
    </row>
    <row r="3002" spans="6:6">
      <c r="F3002" t="str">
        <f t="shared" si="47"/>
        <v/>
      </c>
    </row>
    <row r="3003" spans="6:6">
      <c r="F3003" t="str">
        <f t="shared" si="47"/>
        <v/>
      </c>
    </row>
    <row r="3004" spans="6:6">
      <c r="F3004" t="str">
        <f t="shared" si="47"/>
        <v/>
      </c>
    </row>
    <row r="3005" spans="6:6">
      <c r="F3005" t="str">
        <f t="shared" si="47"/>
        <v/>
      </c>
    </row>
    <row r="3006" spans="6:6">
      <c r="F3006" t="str">
        <f t="shared" si="47"/>
        <v/>
      </c>
    </row>
    <row r="3007" spans="6:6">
      <c r="F3007" t="str">
        <f t="shared" si="47"/>
        <v/>
      </c>
    </row>
    <row r="3008" spans="6:6">
      <c r="F3008" t="str">
        <f t="shared" si="47"/>
        <v/>
      </c>
    </row>
    <row r="3009" spans="6:6">
      <c r="F3009" t="str">
        <f t="shared" si="47"/>
        <v/>
      </c>
    </row>
    <row r="3010" spans="6:6">
      <c r="F3010" t="str">
        <f t="shared" si="47"/>
        <v/>
      </c>
    </row>
    <row r="3011" spans="6:6">
      <c r="F3011" t="str">
        <f t="shared" si="47"/>
        <v/>
      </c>
    </row>
    <row r="3012" spans="6:6">
      <c r="F3012" t="str">
        <f t="shared" si="47"/>
        <v/>
      </c>
    </row>
    <row r="3013" spans="6:6">
      <c r="F3013" t="str">
        <f t="shared" si="47"/>
        <v/>
      </c>
    </row>
    <row r="3014" spans="6:6">
      <c r="F3014" t="str">
        <f t="shared" si="47"/>
        <v/>
      </c>
    </row>
    <row r="3015" spans="6:6">
      <c r="F3015" t="str">
        <f t="shared" si="47"/>
        <v/>
      </c>
    </row>
    <row r="3016" spans="6:6">
      <c r="F3016" t="str">
        <f t="shared" si="47"/>
        <v/>
      </c>
    </row>
    <row r="3017" spans="6:6">
      <c r="F3017" t="str">
        <f t="shared" si="47"/>
        <v/>
      </c>
    </row>
    <row r="3018" spans="6:6">
      <c r="F3018" t="str">
        <f t="shared" si="47"/>
        <v/>
      </c>
    </row>
    <row r="3019" spans="6:6">
      <c r="F3019" t="str">
        <f t="shared" si="47"/>
        <v/>
      </c>
    </row>
    <row r="3020" spans="6:6">
      <c r="F3020" t="str">
        <f t="shared" si="47"/>
        <v/>
      </c>
    </row>
    <row r="3021" spans="6:6">
      <c r="F3021" t="str">
        <f t="shared" ref="F3021:F3084" si="48">RIGHT(D3021,2)</f>
        <v/>
      </c>
    </row>
    <row r="3022" spans="6:6">
      <c r="F3022" t="str">
        <f t="shared" si="48"/>
        <v/>
      </c>
    </row>
    <row r="3023" spans="6:6">
      <c r="F3023" t="str">
        <f t="shared" si="48"/>
        <v/>
      </c>
    </row>
    <row r="3024" spans="6:6">
      <c r="F3024" t="str">
        <f t="shared" si="48"/>
        <v/>
      </c>
    </row>
    <row r="3025" spans="6:6">
      <c r="F3025" t="str">
        <f t="shared" si="48"/>
        <v/>
      </c>
    </row>
    <row r="3026" spans="6:6">
      <c r="F3026" t="str">
        <f t="shared" si="48"/>
        <v/>
      </c>
    </row>
    <row r="3027" spans="6:6">
      <c r="F3027" t="str">
        <f t="shared" si="48"/>
        <v/>
      </c>
    </row>
    <row r="3028" spans="6:6">
      <c r="F3028" t="str">
        <f t="shared" si="48"/>
        <v/>
      </c>
    </row>
    <row r="3029" spans="6:6">
      <c r="F3029" t="str">
        <f t="shared" si="48"/>
        <v/>
      </c>
    </row>
    <row r="3030" spans="6:6">
      <c r="F3030" t="str">
        <f t="shared" si="48"/>
        <v/>
      </c>
    </row>
    <row r="3031" spans="6:6">
      <c r="F3031" t="str">
        <f t="shared" si="48"/>
        <v/>
      </c>
    </row>
    <row r="3032" spans="6:6">
      <c r="F3032" t="str">
        <f t="shared" si="48"/>
        <v/>
      </c>
    </row>
    <row r="3033" spans="6:6">
      <c r="F3033" t="str">
        <f t="shared" si="48"/>
        <v/>
      </c>
    </row>
    <row r="3034" spans="6:6">
      <c r="F3034" t="str">
        <f t="shared" si="48"/>
        <v/>
      </c>
    </row>
    <row r="3035" spans="6:6">
      <c r="F3035" t="str">
        <f t="shared" si="48"/>
        <v/>
      </c>
    </row>
    <row r="3036" spans="6:6">
      <c r="F3036" t="str">
        <f t="shared" si="48"/>
        <v/>
      </c>
    </row>
    <row r="3037" spans="6:6">
      <c r="F3037" t="str">
        <f t="shared" si="48"/>
        <v/>
      </c>
    </row>
    <row r="3038" spans="6:6">
      <c r="F3038" t="str">
        <f t="shared" si="48"/>
        <v/>
      </c>
    </row>
    <row r="3039" spans="6:6">
      <c r="F3039" t="str">
        <f t="shared" si="48"/>
        <v/>
      </c>
    </row>
    <row r="3040" spans="6:6">
      <c r="F3040" t="str">
        <f t="shared" si="48"/>
        <v/>
      </c>
    </row>
    <row r="3041" spans="6:6">
      <c r="F3041" t="str">
        <f t="shared" si="48"/>
        <v/>
      </c>
    </row>
    <row r="3042" spans="6:6">
      <c r="F3042" t="str">
        <f t="shared" si="48"/>
        <v/>
      </c>
    </row>
    <row r="3043" spans="6:6">
      <c r="F3043" t="str">
        <f t="shared" si="48"/>
        <v/>
      </c>
    </row>
    <row r="3044" spans="6:6">
      <c r="F3044" t="str">
        <f t="shared" si="48"/>
        <v/>
      </c>
    </row>
    <row r="3045" spans="6:6">
      <c r="F3045" t="str">
        <f t="shared" si="48"/>
        <v/>
      </c>
    </row>
    <row r="3046" spans="6:6">
      <c r="F3046" t="str">
        <f t="shared" si="48"/>
        <v/>
      </c>
    </row>
    <row r="3047" spans="6:6">
      <c r="F3047" t="str">
        <f t="shared" si="48"/>
        <v/>
      </c>
    </row>
    <row r="3048" spans="6:6">
      <c r="F3048" t="str">
        <f t="shared" si="48"/>
        <v/>
      </c>
    </row>
    <row r="3049" spans="6:6">
      <c r="F3049" t="str">
        <f t="shared" si="48"/>
        <v/>
      </c>
    </row>
    <row r="3050" spans="6:6">
      <c r="F3050" t="str">
        <f t="shared" si="48"/>
        <v/>
      </c>
    </row>
    <row r="3051" spans="6:6">
      <c r="F3051" t="str">
        <f t="shared" si="48"/>
        <v/>
      </c>
    </row>
    <row r="3052" spans="6:6">
      <c r="F3052" t="str">
        <f t="shared" si="48"/>
        <v/>
      </c>
    </row>
    <row r="3053" spans="6:6">
      <c r="F3053" t="str">
        <f t="shared" si="48"/>
        <v/>
      </c>
    </row>
    <row r="3054" spans="6:6">
      <c r="F3054" t="str">
        <f t="shared" si="48"/>
        <v/>
      </c>
    </row>
    <row r="3055" spans="6:6">
      <c r="F3055" t="str">
        <f t="shared" si="48"/>
        <v/>
      </c>
    </row>
    <row r="3056" spans="6:6">
      <c r="F3056" t="str">
        <f t="shared" si="48"/>
        <v/>
      </c>
    </row>
    <row r="3057" spans="6:6">
      <c r="F3057" t="str">
        <f t="shared" si="48"/>
        <v/>
      </c>
    </row>
    <row r="3058" spans="6:6">
      <c r="F3058" t="str">
        <f t="shared" si="48"/>
        <v/>
      </c>
    </row>
    <row r="3059" spans="6:6">
      <c r="F3059" t="str">
        <f t="shared" si="48"/>
        <v/>
      </c>
    </row>
    <row r="3060" spans="6:6">
      <c r="F3060" t="str">
        <f t="shared" si="48"/>
        <v/>
      </c>
    </row>
    <row r="3061" spans="6:6">
      <c r="F3061" t="str">
        <f t="shared" si="48"/>
        <v/>
      </c>
    </row>
    <row r="3062" spans="6:6">
      <c r="F3062" t="str">
        <f t="shared" si="48"/>
        <v/>
      </c>
    </row>
    <row r="3063" spans="6:6">
      <c r="F3063" t="str">
        <f t="shared" si="48"/>
        <v/>
      </c>
    </row>
    <row r="3064" spans="6:6">
      <c r="F3064" t="str">
        <f t="shared" si="48"/>
        <v/>
      </c>
    </row>
    <row r="3065" spans="6:6">
      <c r="F3065" t="str">
        <f t="shared" si="48"/>
        <v/>
      </c>
    </row>
    <row r="3066" spans="6:6">
      <c r="F3066" t="str">
        <f t="shared" si="48"/>
        <v/>
      </c>
    </row>
    <row r="3067" spans="6:6">
      <c r="F3067" t="str">
        <f t="shared" si="48"/>
        <v/>
      </c>
    </row>
    <row r="3068" spans="6:6">
      <c r="F3068" t="str">
        <f t="shared" si="48"/>
        <v/>
      </c>
    </row>
    <row r="3069" spans="6:6">
      <c r="F3069" t="str">
        <f t="shared" si="48"/>
        <v/>
      </c>
    </row>
    <row r="3070" spans="6:6">
      <c r="F3070" t="str">
        <f t="shared" si="48"/>
        <v/>
      </c>
    </row>
    <row r="3071" spans="6:6">
      <c r="F3071" t="str">
        <f t="shared" si="48"/>
        <v/>
      </c>
    </row>
    <row r="3072" spans="6:6">
      <c r="F3072" t="str">
        <f t="shared" si="48"/>
        <v/>
      </c>
    </row>
    <row r="3073" spans="6:6">
      <c r="F3073" t="str">
        <f t="shared" si="48"/>
        <v/>
      </c>
    </row>
    <row r="3074" spans="6:6">
      <c r="F3074" t="str">
        <f t="shared" si="48"/>
        <v/>
      </c>
    </row>
    <row r="3075" spans="6:6">
      <c r="F3075" t="str">
        <f t="shared" si="48"/>
        <v/>
      </c>
    </row>
    <row r="3076" spans="6:6">
      <c r="F3076" t="str">
        <f t="shared" si="48"/>
        <v/>
      </c>
    </row>
    <row r="3077" spans="6:6">
      <c r="F3077" t="str">
        <f t="shared" si="48"/>
        <v/>
      </c>
    </row>
    <row r="3078" spans="6:6">
      <c r="F3078" t="str">
        <f t="shared" si="48"/>
        <v/>
      </c>
    </row>
    <row r="3079" spans="6:6">
      <c r="F3079" t="str">
        <f t="shared" si="48"/>
        <v/>
      </c>
    </row>
    <row r="3080" spans="6:6">
      <c r="F3080" t="str">
        <f t="shared" si="48"/>
        <v/>
      </c>
    </row>
    <row r="3081" spans="6:6">
      <c r="F3081" t="str">
        <f t="shared" si="48"/>
        <v/>
      </c>
    </row>
    <row r="3082" spans="6:6">
      <c r="F3082" t="str">
        <f t="shared" si="48"/>
        <v/>
      </c>
    </row>
    <row r="3083" spans="6:6">
      <c r="F3083" t="str">
        <f t="shared" si="48"/>
        <v/>
      </c>
    </row>
    <row r="3084" spans="6:6">
      <c r="F3084" t="str">
        <f t="shared" si="48"/>
        <v/>
      </c>
    </row>
    <row r="3085" spans="6:6">
      <c r="F3085" t="str">
        <f t="shared" ref="F3085:F3148" si="49">RIGHT(D3085,2)</f>
        <v/>
      </c>
    </row>
    <row r="3086" spans="6:6">
      <c r="F3086" t="str">
        <f t="shared" si="49"/>
        <v/>
      </c>
    </row>
    <row r="3087" spans="6:6">
      <c r="F3087" t="str">
        <f t="shared" si="49"/>
        <v/>
      </c>
    </row>
    <row r="3088" spans="6:6">
      <c r="F3088" t="str">
        <f t="shared" si="49"/>
        <v/>
      </c>
    </row>
    <row r="3089" spans="6:6">
      <c r="F3089" t="str">
        <f t="shared" si="49"/>
        <v/>
      </c>
    </row>
    <row r="3090" spans="6:6">
      <c r="F3090" t="str">
        <f t="shared" si="49"/>
        <v/>
      </c>
    </row>
    <row r="3091" spans="6:6">
      <c r="F3091" t="str">
        <f t="shared" si="49"/>
        <v/>
      </c>
    </row>
    <row r="3092" spans="6:6">
      <c r="F3092" t="str">
        <f t="shared" si="49"/>
        <v/>
      </c>
    </row>
    <row r="3093" spans="6:6">
      <c r="F3093" t="str">
        <f t="shared" si="49"/>
        <v/>
      </c>
    </row>
    <row r="3094" spans="6:6">
      <c r="F3094" t="str">
        <f t="shared" si="49"/>
        <v/>
      </c>
    </row>
    <row r="3095" spans="6:6">
      <c r="F3095" t="str">
        <f t="shared" si="49"/>
        <v/>
      </c>
    </row>
    <row r="3096" spans="6:6">
      <c r="F3096" t="str">
        <f t="shared" si="49"/>
        <v/>
      </c>
    </row>
    <row r="3097" spans="6:6">
      <c r="F3097" t="str">
        <f t="shared" si="49"/>
        <v/>
      </c>
    </row>
    <row r="3098" spans="6:6">
      <c r="F3098" t="str">
        <f t="shared" si="49"/>
        <v/>
      </c>
    </row>
    <row r="3099" spans="6:6">
      <c r="F3099" t="str">
        <f t="shared" si="49"/>
        <v/>
      </c>
    </row>
    <row r="3100" spans="6:6">
      <c r="F3100" t="str">
        <f t="shared" si="49"/>
        <v/>
      </c>
    </row>
    <row r="3101" spans="6:6">
      <c r="F3101" t="str">
        <f t="shared" si="49"/>
        <v/>
      </c>
    </row>
    <row r="3102" spans="6:6">
      <c r="F3102" t="str">
        <f t="shared" si="49"/>
        <v/>
      </c>
    </row>
    <row r="3103" spans="6:6">
      <c r="F3103" t="str">
        <f t="shared" si="49"/>
        <v/>
      </c>
    </row>
    <row r="3104" spans="6:6">
      <c r="F3104" t="str">
        <f t="shared" si="49"/>
        <v/>
      </c>
    </row>
    <row r="3105" spans="6:6">
      <c r="F3105" t="str">
        <f t="shared" si="49"/>
        <v/>
      </c>
    </row>
    <row r="3106" spans="6:6">
      <c r="F3106" t="str">
        <f t="shared" si="49"/>
        <v/>
      </c>
    </row>
    <row r="3107" spans="6:6">
      <c r="F3107" t="str">
        <f t="shared" si="49"/>
        <v/>
      </c>
    </row>
    <row r="3108" spans="6:6">
      <c r="F3108" t="str">
        <f t="shared" si="49"/>
        <v/>
      </c>
    </row>
    <row r="3109" spans="6:6">
      <c r="F3109" t="str">
        <f t="shared" si="49"/>
        <v/>
      </c>
    </row>
    <row r="3110" spans="6:6">
      <c r="F3110" t="str">
        <f t="shared" si="49"/>
        <v/>
      </c>
    </row>
    <row r="3111" spans="6:6">
      <c r="F3111" t="str">
        <f t="shared" si="49"/>
        <v/>
      </c>
    </row>
    <row r="3112" spans="6:6">
      <c r="F3112" t="str">
        <f t="shared" si="49"/>
        <v/>
      </c>
    </row>
    <row r="3113" spans="6:6">
      <c r="F3113" t="str">
        <f t="shared" si="49"/>
        <v/>
      </c>
    </row>
    <row r="3114" spans="6:6">
      <c r="F3114" t="str">
        <f t="shared" si="49"/>
        <v/>
      </c>
    </row>
    <row r="3115" spans="6:6">
      <c r="F3115" t="str">
        <f t="shared" si="49"/>
        <v/>
      </c>
    </row>
    <row r="3116" spans="6:6">
      <c r="F3116" t="str">
        <f t="shared" si="49"/>
        <v/>
      </c>
    </row>
    <row r="3117" spans="6:6">
      <c r="F3117" t="str">
        <f t="shared" si="49"/>
        <v/>
      </c>
    </row>
    <row r="3118" spans="6:6">
      <c r="F3118" t="str">
        <f t="shared" si="49"/>
        <v/>
      </c>
    </row>
    <row r="3119" spans="6:6">
      <c r="F3119" t="str">
        <f t="shared" si="49"/>
        <v/>
      </c>
    </row>
    <row r="3120" spans="6:6">
      <c r="F3120" t="str">
        <f t="shared" si="49"/>
        <v/>
      </c>
    </row>
    <row r="3121" spans="6:6">
      <c r="F3121" t="str">
        <f t="shared" si="49"/>
        <v/>
      </c>
    </row>
    <row r="3122" spans="6:6">
      <c r="F3122" t="str">
        <f t="shared" si="49"/>
        <v/>
      </c>
    </row>
    <row r="3123" spans="6:6">
      <c r="F3123" t="str">
        <f t="shared" si="49"/>
        <v/>
      </c>
    </row>
    <row r="3124" spans="6:6">
      <c r="F3124" t="str">
        <f t="shared" si="49"/>
        <v/>
      </c>
    </row>
    <row r="3125" spans="6:6">
      <c r="F3125" t="str">
        <f t="shared" si="49"/>
        <v/>
      </c>
    </row>
    <row r="3126" spans="6:6">
      <c r="F3126" t="str">
        <f t="shared" si="49"/>
        <v/>
      </c>
    </row>
    <row r="3127" spans="6:6">
      <c r="F3127" t="str">
        <f t="shared" si="49"/>
        <v/>
      </c>
    </row>
    <row r="3128" spans="6:6">
      <c r="F3128" t="str">
        <f t="shared" si="49"/>
        <v/>
      </c>
    </row>
    <row r="3129" spans="6:6">
      <c r="F3129" t="str">
        <f t="shared" si="49"/>
        <v/>
      </c>
    </row>
    <row r="3130" spans="6:6">
      <c r="F3130" t="str">
        <f t="shared" si="49"/>
        <v/>
      </c>
    </row>
    <row r="3131" spans="6:6">
      <c r="F3131" t="str">
        <f t="shared" si="49"/>
        <v/>
      </c>
    </row>
    <row r="3132" spans="6:6">
      <c r="F3132" t="str">
        <f t="shared" si="49"/>
        <v/>
      </c>
    </row>
    <row r="3133" spans="6:6">
      <c r="F3133" t="str">
        <f t="shared" si="49"/>
        <v/>
      </c>
    </row>
    <row r="3134" spans="6:6">
      <c r="F3134" t="str">
        <f t="shared" si="49"/>
        <v/>
      </c>
    </row>
    <row r="3135" spans="6:6">
      <c r="F3135" t="str">
        <f t="shared" si="49"/>
        <v/>
      </c>
    </row>
    <row r="3136" spans="6:6">
      <c r="F3136" t="str">
        <f t="shared" si="49"/>
        <v/>
      </c>
    </row>
    <row r="3137" spans="6:6">
      <c r="F3137" t="str">
        <f t="shared" si="49"/>
        <v/>
      </c>
    </row>
    <row r="3138" spans="6:6">
      <c r="F3138" t="str">
        <f t="shared" si="49"/>
        <v/>
      </c>
    </row>
    <row r="3139" spans="6:6">
      <c r="F3139" t="str">
        <f t="shared" si="49"/>
        <v/>
      </c>
    </row>
    <row r="3140" spans="6:6">
      <c r="F3140" t="str">
        <f t="shared" si="49"/>
        <v/>
      </c>
    </row>
    <row r="3141" spans="6:6">
      <c r="F3141" t="str">
        <f t="shared" si="49"/>
        <v/>
      </c>
    </row>
    <row r="3142" spans="6:6">
      <c r="F3142" t="str">
        <f t="shared" si="49"/>
        <v/>
      </c>
    </row>
    <row r="3143" spans="6:6">
      <c r="F3143" t="str">
        <f t="shared" si="49"/>
        <v/>
      </c>
    </row>
    <row r="3144" spans="6:6">
      <c r="F3144" t="str">
        <f t="shared" si="49"/>
        <v/>
      </c>
    </row>
    <row r="3145" spans="6:6">
      <c r="F3145" t="str">
        <f t="shared" si="49"/>
        <v/>
      </c>
    </row>
    <row r="3146" spans="6:6">
      <c r="F3146" t="str">
        <f t="shared" si="49"/>
        <v/>
      </c>
    </row>
    <row r="3147" spans="6:6">
      <c r="F3147" t="str">
        <f t="shared" si="49"/>
        <v/>
      </c>
    </row>
    <row r="3148" spans="6:6">
      <c r="F3148" t="str">
        <f t="shared" si="49"/>
        <v/>
      </c>
    </row>
    <row r="3149" spans="6:6">
      <c r="F3149" t="str">
        <f t="shared" ref="F3149:F3212" si="50">RIGHT(D3149,2)</f>
        <v/>
      </c>
    </row>
    <row r="3150" spans="6:6">
      <c r="F3150" t="str">
        <f t="shared" si="50"/>
        <v/>
      </c>
    </row>
    <row r="3151" spans="6:6">
      <c r="F3151" t="str">
        <f t="shared" si="50"/>
        <v/>
      </c>
    </row>
    <row r="3152" spans="6:6">
      <c r="F3152" t="str">
        <f t="shared" si="50"/>
        <v/>
      </c>
    </row>
    <row r="3153" spans="6:6">
      <c r="F3153" t="str">
        <f t="shared" si="50"/>
        <v/>
      </c>
    </row>
    <row r="3154" spans="6:6">
      <c r="F3154" t="str">
        <f t="shared" si="50"/>
        <v/>
      </c>
    </row>
    <row r="3155" spans="6:6">
      <c r="F3155" t="str">
        <f t="shared" si="50"/>
        <v/>
      </c>
    </row>
    <row r="3156" spans="6:6">
      <c r="F3156" t="str">
        <f t="shared" si="50"/>
        <v/>
      </c>
    </row>
    <row r="3157" spans="6:6">
      <c r="F3157" t="str">
        <f t="shared" si="50"/>
        <v/>
      </c>
    </row>
    <row r="3158" spans="6:6">
      <c r="F3158" t="str">
        <f t="shared" si="50"/>
        <v/>
      </c>
    </row>
    <row r="3159" spans="6:6">
      <c r="F3159" t="str">
        <f t="shared" si="50"/>
        <v/>
      </c>
    </row>
    <row r="3160" spans="6:6">
      <c r="F3160" t="str">
        <f t="shared" si="50"/>
        <v/>
      </c>
    </row>
    <row r="3161" spans="6:6">
      <c r="F3161" t="str">
        <f t="shared" si="50"/>
        <v/>
      </c>
    </row>
    <row r="3162" spans="6:6">
      <c r="F3162" t="str">
        <f t="shared" si="50"/>
        <v/>
      </c>
    </row>
    <row r="3163" spans="6:6">
      <c r="F3163" t="str">
        <f t="shared" si="50"/>
        <v/>
      </c>
    </row>
    <row r="3164" spans="6:6">
      <c r="F3164" t="str">
        <f t="shared" si="50"/>
        <v/>
      </c>
    </row>
    <row r="3165" spans="6:6">
      <c r="F3165" t="str">
        <f t="shared" si="50"/>
        <v/>
      </c>
    </row>
    <row r="3166" spans="6:6">
      <c r="F3166" t="str">
        <f t="shared" si="50"/>
        <v/>
      </c>
    </row>
    <row r="3167" spans="6:6">
      <c r="F3167" t="str">
        <f t="shared" si="50"/>
        <v/>
      </c>
    </row>
    <row r="3168" spans="6:6">
      <c r="F3168" t="str">
        <f t="shared" si="50"/>
        <v/>
      </c>
    </row>
    <row r="3169" spans="6:6">
      <c r="F3169" t="str">
        <f t="shared" si="50"/>
        <v/>
      </c>
    </row>
    <row r="3170" spans="6:6">
      <c r="F3170" t="str">
        <f t="shared" si="50"/>
        <v/>
      </c>
    </row>
    <row r="3171" spans="6:6">
      <c r="F3171" t="str">
        <f t="shared" si="50"/>
        <v/>
      </c>
    </row>
    <row r="3172" spans="6:6">
      <c r="F3172" t="str">
        <f t="shared" si="50"/>
        <v/>
      </c>
    </row>
    <row r="3173" spans="6:6">
      <c r="F3173" t="str">
        <f t="shared" si="50"/>
        <v/>
      </c>
    </row>
    <row r="3174" spans="6:6">
      <c r="F3174" t="str">
        <f t="shared" si="50"/>
        <v/>
      </c>
    </row>
    <row r="3175" spans="6:6">
      <c r="F3175" t="str">
        <f t="shared" si="50"/>
        <v/>
      </c>
    </row>
    <row r="3176" spans="6:6">
      <c r="F3176" t="str">
        <f t="shared" si="50"/>
        <v/>
      </c>
    </row>
    <row r="3177" spans="6:6">
      <c r="F3177" t="str">
        <f t="shared" si="50"/>
        <v/>
      </c>
    </row>
    <row r="3178" spans="6:6">
      <c r="F3178" t="str">
        <f t="shared" si="50"/>
        <v/>
      </c>
    </row>
    <row r="3179" spans="6:6">
      <c r="F3179" t="str">
        <f t="shared" si="50"/>
        <v/>
      </c>
    </row>
    <row r="3180" spans="6:6">
      <c r="F3180" t="str">
        <f t="shared" si="50"/>
        <v/>
      </c>
    </row>
    <row r="3181" spans="6:6">
      <c r="F3181" t="str">
        <f t="shared" si="50"/>
        <v/>
      </c>
    </row>
    <row r="3182" spans="6:6">
      <c r="F3182" t="str">
        <f t="shared" si="50"/>
        <v/>
      </c>
    </row>
    <row r="3183" spans="6:6">
      <c r="F3183" t="str">
        <f t="shared" si="50"/>
        <v/>
      </c>
    </row>
    <row r="3184" spans="6:6">
      <c r="F3184" t="str">
        <f t="shared" si="50"/>
        <v/>
      </c>
    </row>
    <row r="3185" spans="6:6">
      <c r="F3185" t="str">
        <f t="shared" si="50"/>
        <v/>
      </c>
    </row>
    <row r="3186" spans="6:6">
      <c r="F3186" t="str">
        <f t="shared" si="50"/>
        <v/>
      </c>
    </row>
    <row r="3187" spans="6:6">
      <c r="F3187" t="str">
        <f t="shared" si="50"/>
        <v/>
      </c>
    </row>
    <row r="3188" spans="6:6">
      <c r="F3188" t="str">
        <f t="shared" si="50"/>
        <v/>
      </c>
    </row>
    <row r="3189" spans="6:6">
      <c r="F3189" t="str">
        <f t="shared" si="50"/>
        <v/>
      </c>
    </row>
    <row r="3190" spans="6:6">
      <c r="F3190" t="str">
        <f t="shared" si="50"/>
        <v/>
      </c>
    </row>
    <row r="3191" spans="6:6">
      <c r="F3191" t="str">
        <f t="shared" si="50"/>
        <v/>
      </c>
    </row>
    <row r="3192" spans="6:6">
      <c r="F3192" t="str">
        <f t="shared" si="50"/>
        <v/>
      </c>
    </row>
    <row r="3193" spans="6:6">
      <c r="F3193" t="str">
        <f t="shared" si="50"/>
        <v/>
      </c>
    </row>
    <row r="3194" spans="6:6">
      <c r="F3194" t="str">
        <f t="shared" si="50"/>
        <v/>
      </c>
    </row>
    <row r="3195" spans="6:6">
      <c r="F3195" t="str">
        <f t="shared" si="50"/>
        <v/>
      </c>
    </row>
    <row r="3196" spans="6:6">
      <c r="F3196" t="str">
        <f t="shared" si="50"/>
        <v/>
      </c>
    </row>
    <row r="3197" spans="6:6">
      <c r="F3197" t="str">
        <f t="shared" si="50"/>
        <v/>
      </c>
    </row>
    <row r="3198" spans="6:6">
      <c r="F3198" t="str">
        <f t="shared" si="50"/>
        <v/>
      </c>
    </row>
    <row r="3199" spans="6:6">
      <c r="F3199" t="str">
        <f t="shared" si="50"/>
        <v/>
      </c>
    </row>
    <row r="3200" spans="6:6">
      <c r="F3200" t="str">
        <f t="shared" si="50"/>
        <v/>
      </c>
    </row>
    <row r="3201" spans="6:6">
      <c r="F3201" t="str">
        <f t="shared" si="50"/>
        <v/>
      </c>
    </row>
    <row r="3202" spans="6:6">
      <c r="F3202" t="str">
        <f t="shared" si="50"/>
        <v/>
      </c>
    </row>
    <row r="3203" spans="6:6">
      <c r="F3203" t="str">
        <f t="shared" si="50"/>
        <v/>
      </c>
    </row>
    <row r="3204" spans="6:6">
      <c r="F3204" t="str">
        <f t="shared" si="50"/>
        <v/>
      </c>
    </row>
    <row r="3205" spans="6:6">
      <c r="F3205" t="str">
        <f t="shared" si="50"/>
        <v/>
      </c>
    </row>
    <row r="3206" spans="6:6">
      <c r="F3206" t="str">
        <f t="shared" si="50"/>
        <v/>
      </c>
    </row>
    <row r="3207" spans="6:6">
      <c r="F3207" t="str">
        <f t="shared" si="50"/>
        <v/>
      </c>
    </row>
    <row r="3208" spans="6:6">
      <c r="F3208" t="str">
        <f t="shared" si="50"/>
        <v/>
      </c>
    </row>
    <row r="3209" spans="6:6">
      <c r="F3209" t="str">
        <f t="shared" si="50"/>
        <v/>
      </c>
    </row>
    <row r="3210" spans="6:6">
      <c r="F3210" t="str">
        <f t="shared" si="50"/>
        <v/>
      </c>
    </row>
    <row r="3211" spans="6:6">
      <c r="F3211" t="str">
        <f t="shared" si="50"/>
        <v/>
      </c>
    </row>
    <row r="3212" spans="6:6">
      <c r="F3212" t="str">
        <f t="shared" si="50"/>
        <v/>
      </c>
    </row>
    <row r="3213" spans="6:6">
      <c r="F3213" t="str">
        <f t="shared" ref="F3213:F3276" si="51">RIGHT(D3213,2)</f>
        <v/>
      </c>
    </row>
    <row r="3214" spans="6:6">
      <c r="F3214" t="str">
        <f t="shared" si="51"/>
        <v/>
      </c>
    </row>
    <row r="3215" spans="6:6">
      <c r="F3215" t="str">
        <f t="shared" si="51"/>
        <v/>
      </c>
    </row>
    <row r="3216" spans="6:6">
      <c r="F3216" t="str">
        <f t="shared" si="51"/>
        <v/>
      </c>
    </row>
    <row r="3217" spans="6:6">
      <c r="F3217" t="str">
        <f t="shared" si="51"/>
        <v/>
      </c>
    </row>
    <row r="3218" spans="6:6">
      <c r="F3218" t="str">
        <f t="shared" si="51"/>
        <v/>
      </c>
    </row>
    <row r="3219" spans="6:6">
      <c r="F3219" t="str">
        <f t="shared" si="51"/>
        <v/>
      </c>
    </row>
    <row r="3220" spans="6:6">
      <c r="F3220" t="str">
        <f t="shared" si="51"/>
        <v/>
      </c>
    </row>
    <row r="3221" spans="6:6">
      <c r="F3221" t="str">
        <f t="shared" si="51"/>
        <v/>
      </c>
    </row>
    <row r="3222" spans="6:6">
      <c r="F3222" t="str">
        <f t="shared" si="51"/>
        <v/>
      </c>
    </row>
    <row r="3223" spans="6:6">
      <c r="F3223" t="str">
        <f t="shared" si="51"/>
        <v/>
      </c>
    </row>
    <row r="3224" spans="6:6">
      <c r="F3224" t="str">
        <f t="shared" si="51"/>
        <v/>
      </c>
    </row>
    <row r="3225" spans="6:6">
      <c r="F3225" t="str">
        <f t="shared" si="51"/>
        <v/>
      </c>
    </row>
    <row r="3226" spans="6:6">
      <c r="F3226" t="str">
        <f t="shared" si="51"/>
        <v/>
      </c>
    </row>
    <row r="3227" spans="6:6">
      <c r="F3227" t="str">
        <f t="shared" si="51"/>
        <v/>
      </c>
    </row>
    <row r="3228" spans="6:6">
      <c r="F3228" t="str">
        <f t="shared" si="51"/>
        <v/>
      </c>
    </row>
    <row r="3229" spans="6:6">
      <c r="F3229" t="str">
        <f t="shared" si="51"/>
        <v/>
      </c>
    </row>
    <row r="3230" spans="6:6">
      <c r="F3230" t="str">
        <f t="shared" si="51"/>
        <v/>
      </c>
    </row>
    <row r="3231" spans="6:6">
      <c r="F3231" t="str">
        <f t="shared" si="51"/>
        <v/>
      </c>
    </row>
    <row r="3232" spans="6:6">
      <c r="F3232" t="str">
        <f t="shared" si="51"/>
        <v/>
      </c>
    </row>
    <row r="3233" spans="6:6">
      <c r="F3233" t="str">
        <f t="shared" si="51"/>
        <v/>
      </c>
    </row>
    <row r="3234" spans="6:6">
      <c r="F3234" t="str">
        <f t="shared" si="51"/>
        <v/>
      </c>
    </row>
    <row r="3235" spans="6:6">
      <c r="F3235" t="str">
        <f t="shared" si="51"/>
        <v/>
      </c>
    </row>
    <row r="3236" spans="6:6">
      <c r="F3236" t="str">
        <f t="shared" si="51"/>
        <v/>
      </c>
    </row>
    <row r="3237" spans="6:6">
      <c r="F3237" t="str">
        <f t="shared" si="51"/>
        <v/>
      </c>
    </row>
    <row r="3238" spans="6:6">
      <c r="F3238" t="str">
        <f t="shared" si="51"/>
        <v/>
      </c>
    </row>
    <row r="3239" spans="6:6">
      <c r="F3239" t="str">
        <f t="shared" si="51"/>
        <v/>
      </c>
    </row>
    <row r="3240" spans="6:6">
      <c r="F3240" t="str">
        <f t="shared" si="51"/>
        <v/>
      </c>
    </row>
    <row r="3241" spans="6:6">
      <c r="F3241" t="str">
        <f t="shared" si="51"/>
        <v/>
      </c>
    </row>
    <row r="3242" spans="6:6">
      <c r="F3242" t="str">
        <f t="shared" si="51"/>
        <v/>
      </c>
    </row>
    <row r="3243" spans="6:6">
      <c r="F3243" t="str">
        <f t="shared" si="51"/>
        <v/>
      </c>
    </row>
    <row r="3244" spans="6:6">
      <c r="F3244" t="str">
        <f t="shared" si="51"/>
        <v/>
      </c>
    </row>
    <row r="3245" spans="6:6">
      <c r="F3245" t="str">
        <f t="shared" si="51"/>
        <v/>
      </c>
    </row>
    <row r="3246" spans="6:6">
      <c r="F3246" t="str">
        <f t="shared" si="51"/>
        <v/>
      </c>
    </row>
    <row r="3247" spans="6:6">
      <c r="F3247" t="str">
        <f t="shared" si="51"/>
        <v/>
      </c>
    </row>
    <row r="3248" spans="6:6">
      <c r="F3248" t="str">
        <f t="shared" si="51"/>
        <v/>
      </c>
    </row>
    <row r="3249" spans="6:6">
      <c r="F3249" t="str">
        <f t="shared" si="51"/>
        <v/>
      </c>
    </row>
    <row r="3250" spans="6:6">
      <c r="F3250" t="str">
        <f t="shared" si="51"/>
        <v/>
      </c>
    </row>
    <row r="3251" spans="6:6">
      <c r="F3251" t="str">
        <f t="shared" si="51"/>
        <v/>
      </c>
    </row>
    <row r="3252" spans="6:6">
      <c r="F3252" t="str">
        <f t="shared" si="51"/>
        <v/>
      </c>
    </row>
    <row r="3253" spans="6:6">
      <c r="F3253" t="str">
        <f t="shared" si="51"/>
        <v/>
      </c>
    </row>
    <row r="3254" spans="6:6">
      <c r="F3254" t="str">
        <f t="shared" si="51"/>
        <v/>
      </c>
    </row>
    <row r="3255" spans="6:6">
      <c r="F3255" t="str">
        <f t="shared" si="51"/>
        <v/>
      </c>
    </row>
    <row r="3256" spans="6:6">
      <c r="F3256" t="str">
        <f t="shared" si="51"/>
        <v/>
      </c>
    </row>
    <row r="3257" spans="6:6">
      <c r="F3257" t="str">
        <f t="shared" si="51"/>
        <v/>
      </c>
    </row>
    <row r="3258" spans="6:6">
      <c r="F3258" t="str">
        <f t="shared" si="51"/>
        <v/>
      </c>
    </row>
    <row r="3259" spans="6:6">
      <c r="F3259" t="str">
        <f t="shared" si="51"/>
        <v/>
      </c>
    </row>
    <row r="3260" spans="6:6">
      <c r="F3260" t="str">
        <f t="shared" si="51"/>
        <v/>
      </c>
    </row>
    <row r="3261" spans="6:6">
      <c r="F3261" t="str">
        <f t="shared" si="51"/>
        <v/>
      </c>
    </row>
    <row r="3262" spans="6:6">
      <c r="F3262" t="str">
        <f t="shared" si="51"/>
        <v/>
      </c>
    </row>
    <row r="3263" spans="6:6">
      <c r="F3263" t="str">
        <f t="shared" si="51"/>
        <v/>
      </c>
    </row>
    <row r="3264" spans="6:6">
      <c r="F3264" t="str">
        <f t="shared" si="51"/>
        <v/>
      </c>
    </row>
    <row r="3265" spans="6:6">
      <c r="F3265" t="str">
        <f t="shared" si="51"/>
        <v/>
      </c>
    </row>
    <row r="3266" spans="6:6">
      <c r="F3266" t="str">
        <f t="shared" si="51"/>
        <v/>
      </c>
    </row>
    <row r="3267" spans="6:6">
      <c r="F3267" t="str">
        <f t="shared" si="51"/>
        <v/>
      </c>
    </row>
    <row r="3268" spans="6:6">
      <c r="F3268" t="str">
        <f t="shared" si="51"/>
        <v/>
      </c>
    </row>
    <row r="3269" spans="6:6">
      <c r="F3269" t="str">
        <f t="shared" si="51"/>
        <v/>
      </c>
    </row>
    <row r="3270" spans="6:6">
      <c r="F3270" t="str">
        <f t="shared" si="51"/>
        <v/>
      </c>
    </row>
    <row r="3271" spans="6:6">
      <c r="F3271" t="str">
        <f t="shared" si="51"/>
        <v/>
      </c>
    </row>
    <row r="3272" spans="6:6">
      <c r="F3272" t="str">
        <f t="shared" si="51"/>
        <v/>
      </c>
    </row>
    <row r="3273" spans="6:6">
      <c r="F3273" t="str">
        <f t="shared" si="51"/>
        <v/>
      </c>
    </row>
    <row r="3274" spans="6:6">
      <c r="F3274" t="str">
        <f t="shared" si="51"/>
        <v/>
      </c>
    </row>
    <row r="3275" spans="6:6">
      <c r="F3275" t="str">
        <f t="shared" si="51"/>
        <v/>
      </c>
    </row>
    <row r="3276" spans="6:6">
      <c r="F3276" t="str">
        <f t="shared" si="51"/>
        <v/>
      </c>
    </row>
    <row r="3277" spans="6:6">
      <c r="F3277" t="str">
        <f t="shared" ref="F3277:F3340" si="52">RIGHT(D3277,2)</f>
        <v/>
      </c>
    </row>
    <row r="3278" spans="6:6">
      <c r="F3278" t="str">
        <f t="shared" si="52"/>
        <v/>
      </c>
    </row>
    <row r="3279" spans="6:6">
      <c r="F3279" t="str">
        <f t="shared" si="52"/>
        <v/>
      </c>
    </row>
    <row r="3280" spans="6:6">
      <c r="F3280" t="str">
        <f t="shared" si="52"/>
        <v/>
      </c>
    </row>
    <row r="3281" spans="6:6">
      <c r="F3281" t="str">
        <f t="shared" si="52"/>
        <v/>
      </c>
    </row>
    <row r="3282" spans="6:6">
      <c r="F3282" t="str">
        <f t="shared" si="52"/>
        <v/>
      </c>
    </row>
    <row r="3283" spans="6:6">
      <c r="F3283" t="str">
        <f t="shared" si="52"/>
        <v/>
      </c>
    </row>
    <row r="3284" spans="6:6">
      <c r="F3284" t="str">
        <f t="shared" si="52"/>
        <v/>
      </c>
    </row>
    <row r="3285" spans="6:6">
      <c r="F3285" t="str">
        <f t="shared" si="52"/>
        <v/>
      </c>
    </row>
    <row r="3286" spans="6:6">
      <c r="F3286" t="str">
        <f t="shared" si="52"/>
        <v/>
      </c>
    </row>
    <row r="3287" spans="6:6">
      <c r="F3287" t="str">
        <f t="shared" si="52"/>
        <v/>
      </c>
    </row>
    <row r="3288" spans="6:6">
      <c r="F3288" t="str">
        <f t="shared" si="52"/>
        <v/>
      </c>
    </row>
    <row r="3289" spans="6:6">
      <c r="F3289" t="str">
        <f t="shared" si="52"/>
        <v/>
      </c>
    </row>
    <row r="3290" spans="6:6">
      <c r="F3290" t="str">
        <f t="shared" si="52"/>
        <v/>
      </c>
    </row>
    <row r="3291" spans="6:6">
      <c r="F3291" t="str">
        <f t="shared" si="52"/>
        <v/>
      </c>
    </row>
    <row r="3292" spans="6:6">
      <c r="F3292" t="str">
        <f t="shared" si="52"/>
        <v/>
      </c>
    </row>
    <row r="3293" spans="6:6">
      <c r="F3293" t="str">
        <f t="shared" si="52"/>
        <v/>
      </c>
    </row>
    <row r="3294" spans="6:6">
      <c r="F3294" t="str">
        <f t="shared" si="52"/>
        <v/>
      </c>
    </row>
    <row r="3295" spans="6:6">
      <c r="F3295" t="str">
        <f t="shared" si="52"/>
        <v/>
      </c>
    </row>
    <row r="3296" spans="6:6">
      <c r="F3296" t="str">
        <f t="shared" si="52"/>
        <v/>
      </c>
    </row>
    <row r="3297" spans="6:6">
      <c r="F3297" t="str">
        <f t="shared" si="52"/>
        <v/>
      </c>
    </row>
    <row r="3298" spans="6:6">
      <c r="F3298" t="str">
        <f t="shared" si="52"/>
        <v/>
      </c>
    </row>
    <row r="3299" spans="6:6">
      <c r="F3299" t="str">
        <f t="shared" si="52"/>
        <v/>
      </c>
    </row>
    <row r="3300" spans="6:6">
      <c r="F3300" t="str">
        <f t="shared" si="52"/>
        <v/>
      </c>
    </row>
    <row r="3301" spans="6:6">
      <c r="F3301" t="str">
        <f t="shared" si="52"/>
        <v/>
      </c>
    </row>
    <row r="3302" spans="6:6">
      <c r="F3302" t="str">
        <f t="shared" si="52"/>
        <v/>
      </c>
    </row>
    <row r="3303" spans="6:6">
      <c r="F3303" t="str">
        <f t="shared" si="52"/>
        <v/>
      </c>
    </row>
    <row r="3304" spans="6:6">
      <c r="F3304" t="str">
        <f t="shared" si="52"/>
        <v/>
      </c>
    </row>
    <row r="3305" spans="6:6">
      <c r="F3305" t="str">
        <f t="shared" si="52"/>
        <v/>
      </c>
    </row>
    <row r="3306" spans="6:6">
      <c r="F3306" t="str">
        <f t="shared" si="52"/>
        <v/>
      </c>
    </row>
    <row r="3307" spans="6:6">
      <c r="F3307" t="str">
        <f t="shared" si="52"/>
        <v/>
      </c>
    </row>
    <row r="3308" spans="6:6">
      <c r="F3308" t="str">
        <f t="shared" si="52"/>
        <v/>
      </c>
    </row>
    <row r="3309" spans="6:6">
      <c r="F3309" t="str">
        <f t="shared" si="52"/>
        <v/>
      </c>
    </row>
    <row r="3310" spans="6:6">
      <c r="F3310" t="str">
        <f t="shared" si="52"/>
        <v/>
      </c>
    </row>
    <row r="3311" spans="6:6">
      <c r="F3311" t="str">
        <f t="shared" si="52"/>
        <v/>
      </c>
    </row>
    <row r="3312" spans="6:6">
      <c r="F3312" t="str">
        <f t="shared" si="52"/>
        <v/>
      </c>
    </row>
    <row r="3313" spans="6:6">
      <c r="F3313" t="str">
        <f t="shared" si="52"/>
        <v/>
      </c>
    </row>
    <row r="3314" spans="6:6">
      <c r="F3314" t="str">
        <f t="shared" si="52"/>
        <v/>
      </c>
    </row>
    <row r="3315" spans="6:6">
      <c r="F3315" t="str">
        <f t="shared" si="52"/>
        <v/>
      </c>
    </row>
    <row r="3316" spans="6:6">
      <c r="F3316" t="str">
        <f t="shared" si="52"/>
        <v/>
      </c>
    </row>
    <row r="3317" spans="6:6">
      <c r="F3317" t="str">
        <f t="shared" si="52"/>
        <v/>
      </c>
    </row>
    <row r="3318" spans="6:6">
      <c r="F3318" t="str">
        <f t="shared" si="52"/>
        <v/>
      </c>
    </row>
    <row r="3319" spans="6:6">
      <c r="F3319" t="str">
        <f t="shared" si="52"/>
        <v/>
      </c>
    </row>
    <row r="3320" spans="6:6">
      <c r="F3320" t="str">
        <f t="shared" si="52"/>
        <v/>
      </c>
    </row>
    <row r="3321" spans="6:6">
      <c r="F3321" t="str">
        <f t="shared" si="52"/>
        <v/>
      </c>
    </row>
    <row r="3322" spans="6:6">
      <c r="F3322" t="str">
        <f t="shared" si="52"/>
        <v/>
      </c>
    </row>
    <row r="3323" spans="6:6">
      <c r="F3323" t="str">
        <f t="shared" si="52"/>
        <v/>
      </c>
    </row>
    <row r="3324" spans="6:6">
      <c r="F3324" t="str">
        <f t="shared" si="52"/>
        <v/>
      </c>
    </row>
    <row r="3325" spans="6:6">
      <c r="F3325" t="str">
        <f t="shared" si="52"/>
        <v/>
      </c>
    </row>
    <row r="3326" spans="6:6">
      <c r="F3326" t="str">
        <f t="shared" si="52"/>
        <v/>
      </c>
    </row>
    <row r="3327" spans="6:6">
      <c r="F3327" t="str">
        <f t="shared" si="52"/>
        <v/>
      </c>
    </row>
    <row r="3328" spans="6:6">
      <c r="F3328" t="str">
        <f t="shared" si="52"/>
        <v/>
      </c>
    </row>
    <row r="3329" spans="6:6">
      <c r="F3329" t="str">
        <f t="shared" si="52"/>
        <v/>
      </c>
    </row>
    <row r="3330" spans="6:6">
      <c r="F3330" t="str">
        <f t="shared" si="52"/>
        <v/>
      </c>
    </row>
    <row r="3331" spans="6:6">
      <c r="F3331" t="str">
        <f t="shared" si="52"/>
        <v/>
      </c>
    </row>
    <row r="3332" spans="6:6">
      <c r="F3332" t="str">
        <f t="shared" si="52"/>
        <v/>
      </c>
    </row>
    <row r="3333" spans="6:6">
      <c r="F3333" t="str">
        <f t="shared" si="52"/>
        <v/>
      </c>
    </row>
    <row r="3334" spans="6:6">
      <c r="F3334" t="str">
        <f t="shared" si="52"/>
        <v/>
      </c>
    </row>
    <row r="3335" spans="6:6">
      <c r="F3335" t="str">
        <f t="shared" si="52"/>
        <v/>
      </c>
    </row>
    <row r="3336" spans="6:6">
      <c r="F3336" t="str">
        <f t="shared" si="52"/>
        <v/>
      </c>
    </row>
    <row r="3337" spans="6:6">
      <c r="F3337" t="str">
        <f t="shared" si="52"/>
        <v/>
      </c>
    </row>
    <row r="3338" spans="6:6">
      <c r="F3338" t="str">
        <f t="shared" si="52"/>
        <v/>
      </c>
    </row>
    <row r="3339" spans="6:6">
      <c r="F3339" t="str">
        <f t="shared" si="52"/>
        <v/>
      </c>
    </row>
    <row r="3340" spans="6:6">
      <c r="F3340" t="str">
        <f t="shared" si="52"/>
        <v/>
      </c>
    </row>
    <row r="3341" spans="6:6">
      <c r="F3341" t="str">
        <f t="shared" ref="F3341:F3404" si="53">RIGHT(D3341,2)</f>
        <v/>
      </c>
    </row>
    <row r="3342" spans="6:6">
      <c r="F3342" t="str">
        <f t="shared" si="53"/>
        <v/>
      </c>
    </row>
    <row r="3343" spans="6:6">
      <c r="F3343" t="str">
        <f t="shared" si="53"/>
        <v/>
      </c>
    </row>
    <row r="3344" spans="6:6">
      <c r="F3344" t="str">
        <f t="shared" si="53"/>
        <v/>
      </c>
    </row>
    <row r="3345" spans="6:6">
      <c r="F3345" t="str">
        <f t="shared" si="53"/>
        <v/>
      </c>
    </row>
    <row r="3346" spans="6:6">
      <c r="F3346" t="str">
        <f t="shared" si="53"/>
        <v/>
      </c>
    </row>
    <row r="3347" spans="6:6">
      <c r="F3347" t="str">
        <f t="shared" si="53"/>
        <v/>
      </c>
    </row>
    <row r="3348" spans="6:6">
      <c r="F3348" t="str">
        <f t="shared" si="53"/>
        <v/>
      </c>
    </row>
    <row r="3349" spans="6:6">
      <c r="F3349" t="str">
        <f t="shared" si="53"/>
        <v/>
      </c>
    </row>
    <row r="3350" spans="6:6">
      <c r="F3350" t="str">
        <f t="shared" si="53"/>
        <v/>
      </c>
    </row>
    <row r="3351" spans="6:6">
      <c r="F3351" t="str">
        <f t="shared" si="53"/>
        <v/>
      </c>
    </row>
    <row r="3352" spans="6:6">
      <c r="F3352" t="str">
        <f t="shared" si="53"/>
        <v/>
      </c>
    </row>
    <row r="3353" spans="6:6">
      <c r="F3353" t="str">
        <f t="shared" si="53"/>
        <v/>
      </c>
    </row>
    <row r="3354" spans="6:6">
      <c r="F3354" t="str">
        <f t="shared" si="53"/>
        <v/>
      </c>
    </row>
    <row r="3355" spans="6:6">
      <c r="F3355" t="str">
        <f t="shared" si="53"/>
        <v/>
      </c>
    </row>
    <row r="3356" spans="6:6">
      <c r="F3356" t="str">
        <f t="shared" si="53"/>
        <v/>
      </c>
    </row>
    <row r="3357" spans="6:6">
      <c r="F3357" t="str">
        <f t="shared" si="53"/>
        <v/>
      </c>
    </row>
    <row r="3358" spans="6:6">
      <c r="F3358" t="str">
        <f t="shared" si="53"/>
        <v/>
      </c>
    </row>
    <row r="3359" spans="6:6">
      <c r="F3359" t="str">
        <f t="shared" si="53"/>
        <v/>
      </c>
    </row>
    <row r="3360" spans="6:6">
      <c r="F3360" t="str">
        <f t="shared" si="53"/>
        <v/>
      </c>
    </row>
    <row r="3361" spans="6:6">
      <c r="F3361" t="str">
        <f t="shared" si="53"/>
        <v/>
      </c>
    </row>
    <row r="3362" spans="6:6">
      <c r="F3362" t="str">
        <f t="shared" si="53"/>
        <v/>
      </c>
    </row>
    <row r="3363" spans="6:6">
      <c r="F3363" t="str">
        <f t="shared" si="53"/>
        <v/>
      </c>
    </row>
    <row r="3364" spans="6:6">
      <c r="F3364" t="str">
        <f t="shared" si="53"/>
        <v/>
      </c>
    </row>
    <row r="3365" spans="6:6">
      <c r="F3365" t="str">
        <f t="shared" si="53"/>
        <v/>
      </c>
    </row>
    <row r="3366" spans="6:6">
      <c r="F3366" t="str">
        <f t="shared" si="53"/>
        <v/>
      </c>
    </row>
    <row r="3367" spans="6:6">
      <c r="F3367" t="str">
        <f t="shared" si="53"/>
        <v/>
      </c>
    </row>
    <row r="3368" spans="6:6">
      <c r="F3368" t="str">
        <f t="shared" si="53"/>
        <v/>
      </c>
    </row>
    <row r="3369" spans="6:6">
      <c r="F3369" t="str">
        <f t="shared" si="53"/>
        <v/>
      </c>
    </row>
    <row r="3370" spans="6:6">
      <c r="F3370" t="str">
        <f t="shared" si="53"/>
        <v/>
      </c>
    </row>
    <row r="3371" spans="6:6">
      <c r="F3371" t="str">
        <f t="shared" si="53"/>
        <v/>
      </c>
    </row>
    <row r="3372" spans="6:6">
      <c r="F3372" t="str">
        <f t="shared" si="53"/>
        <v/>
      </c>
    </row>
    <row r="3373" spans="6:6">
      <c r="F3373" t="str">
        <f t="shared" si="53"/>
        <v/>
      </c>
    </row>
    <row r="3374" spans="6:6">
      <c r="F3374" t="str">
        <f t="shared" si="53"/>
        <v/>
      </c>
    </row>
    <row r="3375" spans="6:6">
      <c r="F3375" t="str">
        <f t="shared" si="53"/>
        <v/>
      </c>
    </row>
    <row r="3376" spans="6:6">
      <c r="F3376" t="str">
        <f t="shared" si="53"/>
        <v/>
      </c>
    </row>
    <row r="3377" spans="6:6">
      <c r="F3377" t="str">
        <f t="shared" si="53"/>
        <v/>
      </c>
    </row>
    <row r="3378" spans="6:6">
      <c r="F3378" t="str">
        <f t="shared" si="53"/>
        <v/>
      </c>
    </row>
    <row r="3379" spans="6:6">
      <c r="F3379" t="str">
        <f t="shared" si="53"/>
        <v/>
      </c>
    </row>
    <row r="3380" spans="6:6">
      <c r="F3380" t="str">
        <f t="shared" si="53"/>
        <v/>
      </c>
    </row>
    <row r="3381" spans="6:6">
      <c r="F3381" t="str">
        <f t="shared" si="53"/>
        <v/>
      </c>
    </row>
    <row r="3382" spans="6:6">
      <c r="F3382" t="str">
        <f t="shared" si="53"/>
        <v/>
      </c>
    </row>
    <row r="3383" spans="6:6">
      <c r="F3383" t="str">
        <f t="shared" si="53"/>
        <v/>
      </c>
    </row>
    <row r="3384" spans="6:6">
      <c r="F3384" t="str">
        <f t="shared" si="53"/>
        <v/>
      </c>
    </row>
    <row r="3385" spans="6:6">
      <c r="F3385" t="str">
        <f t="shared" si="53"/>
        <v/>
      </c>
    </row>
    <row r="3386" spans="6:6">
      <c r="F3386" t="str">
        <f t="shared" si="53"/>
        <v/>
      </c>
    </row>
    <row r="3387" spans="6:6">
      <c r="F3387" t="str">
        <f t="shared" si="53"/>
        <v/>
      </c>
    </row>
    <row r="3388" spans="6:6">
      <c r="F3388" t="str">
        <f t="shared" si="53"/>
        <v/>
      </c>
    </row>
    <row r="3389" spans="6:6">
      <c r="F3389" t="str">
        <f t="shared" si="53"/>
        <v/>
      </c>
    </row>
    <row r="3390" spans="6:6">
      <c r="F3390" t="str">
        <f t="shared" si="53"/>
        <v/>
      </c>
    </row>
    <row r="3391" spans="6:6">
      <c r="F3391" t="str">
        <f t="shared" si="53"/>
        <v/>
      </c>
    </row>
    <row r="3392" spans="6:6">
      <c r="F3392" t="str">
        <f t="shared" si="53"/>
        <v/>
      </c>
    </row>
    <row r="3393" spans="6:6">
      <c r="F3393" t="str">
        <f t="shared" si="53"/>
        <v/>
      </c>
    </row>
    <row r="3394" spans="6:6">
      <c r="F3394" t="str">
        <f t="shared" si="53"/>
        <v/>
      </c>
    </row>
    <row r="3395" spans="6:6">
      <c r="F3395" t="str">
        <f t="shared" si="53"/>
        <v/>
      </c>
    </row>
    <row r="3396" spans="6:6">
      <c r="F3396" t="str">
        <f t="shared" si="53"/>
        <v/>
      </c>
    </row>
    <row r="3397" spans="6:6">
      <c r="F3397" t="str">
        <f t="shared" si="53"/>
        <v/>
      </c>
    </row>
    <row r="3398" spans="6:6">
      <c r="F3398" t="str">
        <f t="shared" si="53"/>
        <v/>
      </c>
    </row>
    <row r="3399" spans="6:6">
      <c r="F3399" t="str">
        <f t="shared" si="53"/>
        <v/>
      </c>
    </row>
    <row r="3400" spans="6:6">
      <c r="F3400" t="str">
        <f t="shared" si="53"/>
        <v/>
      </c>
    </row>
    <row r="3401" spans="6:6">
      <c r="F3401" t="str">
        <f t="shared" si="53"/>
        <v/>
      </c>
    </row>
    <row r="3402" spans="6:6">
      <c r="F3402" t="str">
        <f t="shared" si="53"/>
        <v/>
      </c>
    </row>
    <row r="3403" spans="6:6">
      <c r="F3403" t="str">
        <f t="shared" si="53"/>
        <v/>
      </c>
    </row>
    <row r="3404" spans="6:6">
      <c r="F3404" t="str">
        <f t="shared" si="53"/>
        <v/>
      </c>
    </row>
    <row r="3405" spans="6:6">
      <c r="F3405" t="str">
        <f t="shared" ref="F3405:F3468" si="54">RIGHT(D3405,2)</f>
        <v/>
      </c>
    </row>
    <row r="3406" spans="6:6">
      <c r="F3406" t="str">
        <f t="shared" si="54"/>
        <v/>
      </c>
    </row>
    <row r="3407" spans="6:6">
      <c r="F3407" t="str">
        <f t="shared" si="54"/>
        <v/>
      </c>
    </row>
    <row r="3408" spans="6:6">
      <c r="F3408" t="str">
        <f t="shared" si="54"/>
        <v/>
      </c>
    </row>
    <row r="3409" spans="6:6">
      <c r="F3409" t="str">
        <f t="shared" si="54"/>
        <v/>
      </c>
    </row>
    <row r="3410" spans="6:6">
      <c r="F3410" t="str">
        <f t="shared" si="54"/>
        <v/>
      </c>
    </row>
    <row r="3411" spans="6:6">
      <c r="F3411" t="str">
        <f t="shared" si="54"/>
        <v/>
      </c>
    </row>
    <row r="3412" spans="6:6">
      <c r="F3412" t="str">
        <f t="shared" si="54"/>
        <v/>
      </c>
    </row>
    <row r="3413" spans="6:6">
      <c r="F3413" t="str">
        <f t="shared" si="54"/>
        <v/>
      </c>
    </row>
    <row r="3414" spans="6:6">
      <c r="F3414" t="str">
        <f t="shared" si="54"/>
        <v/>
      </c>
    </row>
    <row r="3415" spans="6:6">
      <c r="F3415" t="str">
        <f t="shared" si="54"/>
        <v/>
      </c>
    </row>
    <row r="3416" spans="6:6">
      <c r="F3416" t="str">
        <f t="shared" si="54"/>
        <v/>
      </c>
    </row>
    <row r="3417" spans="6:6">
      <c r="F3417" t="str">
        <f t="shared" si="54"/>
        <v/>
      </c>
    </row>
    <row r="3418" spans="6:6">
      <c r="F3418" t="str">
        <f t="shared" si="54"/>
        <v/>
      </c>
    </row>
    <row r="3419" spans="6:6">
      <c r="F3419" t="str">
        <f t="shared" si="54"/>
        <v/>
      </c>
    </row>
    <row r="3420" spans="6:6">
      <c r="F3420" t="str">
        <f t="shared" si="54"/>
        <v/>
      </c>
    </row>
    <row r="3421" spans="6:6">
      <c r="F3421" t="str">
        <f t="shared" si="54"/>
        <v/>
      </c>
    </row>
    <row r="3422" spans="6:6">
      <c r="F3422" t="str">
        <f t="shared" si="54"/>
        <v/>
      </c>
    </row>
    <row r="3423" spans="6:6">
      <c r="F3423" t="str">
        <f t="shared" si="54"/>
        <v/>
      </c>
    </row>
    <row r="3424" spans="6:6">
      <c r="F3424" t="str">
        <f t="shared" si="54"/>
        <v/>
      </c>
    </row>
    <row r="3425" spans="6:6">
      <c r="F3425" t="str">
        <f t="shared" si="54"/>
        <v/>
      </c>
    </row>
    <row r="3426" spans="6:6">
      <c r="F3426" t="str">
        <f t="shared" si="54"/>
        <v/>
      </c>
    </row>
    <row r="3427" spans="6:6">
      <c r="F3427" t="str">
        <f t="shared" si="54"/>
        <v/>
      </c>
    </row>
    <row r="3428" spans="6:6">
      <c r="F3428" t="str">
        <f t="shared" si="54"/>
        <v/>
      </c>
    </row>
    <row r="3429" spans="6:6">
      <c r="F3429" t="str">
        <f t="shared" si="54"/>
        <v/>
      </c>
    </row>
    <row r="3430" spans="6:6">
      <c r="F3430" t="str">
        <f t="shared" si="54"/>
        <v/>
      </c>
    </row>
    <row r="3431" spans="6:6">
      <c r="F3431" t="str">
        <f t="shared" si="54"/>
        <v/>
      </c>
    </row>
    <row r="3432" spans="6:6">
      <c r="F3432" t="str">
        <f t="shared" si="54"/>
        <v/>
      </c>
    </row>
    <row r="3433" spans="6:6">
      <c r="F3433" t="str">
        <f t="shared" si="54"/>
        <v/>
      </c>
    </row>
    <row r="3434" spans="6:6">
      <c r="F3434" t="str">
        <f t="shared" si="54"/>
        <v/>
      </c>
    </row>
    <row r="3435" spans="6:6">
      <c r="F3435" t="str">
        <f t="shared" si="54"/>
        <v/>
      </c>
    </row>
    <row r="3436" spans="6:6">
      <c r="F3436" t="str">
        <f t="shared" si="54"/>
        <v/>
      </c>
    </row>
    <row r="3437" spans="6:6">
      <c r="F3437" t="str">
        <f t="shared" si="54"/>
        <v/>
      </c>
    </row>
    <row r="3438" spans="6:6">
      <c r="F3438" t="str">
        <f t="shared" si="54"/>
        <v/>
      </c>
    </row>
    <row r="3439" spans="6:6">
      <c r="F3439" t="str">
        <f t="shared" si="54"/>
        <v/>
      </c>
    </row>
    <row r="3440" spans="6:6">
      <c r="F3440" t="str">
        <f t="shared" si="54"/>
        <v/>
      </c>
    </row>
    <row r="3441" spans="6:6">
      <c r="F3441" t="str">
        <f t="shared" si="54"/>
        <v/>
      </c>
    </row>
    <row r="3442" spans="6:6">
      <c r="F3442" t="str">
        <f t="shared" si="54"/>
        <v/>
      </c>
    </row>
    <row r="3443" spans="6:6">
      <c r="F3443" t="str">
        <f t="shared" si="54"/>
        <v/>
      </c>
    </row>
    <row r="3444" spans="6:6">
      <c r="F3444" t="str">
        <f t="shared" si="54"/>
        <v/>
      </c>
    </row>
    <row r="3445" spans="6:6">
      <c r="F3445" t="str">
        <f t="shared" si="54"/>
        <v/>
      </c>
    </row>
    <row r="3446" spans="6:6">
      <c r="F3446" t="str">
        <f t="shared" si="54"/>
        <v/>
      </c>
    </row>
    <row r="3447" spans="6:6">
      <c r="F3447" t="str">
        <f t="shared" si="54"/>
        <v/>
      </c>
    </row>
    <row r="3448" spans="6:6">
      <c r="F3448" t="str">
        <f t="shared" si="54"/>
        <v/>
      </c>
    </row>
    <row r="3449" spans="6:6">
      <c r="F3449" t="str">
        <f t="shared" si="54"/>
        <v/>
      </c>
    </row>
    <row r="3450" spans="6:6">
      <c r="F3450" t="str">
        <f t="shared" si="54"/>
        <v/>
      </c>
    </row>
    <row r="3451" spans="6:6">
      <c r="F3451" t="str">
        <f t="shared" si="54"/>
        <v/>
      </c>
    </row>
    <row r="3452" spans="6:6">
      <c r="F3452" t="str">
        <f t="shared" si="54"/>
        <v/>
      </c>
    </row>
    <row r="3453" spans="6:6">
      <c r="F3453" t="str">
        <f t="shared" si="54"/>
        <v/>
      </c>
    </row>
    <row r="3454" spans="6:6">
      <c r="F3454" t="str">
        <f t="shared" si="54"/>
        <v/>
      </c>
    </row>
    <row r="3455" spans="6:6">
      <c r="F3455" t="str">
        <f t="shared" si="54"/>
        <v/>
      </c>
    </row>
    <row r="3456" spans="6:6">
      <c r="F3456" t="str">
        <f t="shared" si="54"/>
        <v/>
      </c>
    </row>
    <row r="3457" spans="6:6">
      <c r="F3457" t="str">
        <f t="shared" si="54"/>
        <v/>
      </c>
    </row>
    <row r="3458" spans="6:6">
      <c r="F3458" t="str">
        <f t="shared" si="54"/>
        <v/>
      </c>
    </row>
    <row r="3459" spans="6:6">
      <c r="F3459" t="str">
        <f t="shared" si="54"/>
        <v/>
      </c>
    </row>
    <row r="3460" spans="6:6">
      <c r="F3460" t="str">
        <f t="shared" si="54"/>
        <v/>
      </c>
    </row>
    <row r="3461" spans="6:6">
      <c r="F3461" t="str">
        <f t="shared" si="54"/>
        <v/>
      </c>
    </row>
    <row r="3462" spans="6:6">
      <c r="F3462" t="str">
        <f t="shared" si="54"/>
        <v/>
      </c>
    </row>
    <row r="3463" spans="6:6">
      <c r="F3463" t="str">
        <f t="shared" si="54"/>
        <v/>
      </c>
    </row>
    <row r="3464" spans="6:6">
      <c r="F3464" t="str">
        <f t="shared" si="54"/>
        <v/>
      </c>
    </row>
    <row r="3465" spans="6:6">
      <c r="F3465" t="str">
        <f t="shared" si="54"/>
        <v/>
      </c>
    </row>
    <row r="3466" spans="6:6">
      <c r="F3466" t="str">
        <f t="shared" si="54"/>
        <v/>
      </c>
    </row>
    <row r="3467" spans="6:6">
      <c r="F3467" t="str">
        <f t="shared" si="54"/>
        <v/>
      </c>
    </row>
    <row r="3468" spans="6:6">
      <c r="F3468" t="str">
        <f t="shared" si="54"/>
        <v/>
      </c>
    </row>
    <row r="3469" spans="6:6">
      <c r="F3469" t="str">
        <f t="shared" ref="F3469:F3532" si="55">RIGHT(D3469,2)</f>
        <v/>
      </c>
    </row>
    <row r="3470" spans="6:6">
      <c r="F3470" t="str">
        <f t="shared" si="55"/>
        <v/>
      </c>
    </row>
    <row r="3471" spans="6:6">
      <c r="F3471" t="str">
        <f t="shared" si="55"/>
        <v/>
      </c>
    </row>
    <row r="3472" spans="6:6">
      <c r="F3472" t="str">
        <f t="shared" si="55"/>
        <v/>
      </c>
    </row>
    <row r="3473" spans="6:6">
      <c r="F3473" t="str">
        <f t="shared" si="55"/>
        <v/>
      </c>
    </row>
    <row r="3474" spans="6:6">
      <c r="F3474" t="str">
        <f t="shared" si="55"/>
        <v/>
      </c>
    </row>
    <row r="3475" spans="6:6">
      <c r="F3475" t="str">
        <f t="shared" si="55"/>
        <v/>
      </c>
    </row>
    <row r="3476" spans="6:6">
      <c r="F3476" t="str">
        <f t="shared" si="55"/>
        <v/>
      </c>
    </row>
    <row r="3477" spans="6:6">
      <c r="F3477" t="str">
        <f t="shared" si="55"/>
        <v/>
      </c>
    </row>
    <row r="3478" spans="6:6">
      <c r="F3478" t="str">
        <f t="shared" si="55"/>
        <v/>
      </c>
    </row>
    <row r="3479" spans="6:6">
      <c r="F3479" t="str">
        <f t="shared" si="55"/>
        <v/>
      </c>
    </row>
    <row r="3480" spans="6:6">
      <c r="F3480" t="str">
        <f t="shared" si="55"/>
        <v/>
      </c>
    </row>
    <row r="3481" spans="6:6">
      <c r="F3481" t="str">
        <f t="shared" si="55"/>
        <v/>
      </c>
    </row>
    <row r="3482" spans="6:6">
      <c r="F3482" t="str">
        <f t="shared" si="55"/>
        <v/>
      </c>
    </row>
    <row r="3483" spans="6:6">
      <c r="F3483" t="str">
        <f t="shared" si="55"/>
        <v/>
      </c>
    </row>
    <row r="3484" spans="6:6">
      <c r="F3484" t="str">
        <f t="shared" si="55"/>
        <v/>
      </c>
    </row>
    <row r="3485" spans="6:6">
      <c r="F3485" t="str">
        <f t="shared" si="55"/>
        <v/>
      </c>
    </row>
    <row r="3486" spans="6:6">
      <c r="F3486" t="str">
        <f t="shared" si="55"/>
        <v/>
      </c>
    </row>
    <row r="3487" spans="6:6">
      <c r="F3487" t="str">
        <f t="shared" si="55"/>
        <v/>
      </c>
    </row>
    <row r="3488" spans="6:6">
      <c r="F3488" t="str">
        <f t="shared" si="55"/>
        <v/>
      </c>
    </row>
    <row r="3489" spans="6:6">
      <c r="F3489" t="str">
        <f t="shared" si="55"/>
        <v/>
      </c>
    </row>
    <row r="3490" spans="6:6">
      <c r="F3490" t="str">
        <f t="shared" si="55"/>
        <v/>
      </c>
    </row>
    <row r="3491" spans="6:6">
      <c r="F3491" t="str">
        <f t="shared" si="55"/>
        <v/>
      </c>
    </row>
    <row r="3492" spans="6:6">
      <c r="F3492" t="str">
        <f t="shared" si="55"/>
        <v/>
      </c>
    </row>
    <row r="3493" spans="6:6">
      <c r="F3493" t="str">
        <f t="shared" si="55"/>
        <v/>
      </c>
    </row>
    <row r="3494" spans="6:6">
      <c r="F3494" t="str">
        <f t="shared" si="55"/>
        <v/>
      </c>
    </row>
    <row r="3495" spans="6:6">
      <c r="F3495" t="str">
        <f t="shared" si="55"/>
        <v/>
      </c>
    </row>
    <row r="3496" spans="6:6">
      <c r="F3496" t="str">
        <f t="shared" si="55"/>
        <v/>
      </c>
    </row>
    <row r="3497" spans="6:6">
      <c r="F3497" t="str">
        <f t="shared" si="55"/>
        <v/>
      </c>
    </row>
    <row r="3498" spans="6:6">
      <c r="F3498" t="str">
        <f t="shared" si="55"/>
        <v/>
      </c>
    </row>
    <row r="3499" spans="6:6">
      <c r="F3499" t="str">
        <f t="shared" si="55"/>
        <v/>
      </c>
    </row>
    <row r="3500" spans="6:6">
      <c r="F3500" t="str">
        <f t="shared" si="55"/>
        <v/>
      </c>
    </row>
    <row r="3501" spans="6:6">
      <c r="F3501" t="str">
        <f t="shared" si="55"/>
        <v/>
      </c>
    </row>
    <row r="3502" spans="6:6">
      <c r="F3502" t="str">
        <f t="shared" si="55"/>
        <v/>
      </c>
    </row>
    <row r="3503" spans="6:6">
      <c r="F3503" t="str">
        <f t="shared" si="55"/>
        <v/>
      </c>
    </row>
    <row r="3504" spans="6:6">
      <c r="F3504" t="str">
        <f t="shared" si="55"/>
        <v/>
      </c>
    </row>
    <row r="3505" spans="6:6">
      <c r="F3505" t="str">
        <f t="shared" si="55"/>
        <v/>
      </c>
    </row>
    <row r="3506" spans="6:6">
      <c r="F3506" t="str">
        <f t="shared" si="55"/>
        <v/>
      </c>
    </row>
    <row r="3507" spans="6:6">
      <c r="F3507" t="str">
        <f t="shared" si="55"/>
        <v/>
      </c>
    </row>
    <row r="3508" spans="6:6">
      <c r="F3508" t="str">
        <f t="shared" si="55"/>
        <v/>
      </c>
    </row>
    <row r="3509" spans="6:6">
      <c r="F3509" t="str">
        <f t="shared" si="55"/>
        <v/>
      </c>
    </row>
    <row r="3510" spans="6:6">
      <c r="F3510" t="str">
        <f t="shared" si="55"/>
        <v/>
      </c>
    </row>
    <row r="3511" spans="6:6">
      <c r="F3511" t="str">
        <f t="shared" si="55"/>
        <v/>
      </c>
    </row>
    <row r="3512" spans="6:6">
      <c r="F3512" t="str">
        <f t="shared" si="55"/>
        <v/>
      </c>
    </row>
    <row r="3513" spans="6:6">
      <c r="F3513" t="str">
        <f t="shared" si="55"/>
        <v/>
      </c>
    </row>
    <row r="3514" spans="6:6">
      <c r="F3514" t="str">
        <f t="shared" si="55"/>
        <v/>
      </c>
    </row>
    <row r="3515" spans="6:6">
      <c r="F3515" t="str">
        <f t="shared" si="55"/>
        <v/>
      </c>
    </row>
    <row r="3516" spans="6:6">
      <c r="F3516" t="str">
        <f t="shared" si="55"/>
        <v/>
      </c>
    </row>
    <row r="3517" spans="6:6">
      <c r="F3517" t="str">
        <f t="shared" si="55"/>
        <v/>
      </c>
    </row>
    <row r="3518" spans="6:6">
      <c r="F3518" t="str">
        <f t="shared" si="55"/>
        <v/>
      </c>
    </row>
    <row r="3519" spans="6:6">
      <c r="F3519" t="str">
        <f t="shared" si="55"/>
        <v/>
      </c>
    </row>
    <row r="3520" spans="6:6">
      <c r="F3520" t="str">
        <f t="shared" si="55"/>
        <v/>
      </c>
    </row>
    <row r="3521" spans="6:6">
      <c r="F3521" t="str">
        <f t="shared" si="55"/>
        <v/>
      </c>
    </row>
    <row r="3522" spans="6:6">
      <c r="F3522" t="str">
        <f t="shared" si="55"/>
        <v/>
      </c>
    </row>
    <row r="3523" spans="6:6">
      <c r="F3523" t="str">
        <f t="shared" si="55"/>
        <v/>
      </c>
    </row>
    <row r="3524" spans="6:6">
      <c r="F3524" t="str">
        <f t="shared" si="55"/>
        <v/>
      </c>
    </row>
    <row r="3525" spans="6:6">
      <c r="F3525" t="str">
        <f t="shared" si="55"/>
        <v/>
      </c>
    </row>
    <row r="3526" spans="6:6">
      <c r="F3526" t="str">
        <f t="shared" si="55"/>
        <v/>
      </c>
    </row>
    <row r="3527" spans="6:6">
      <c r="F3527" t="str">
        <f t="shared" si="55"/>
        <v/>
      </c>
    </row>
    <row r="3528" spans="6:6">
      <c r="F3528" t="str">
        <f t="shared" si="55"/>
        <v/>
      </c>
    </row>
    <row r="3529" spans="6:6">
      <c r="F3529" t="str">
        <f t="shared" si="55"/>
        <v/>
      </c>
    </row>
    <row r="3530" spans="6:6">
      <c r="F3530" t="str">
        <f t="shared" si="55"/>
        <v/>
      </c>
    </row>
    <row r="3531" spans="6:6">
      <c r="F3531" t="str">
        <f t="shared" si="55"/>
        <v/>
      </c>
    </row>
    <row r="3532" spans="6:6">
      <c r="F3532" t="str">
        <f t="shared" si="55"/>
        <v/>
      </c>
    </row>
    <row r="3533" spans="6:6">
      <c r="F3533" t="str">
        <f t="shared" ref="F3533:F3596" si="56">RIGHT(D3533,2)</f>
        <v/>
      </c>
    </row>
    <row r="3534" spans="6:6">
      <c r="F3534" t="str">
        <f t="shared" si="56"/>
        <v/>
      </c>
    </row>
    <row r="3535" spans="6:6">
      <c r="F3535" t="str">
        <f t="shared" si="56"/>
        <v/>
      </c>
    </row>
    <row r="3536" spans="6:6">
      <c r="F3536" t="str">
        <f t="shared" si="56"/>
        <v/>
      </c>
    </row>
    <row r="3537" spans="6:6">
      <c r="F3537" t="str">
        <f t="shared" si="56"/>
        <v/>
      </c>
    </row>
    <row r="3538" spans="6:6">
      <c r="F3538" t="str">
        <f t="shared" si="56"/>
        <v/>
      </c>
    </row>
    <row r="3539" spans="6:6">
      <c r="F3539" t="str">
        <f t="shared" si="56"/>
        <v/>
      </c>
    </row>
    <row r="3540" spans="6:6">
      <c r="F3540" t="str">
        <f t="shared" si="56"/>
        <v/>
      </c>
    </row>
    <row r="3541" spans="6:6">
      <c r="F3541" t="str">
        <f t="shared" si="56"/>
        <v/>
      </c>
    </row>
    <row r="3542" spans="6:6">
      <c r="F3542" t="str">
        <f t="shared" si="56"/>
        <v/>
      </c>
    </row>
    <row r="3543" spans="6:6">
      <c r="F3543" t="str">
        <f t="shared" si="56"/>
        <v/>
      </c>
    </row>
    <row r="3544" spans="6:6">
      <c r="F3544" t="str">
        <f t="shared" si="56"/>
        <v/>
      </c>
    </row>
    <row r="3545" spans="6:6">
      <c r="F3545" t="str">
        <f t="shared" si="56"/>
        <v/>
      </c>
    </row>
    <row r="3546" spans="6:6">
      <c r="F3546" t="str">
        <f t="shared" si="56"/>
        <v/>
      </c>
    </row>
    <row r="3547" spans="6:6">
      <c r="F3547" t="str">
        <f t="shared" si="56"/>
        <v/>
      </c>
    </row>
    <row r="3548" spans="6:6">
      <c r="F3548" t="str">
        <f t="shared" si="56"/>
        <v/>
      </c>
    </row>
    <row r="3549" spans="6:6">
      <c r="F3549" t="str">
        <f t="shared" si="56"/>
        <v/>
      </c>
    </row>
    <row r="3550" spans="6:6">
      <c r="F3550" t="str">
        <f t="shared" si="56"/>
        <v/>
      </c>
    </row>
    <row r="3551" spans="6:6">
      <c r="F3551" t="str">
        <f t="shared" si="56"/>
        <v/>
      </c>
    </row>
    <row r="3552" spans="6:6">
      <c r="F3552" t="str">
        <f t="shared" si="56"/>
        <v/>
      </c>
    </row>
    <row r="3553" spans="6:6">
      <c r="F3553" t="str">
        <f t="shared" si="56"/>
        <v/>
      </c>
    </row>
    <row r="3554" spans="6:6">
      <c r="F3554" t="str">
        <f t="shared" si="56"/>
        <v/>
      </c>
    </row>
    <row r="3555" spans="6:6">
      <c r="F3555" t="str">
        <f t="shared" si="56"/>
        <v/>
      </c>
    </row>
    <row r="3556" spans="6:6">
      <c r="F3556" t="str">
        <f t="shared" si="56"/>
        <v/>
      </c>
    </row>
    <row r="3557" spans="6:6">
      <c r="F3557" t="str">
        <f t="shared" si="56"/>
        <v/>
      </c>
    </row>
    <row r="3558" spans="6:6">
      <c r="F3558" t="str">
        <f t="shared" si="56"/>
        <v/>
      </c>
    </row>
    <row r="3559" spans="6:6">
      <c r="F3559" t="str">
        <f t="shared" si="56"/>
        <v/>
      </c>
    </row>
    <row r="3560" spans="6:6">
      <c r="F3560" t="str">
        <f t="shared" si="56"/>
        <v/>
      </c>
    </row>
    <row r="3561" spans="6:6">
      <c r="F3561" t="str">
        <f t="shared" si="56"/>
        <v/>
      </c>
    </row>
    <row r="3562" spans="6:6">
      <c r="F3562" t="str">
        <f t="shared" si="56"/>
        <v/>
      </c>
    </row>
    <row r="3563" spans="6:6">
      <c r="F3563" t="str">
        <f t="shared" si="56"/>
        <v/>
      </c>
    </row>
    <row r="3564" spans="6:6">
      <c r="F3564" t="str">
        <f t="shared" si="56"/>
        <v/>
      </c>
    </row>
    <row r="3565" spans="6:6">
      <c r="F3565" t="str">
        <f t="shared" si="56"/>
        <v/>
      </c>
    </row>
    <row r="3566" spans="6:6">
      <c r="F3566" t="str">
        <f t="shared" si="56"/>
        <v/>
      </c>
    </row>
    <row r="3567" spans="6:6">
      <c r="F3567" t="str">
        <f t="shared" si="56"/>
        <v/>
      </c>
    </row>
    <row r="3568" spans="6:6">
      <c r="F3568" t="str">
        <f t="shared" si="56"/>
        <v/>
      </c>
    </row>
    <row r="3569" spans="6:6">
      <c r="F3569" t="str">
        <f t="shared" si="56"/>
        <v/>
      </c>
    </row>
    <row r="3570" spans="6:6">
      <c r="F3570" t="str">
        <f t="shared" si="56"/>
        <v/>
      </c>
    </row>
    <row r="3571" spans="6:6">
      <c r="F3571" t="str">
        <f t="shared" si="56"/>
        <v/>
      </c>
    </row>
    <row r="3572" spans="6:6">
      <c r="F3572" t="str">
        <f t="shared" si="56"/>
        <v/>
      </c>
    </row>
    <row r="3573" spans="6:6">
      <c r="F3573" t="str">
        <f t="shared" si="56"/>
        <v/>
      </c>
    </row>
    <row r="3574" spans="6:6">
      <c r="F3574" t="str">
        <f t="shared" si="56"/>
        <v/>
      </c>
    </row>
    <row r="3575" spans="6:6">
      <c r="F3575" t="str">
        <f t="shared" si="56"/>
        <v/>
      </c>
    </row>
    <row r="3576" spans="6:6">
      <c r="F3576" t="str">
        <f t="shared" si="56"/>
        <v/>
      </c>
    </row>
    <row r="3577" spans="6:6">
      <c r="F3577" t="str">
        <f t="shared" si="56"/>
        <v/>
      </c>
    </row>
    <row r="3578" spans="6:6">
      <c r="F3578" t="str">
        <f t="shared" si="56"/>
        <v/>
      </c>
    </row>
    <row r="3579" spans="6:6">
      <c r="F3579" t="str">
        <f t="shared" si="56"/>
        <v/>
      </c>
    </row>
    <row r="3580" spans="6:6">
      <c r="F3580" t="str">
        <f t="shared" si="56"/>
        <v/>
      </c>
    </row>
    <row r="3581" spans="6:6">
      <c r="F3581" t="str">
        <f t="shared" si="56"/>
        <v/>
      </c>
    </row>
    <row r="3582" spans="6:6">
      <c r="F3582" t="str">
        <f t="shared" si="56"/>
        <v/>
      </c>
    </row>
    <row r="3583" spans="6:6">
      <c r="F3583" t="str">
        <f t="shared" si="56"/>
        <v/>
      </c>
    </row>
    <row r="3584" spans="6:6">
      <c r="F3584" t="str">
        <f t="shared" si="56"/>
        <v/>
      </c>
    </row>
    <row r="3585" spans="6:6">
      <c r="F3585" t="str">
        <f t="shared" si="56"/>
        <v/>
      </c>
    </row>
    <row r="3586" spans="6:6">
      <c r="F3586" t="str">
        <f t="shared" si="56"/>
        <v/>
      </c>
    </row>
    <row r="3587" spans="6:6">
      <c r="F3587" t="str">
        <f t="shared" si="56"/>
        <v/>
      </c>
    </row>
    <row r="3588" spans="6:6">
      <c r="F3588" t="str">
        <f t="shared" si="56"/>
        <v/>
      </c>
    </row>
    <row r="3589" spans="6:6">
      <c r="F3589" t="str">
        <f t="shared" si="56"/>
        <v/>
      </c>
    </row>
    <row r="3590" spans="6:6">
      <c r="F3590" t="str">
        <f t="shared" si="56"/>
        <v/>
      </c>
    </row>
    <row r="3591" spans="6:6">
      <c r="F3591" t="str">
        <f t="shared" si="56"/>
        <v/>
      </c>
    </row>
    <row r="3592" spans="6:6">
      <c r="F3592" t="str">
        <f t="shared" si="56"/>
        <v/>
      </c>
    </row>
    <row r="3593" spans="6:6">
      <c r="F3593" t="str">
        <f t="shared" si="56"/>
        <v/>
      </c>
    </row>
    <row r="3594" spans="6:6">
      <c r="F3594" t="str">
        <f t="shared" si="56"/>
        <v/>
      </c>
    </row>
    <row r="3595" spans="6:6">
      <c r="F3595" t="str">
        <f t="shared" si="56"/>
        <v/>
      </c>
    </row>
    <row r="3596" spans="6:6">
      <c r="F3596" t="str">
        <f t="shared" si="56"/>
        <v/>
      </c>
    </row>
    <row r="3597" spans="6:6">
      <c r="F3597" t="str">
        <f t="shared" ref="F3597:F3660" si="57">RIGHT(D3597,2)</f>
        <v/>
      </c>
    </row>
    <row r="3598" spans="6:6">
      <c r="F3598" t="str">
        <f t="shared" si="57"/>
        <v/>
      </c>
    </row>
    <row r="3599" spans="6:6">
      <c r="F3599" t="str">
        <f t="shared" si="57"/>
        <v/>
      </c>
    </row>
    <row r="3600" spans="6:6">
      <c r="F3600" t="str">
        <f t="shared" si="57"/>
        <v/>
      </c>
    </row>
    <row r="3601" spans="6:6">
      <c r="F3601" t="str">
        <f t="shared" si="57"/>
        <v/>
      </c>
    </row>
    <row r="3602" spans="6:6">
      <c r="F3602" t="str">
        <f t="shared" si="57"/>
        <v/>
      </c>
    </row>
    <row r="3603" spans="6:6">
      <c r="F3603" t="str">
        <f t="shared" si="57"/>
        <v/>
      </c>
    </row>
    <row r="3604" spans="6:6">
      <c r="F3604" t="str">
        <f t="shared" si="57"/>
        <v/>
      </c>
    </row>
    <row r="3605" spans="6:6">
      <c r="F3605" t="str">
        <f t="shared" si="57"/>
        <v/>
      </c>
    </row>
    <row r="3606" spans="6:6">
      <c r="F3606" t="str">
        <f t="shared" si="57"/>
        <v/>
      </c>
    </row>
    <row r="3607" spans="6:6">
      <c r="F3607" t="str">
        <f t="shared" si="57"/>
        <v/>
      </c>
    </row>
    <row r="3608" spans="6:6">
      <c r="F3608" t="str">
        <f t="shared" si="57"/>
        <v/>
      </c>
    </row>
    <row r="3609" spans="6:6">
      <c r="F3609" t="str">
        <f t="shared" si="57"/>
        <v/>
      </c>
    </row>
    <row r="3610" spans="6:6">
      <c r="F3610" t="str">
        <f t="shared" si="57"/>
        <v/>
      </c>
    </row>
    <row r="3611" spans="6:6">
      <c r="F3611" t="str">
        <f t="shared" si="57"/>
        <v/>
      </c>
    </row>
    <row r="3612" spans="6:6">
      <c r="F3612" t="str">
        <f t="shared" si="57"/>
        <v/>
      </c>
    </row>
    <row r="3613" spans="6:6">
      <c r="F3613" t="str">
        <f t="shared" si="57"/>
        <v/>
      </c>
    </row>
    <row r="3614" spans="6:6">
      <c r="F3614" t="str">
        <f t="shared" si="57"/>
        <v/>
      </c>
    </row>
    <row r="3615" spans="6:6">
      <c r="F3615" t="str">
        <f t="shared" si="57"/>
        <v/>
      </c>
    </row>
    <row r="3616" spans="6:6">
      <c r="F3616" t="str">
        <f t="shared" si="57"/>
        <v/>
      </c>
    </row>
    <row r="3617" spans="6:6">
      <c r="F3617" t="str">
        <f t="shared" si="57"/>
        <v/>
      </c>
    </row>
    <row r="3618" spans="6:6">
      <c r="F3618" t="str">
        <f t="shared" si="57"/>
        <v/>
      </c>
    </row>
    <row r="3619" spans="6:6">
      <c r="F3619" t="str">
        <f t="shared" si="57"/>
        <v/>
      </c>
    </row>
    <row r="3620" spans="6:6">
      <c r="F3620" t="str">
        <f t="shared" si="57"/>
        <v/>
      </c>
    </row>
    <row r="3621" spans="6:6">
      <c r="F3621" t="str">
        <f t="shared" si="57"/>
        <v/>
      </c>
    </row>
    <row r="3622" spans="6:6">
      <c r="F3622" t="str">
        <f t="shared" si="57"/>
        <v/>
      </c>
    </row>
    <row r="3623" spans="6:6">
      <c r="F3623" t="str">
        <f t="shared" si="57"/>
        <v/>
      </c>
    </row>
    <row r="3624" spans="6:6">
      <c r="F3624" t="str">
        <f t="shared" si="57"/>
        <v/>
      </c>
    </row>
    <row r="3625" spans="6:6">
      <c r="F3625" t="str">
        <f t="shared" si="57"/>
        <v/>
      </c>
    </row>
    <row r="3626" spans="6:6">
      <c r="F3626" t="str">
        <f t="shared" si="57"/>
        <v/>
      </c>
    </row>
    <row r="3627" spans="6:6">
      <c r="F3627" t="str">
        <f t="shared" si="57"/>
        <v/>
      </c>
    </row>
    <row r="3628" spans="6:6">
      <c r="F3628" t="str">
        <f t="shared" si="57"/>
        <v/>
      </c>
    </row>
    <row r="3629" spans="6:6">
      <c r="F3629" t="str">
        <f t="shared" si="57"/>
        <v/>
      </c>
    </row>
    <row r="3630" spans="6:6">
      <c r="F3630" t="str">
        <f t="shared" si="57"/>
        <v/>
      </c>
    </row>
    <row r="3631" spans="6:6">
      <c r="F3631" t="str">
        <f t="shared" si="57"/>
        <v/>
      </c>
    </row>
    <row r="3632" spans="6:6">
      <c r="F3632" t="str">
        <f t="shared" si="57"/>
        <v/>
      </c>
    </row>
    <row r="3633" spans="6:6">
      <c r="F3633" t="str">
        <f t="shared" si="57"/>
        <v/>
      </c>
    </row>
    <row r="3634" spans="6:6">
      <c r="F3634" t="str">
        <f t="shared" si="57"/>
        <v/>
      </c>
    </row>
    <row r="3635" spans="6:6">
      <c r="F3635" t="str">
        <f t="shared" si="57"/>
        <v/>
      </c>
    </row>
    <row r="3636" spans="6:6">
      <c r="F3636" t="str">
        <f t="shared" si="57"/>
        <v/>
      </c>
    </row>
    <row r="3637" spans="6:6">
      <c r="F3637" t="str">
        <f t="shared" si="57"/>
        <v/>
      </c>
    </row>
    <row r="3638" spans="6:6">
      <c r="F3638" t="str">
        <f t="shared" si="57"/>
        <v/>
      </c>
    </row>
    <row r="3639" spans="6:6">
      <c r="F3639" t="str">
        <f t="shared" si="57"/>
        <v/>
      </c>
    </row>
    <row r="3640" spans="6:6">
      <c r="F3640" t="str">
        <f t="shared" si="57"/>
        <v/>
      </c>
    </row>
    <row r="3641" spans="6:6">
      <c r="F3641" t="str">
        <f t="shared" si="57"/>
        <v/>
      </c>
    </row>
    <row r="3642" spans="6:6">
      <c r="F3642" t="str">
        <f t="shared" si="57"/>
        <v/>
      </c>
    </row>
    <row r="3643" spans="6:6">
      <c r="F3643" t="str">
        <f t="shared" si="57"/>
        <v/>
      </c>
    </row>
    <row r="3644" spans="6:6">
      <c r="F3644" t="str">
        <f t="shared" si="57"/>
        <v/>
      </c>
    </row>
    <row r="3645" spans="6:6">
      <c r="F3645" t="str">
        <f t="shared" si="57"/>
        <v/>
      </c>
    </row>
    <row r="3646" spans="6:6">
      <c r="F3646" t="str">
        <f t="shared" si="57"/>
        <v/>
      </c>
    </row>
    <row r="3647" spans="6:6">
      <c r="F3647" t="str">
        <f t="shared" si="57"/>
        <v/>
      </c>
    </row>
    <row r="3648" spans="6:6">
      <c r="F3648" t="str">
        <f t="shared" si="57"/>
        <v/>
      </c>
    </row>
    <row r="3649" spans="6:6">
      <c r="F3649" t="str">
        <f t="shared" si="57"/>
        <v/>
      </c>
    </row>
    <row r="3650" spans="6:6">
      <c r="F3650" t="str">
        <f t="shared" si="57"/>
        <v/>
      </c>
    </row>
    <row r="3651" spans="6:6">
      <c r="F3651" t="str">
        <f t="shared" si="57"/>
        <v/>
      </c>
    </row>
    <row r="3652" spans="6:6">
      <c r="F3652" t="str">
        <f t="shared" si="57"/>
        <v/>
      </c>
    </row>
    <row r="3653" spans="6:6">
      <c r="F3653" t="str">
        <f t="shared" si="57"/>
        <v/>
      </c>
    </row>
    <row r="3654" spans="6:6">
      <c r="F3654" t="str">
        <f t="shared" si="57"/>
        <v/>
      </c>
    </row>
    <row r="3655" spans="6:6">
      <c r="F3655" t="str">
        <f t="shared" si="57"/>
        <v/>
      </c>
    </row>
    <row r="3656" spans="6:6">
      <c r="F3656" t="str">
        <f t="shared" si="57"/>
        <v/>
      </c>
    </row>
    <row r="3657" spans="6:6">
      <c r="F3657" t="str">
        <f t="shared" si="57"/>
        <v/>
      </c>
    </row>
    <row r="3658" spans="6:6">
      <c r="F3658" t="str">
        <f t="shared" si="57"/>
        <v/>
      </c>
    </row>
    <row r="3659" spans="6:6">
      <c r="F3659" t="str">
        <f t="shared" si="57"/>
        <v/>
      </c>
    </row>
    <row r="3660" spans="6:6">
      <c r="F3660" t="str">
        <f t="shared" si="57"/>
        <v/>
      </c>
    </row>
    <row r="3661" spans="6:6">
      <c r="F3661" t="str">
        <f t="shared" ref="F3661:F3724" si="58">RIGHT(D3661,2)</f>
        <v/>
      </c>
    </row>
    <row r="3662" spans="6:6">
      <c r="F3662" t="str">
        <f t="shared" si="58"/>
        <v/>
      </c>
    </row>
    <row r="3663" spans="6:6">
      <c r="F3663" t="str">
        <f t="shared" si="58"/>
        <v/>
      </c>
    </row>
    <row r="3664" spans="6:6">
      <c r="F3664" t="str">
        <f t="shared" si="58"/>
        <v/>
      </c>
    </row>
    <row r="3665" spans="6:6">
      <c r="F3665" t="str">
        <f t="shared" si="58"/>
        <v/>
      </c>
    </row>
    <row r="3666" spans="6:6">
      <c r="F3666" t="str">
        <f t="shared" si="58"/>
        <v/>
      </c>
    </row>
    <row r="3667" spans="6:6">
      <c r="F3667" t="str">
        <f t="shared" si="58"/>
        <v/>
      </c>
    </row>
    <row r="3668" spans="6:6">
      <c r="F3668" t="str">
        <f t="shared" si="58"/>
        <v/>
      </c>
    </row>
    <row r="3669" spans="6:6">
      <c r="F3669" t="str">
        <f t="shared" si="58"/>
        <v/>
      </c>
    </row>
    <row r="3670" spans="6:6">
      <c r="F3670" t="str">
        <f t="shared" si="58"/>
        <v/>
      </c>
    </row>
    <row r="3671" spans="6:6">
      <c r="F3671" t="str">
        <f t="shared" si="58"/>
        <v/>
      </c>
    </row>
    <row r="3672" spans="6:6">
      <c r="F3672" t="str">
        <f t="shared" si="58"/>
        <v/>
      </c>
    </row>
    <row r="3673" spans="6:6">
      <c r="F3673" t="str">
        <f t="shared" si="58"/>
        <v/>
      </c>
    </row>
    <row r="3674" spans="6:6">
      <c r="F3674" t="str">
        <f t="shared" si="58"/>
        <v/>
      </c>
    </row>
    <row r="3675" spans="6:6">
      <c r="F3675" t="str">
        <f t="shared" si="58"/>
        <v/>
      </c>
    </row>
    <row r="3676" spans="6:6">
      <c r="F3676" t="str">
        <f t="shared" si="58"/>
        <v/>
      </c>
    </row>
    <row r="3677" spans="6:6">
      <c r="F3677" t="str">
        <f t="shared" si="58"/>
        <v/>
      </c>
    </row>
    <row r="3678" spans="6:6">
      <c r="F3678" t="str">
        <f t="shared" si="58"/>
        <v/>
      </c>
    </row>
    <row r="3679" spans="6:6">
      <c r="F3679" t="str">
        <f t="shared" si="58"/>
        <v/>
      </c>
    </row>
    <row r="3680" spans="6:6">
      <c r="F3680" t="str">
        <f t="shared" si="58"/>
        <v/>
      </c>
    </row>
    <row r="3681" spans="6:6">
      <c r="F3681" t="str">
        <f t="shared" si="58"/>
        <v/>
      </c>
    </row>
    <row r="3682" spans="6:6">
      <c r="F3682" t="str">
        <f t="shared" si="58"/>
        <v/>
      </c>
    </row>
    <row r="3683" spans="6:6">
      <c r="F3683" t="str">
        <f t="shared" si="58"/>
        <v/>
      </c>
    </row>
    <row r="3684" spans="6:6">
      <c r="F3684" t="str">
        <f t="shared" si="58"/>
        <v/>
      </c>
    </row>
    <row r="3685" spans="6:6">
      <c r="F3685" t="str">
        <f t="shared" si="58"/>
        <v/>
      </c>
    </row>
    <row r="3686" spans="6:6">
      <c r="F3686" t="str">
        <f t="shared" si="58"/>
        <v/>
      </c>
    </row>
    <row r="3687" spans="6:6">
      <c r="F3687" t="str">
        <f t="shared" si="58"/>
        <v/>
      </c>
    </row>
    <row r="3688" spans="6:6">
      <c r="F3688" t="str">
        <f t="shared" si="58"/>
        <v/>
      </c>
    </row>
    <row r="3689" spans="6:6">
      <c r="F3689" t="str">
        <f t="shared" si="58"/>
        <v/>
      </c>
    </row>
    <row r="3690" spans="6:6">
      <c r="F3690" t="str">
        <f t="shared" si="58"/>
        <v/>
      </c>
    </row>
    <row r="3691" spans="6:6">
      <c r="F3691" t="str">
        <f t="shared" si="58"/>
        <v/>
      </c>
    </row>
    <row r="3692" spans="6:6">
      <c r="F3692" t="str">
        <f t="shared" si="58"/>
        <v/>
      </c>
    </row>
    <row r="3693" spans="6:6">
      <c r="F3693" t="str">
        <f t="shared" si="58"/>
        <v/>
      </c>
    </row>
    <row r="3694" spans="6:6">
      <c r="F3694" t="str">
        <f t="shared" si="58"/>
        <v/>
      </c>
    </row>
    <row r="3695" spans="6:6">
      <c r="F3695" t="str">
        <f t="shared" si="58"/>
        <v/>
      </c>
    </row>
    <row r="3696" spans="6:6">
      <c r="F3696" t="str">
        <f t="shared" si="58"/>
        <v/>
      </c>
    </row>
    <row r="3697" spans="6:6">
      <c r="F3697" t="str">
        <f t="shared" si="58"/>
        <v/>
      </c>
    </row>
    <row r="3698" spans="6:6">
      <c r="F3698" t="str">
        <f t="shared" si="58"/>
        <v/>
      </c>
    </row>
    <row r="3699" spans="6:6">
      <c r="F3699" t="str">
        <f t="shared" si="58"/>
        <v/>
      </c>
    </row>
    <row r="3700" spans="6:6">
      <c r="F3700" t="str">
        <f t="shared" si="58"/>
        <v/>
      </c>
    </row>
    <row r="3701" spans="6:6">
      <c r="F3701" t="str">
        <f t="shared" si="58"/>
        <v/>
      </c>
    </row>
    <row r="3702" spans="6:6">
      <c r="F3702" t="str">
        <f t="shared" si="58"/>
        <v/>
      </c>
    </row>
    <row r="3703" spans="6:6">
      <c r="F3703" t="str">
        <f t="shared" si="58"/>
        <v/>
      </c>
    </row>
    <row r="3704" spans="6:6">
      <c r="F3704" t="str">
        <f t="shared" si="58"/>
        <v/>
      </c>
    </row>
    <row r="3705" spans="6:6">
      <c r="F3705" t="str">
        <f t="shared" si="58"/>
        <v/>
      </c>
    </row>
    <row r="3706" spans="6:6">
      <c r="F3706" t="str">
        <f t="shared" si="58"/>
        <v/>
      </c>
    </row>
    <row r="3707" spans="6:6">
      <c r="F3707" t="str">
        <f t="shared" si="58"/>
        <v/>
      </c>
    </row>
    <row r="3708" spans="6:6">
      <c r="F3708" t="str">
        <f t="shared" si="58"/>
        <v/>
      </c>
    </row>
    <row r="3709" spans="6:6">
      <c r="F3709" t="str">
        <f t="shared" si="58"/>
        <v/>
      </c>
    </row>
    <row r="3710" spans="6:6">
      <c r="F3710" t="str">
        <f t="shared" si="58"/>
        <v/>
      </c>
    </row>
    <row r="3711" spans="6:6">
      <c r="F3711" t="str">
        <f t="shared" si="58"/>
        <v/>
      </c>
    </row>
    <row r="3712" spans="6:6">
      <c r="F3712" t="str">
        <f t="shared" si="58"/>
        <v/>
      </c>
    </row>
    <row r="3713" spans="6:6">
      <c r="F3713" t="str">
        <f t="shared" si="58"/>
        <v/>
      </c>
    </row>
    <row r="3714" spans="6:6">
      <c r="F3714" t="str">
        <f t="shared" si="58"/>
        <v/>
      </c>
    </row>
    <row r="3715" spans="6:6">
      <c r="F3715" t="str">
        <f t="shared" si="58"/>
        <v/>
      </c>
    </row>
    <row r="3716" spans="6:6">
      <c r="F3716" t="str">
        <f t="shared" si="58"/>
        <v/>
      </c>
    </row>
    <row r="3717" spans="6:6">
      <c r="F3717" t="str">
        <f t="shared" si="58"/>
        <v/>
      </c>
    </row>
    <row r="3718" spans="6:6">
      <c r="F3718" t="str">
        <f t="shared" si="58"/>
        <v/>
      </c>
    </row>
    <row r="3719" spans="6:6">
      <c r="F3719" t="str">
        <f t="shared" si="58"/>
        <v/>
      </c>
    </row>
    <row r="3720" spans="6:6">
      <c r="F3720" t="str">
        <f t="shared" si="58"/>
        <v/>
      </c>
    </row>
    <row r="3721" spans="6:6">
      <c r="F3721" t="str">
        <f t="shared" si="58"/>
        <v/>
      </c>
    </row>
    <row r="3722" spans="6:6">
      <c r="F3722" t="str">
        <f t="shared" si="58"/>
        <v/>
      </c>
    </row>
    <row r="3723" spans="6:6">
      <c r="F3723" t="str">
        <f t="shared" si="58"/>
        <v/>
      </c>
    </row>
    <row r="3724" spans="6:6">
      <c r="F3724" t="str">
        <f t="shared" si="58"/>
        <v/>
      </c>
    </row>
    <row r="3725" spans="6:6">
      <c r="F3725" t="str">
        <f t="shared" ref="F3725:F3788" si="59">RIGHT(D3725,2)</f>
        <v/>
      </c>
    </row>
    <row r="3726" spans="6:6">
      <c r="F3726" t="str">
        <f t="shared" si="59"/>
        <v/>
      </c>
    </row>
    <row r="3727" spans="6:6">
      <c r="F3727" t="str">
        <f t="shared" si="59"/>
        <v/>
      </c>
    </row>
    <row r="3728" spans="6:6">
      <c r="F3728" t="str">
        <f t="shared" si="59"/>
        <v/>
      </c>
    </row>
    <row r="3729" spans="6:6">
      <c r="F3729" t="str">
        <f t="shared" si="59"/>
        <v/>
      </c>
    </row>
    <row r="3730" spans="6:6">
      <c r="F3730" t="str">
        <f t="shared" si="59"/>
        <v/>
      </c>
    </row>
    <row r="3731" spans="6:6">
      <c r="F3731" t="str">
        <f t="shared" si="59"/>
        <v/>
      </c>
    </row>
    <row r="3732" spans="6:6">
      <c r="F3732" t="str">
        <f t="shared" si="59"/>
        <v/>
      </c>
    </row>
    <row r="3733" spans="6:6">
      <c r="F3733" t="str">
        <f t="shared" si="59"/>
        <v/>
      </c>
    </row>
    <row r="3734" spans="6:6">
      <c r="F3734" t="str">
        <f t="shared" si="59"/>
        <v/>
      </c>
    </row>
    <row r="3735" spans="6:6">
      <c r="F3735" t="str">
        <f t="shared" si="59"/>
        <v/>
      </c>
    </row>
    <row r="3736" spans="6:6">
      <c r="F3736" t="str">
        <f t="shared" si="59"/>
        <v/>
      </c>
    </row>
    <row r="3737" spans="6:6">
      <c r="F3737" t="str">
        <f t="shared" si="59"/>
        <v/>
      </c>
    </row>
    <row r="3738" spans="6:6">
      <c r="F3738" t="str">
        <f t="shared" si="59"/>
        <v/>
      </c>
    </row>
    <row r="3739" spans="6:6">
      <c r="F3739" t="str">
        <f t="shared" si="59"/>
        <v/>
      </c>
    </row>
    <row r="3740" spans="6:6">
      <c r="F3740" t="str">
        <f t="shared" si="59"/>
        <v/>
      </c>
    </row>
    <row r="3741" spans="6:6">
      <c r="F3741" t="str">
        <f t="shared" si="59"/>
        <v/>
      </c>
    </row>
    <row r="3742" spans="6:6">
      <c r="F3742" t="str">
        <f t="shared" si="59"/>
        <v/>
      </c>
    </row>
    <row r="3743" spans="6:6">
      <c r="F3743" t="str">
        <f t="shared" si="59"/>
        <v/>
      </c>
    </row>
    <row r="3744" spans="6:6">
      <c r="F3744" t="str">
        <f t="shared" si="59"/>
        <v/>
      </c>
    </row>
    <row r="3745" spans="6:6">
      <c r="F3745" t="str">
        <f t="shared" si="59"/>
        <v/>
      </c>
    </row>
    <row r="3746" spans="6:6">
      <c r="F3746" t="str">
        <f t="shared" si="59"/>
        <v/>
      </c>
    </row>
    <row r="3747" spans="6:6">
      <c r="F3747" t="str">
        <f t="shared" si="59"/>
        <v/>
      </c>
    </row>
    <row r="3748" spans="6:6">
      <c r="F3748" t="str">
        <f t="shared" si="59"/>
        <v/>
      </c>
    </row>
    <row r="3749" spans="6:6">
      <c r="F3749" t="str">
        <f t="shared" si="59"/>
        <v/>
      </c>
    </row>
    <row r="3750" spans="6:6">
      <c r="F3750" t="str">
        <f t="shared" si="59"/>
        <v/>
      </c>
    </row>
    <row r="3751" spans="6:6">
      <c r="F3751" t="str">
        <f t="shared" si="59"/>
        <v/>
      </c>
    </row>
    <row r="3752" spans="6:6">
      <c r="F3752" t="str">
        <f t="shared" si="59"/>
        <v/>
      </c>
    </row>
    <row r="3753" spans="6:6">
      <c r="F3753" t="str">
        <f t="shared" si="59"/>
        <v/>
      </c>
    </row>
    <row r="3754" spans="6:6">
      <c r="F3754" t="str">
        <f t="shared" si="59"/>
        <v/>
      </c>
    </row>
    <row r="3755" spans="6:6">
      <c r="F3755" t="str">
        <f t="shared" si="59"/>
        <v/>
      </c>
    </row>
    <row r="3756" spans="6:6">
      <c r="F3756" t="str">
        <f t="shared" si="59"/>
        <v/>
      </c>
    </row>
    <row r="3757" spans="6:6">
      <c r="F3757" t="str">
        <f t="shared" si="59"/>
        <v/>
      </c>
    </row>
    <row r="3758" spans="6:6">
      <c r="F3758" t="str">
        <f t="shared" si="59"/>
        <v/>
      </c>
    </row>
    <row r="3759" spans="6:6">
      <c r="F3759" t="str">
        <f t="shared" si="59"/>
        <v/>
      </c>
    </row>
    <row r="3760" spans="6:6">
      <c r="F3760" t="str">
        <f t="shared" si="59"/>
        <v/>
      </c>
    </row>
    <row r="3761" spans="6:6">
      <c r="F3761" t="str">
        <f t="shared" si="59"/>
        <v/>
      </c>
    </row>
    <row r="3762" spans="6:6">
      <c r="F3762" t="str">
        <f t="shared" si="59"/>
        <v/>
      </c>
    </row>
    <row r="3763" spans="6:6">
      <c r="F3763" t="str">
        <f t="shared" si="59"/>
        <v/>
      </c>
    </row>
    <row r="3764" spans="6:6">
      <c r="F3764" t="str">
        <f t="shared" si="59"/>
        <v/>
      </c>
    </row>
    <row r="3765" spans="6:6">
      <c r="F3765" t="str">
        <f t="shared" si="59"/>
        <v/>
      </c>
    </row>
    <row r="3766" spans="6:6">
      <c r="F3766" t="str">
        <f t="shared" si="59"/>
        <v/>
      </c>
    </row>
    <row r="3767" spans="6:6">
      <c r="F3767" t="str">
        <f t="shared" si="59"/>
        <v/>
      </c>
    </row>
    <row r="3768" spans="6:6">
      <c r="F3768" t="str">
        <f t="shared" si="59"/>
        <v/>
      </c>
    </row>
    <row r="3769" spans="6:6">
      <c r="F3769" t="str">
        <f t="shared" si="59"/>
        <v/>
      </c>
    </row>
    <row r="3770" spans="6:6">
      <c r="F3770" t="str">
        <f t="shared" si="59"/>
        <v/>
      </c>
    </row>
    <row r="3771" spans="6:6">
      <c r="F3771" t="str">
        <f t="shared" si="59"/>
        <v/>
      </c>
    </row>
    <row r="3772" spans="6:6">
      <c r="F3772" t="str">
        <f t="shared" si="59"/>
        <v/>
      </c>
    </row>
    <row r="3773" spans="6:6">
      <c r="F3773" t="str">
        <f t="shared" si="59"/>
        <v/>
      </c>
    </row>
    <row r="3774" spans="6:6">
      <c r="F3774" t="str">
        <f t="shared" si="59"/>
        <v/>
      </c>
    </row>
    <row r="3775" spans="6:6">
      <c r="F3775" t="str">
        <f t="shared" si="59"/>
        <v/>
      </c>
    </row>
    <row r="3776" spans="6:6">
      <c r="F3776" t="str">
        <f t="shared" si="59"/>
        <v/>
      </c>
    </row>
    <row r="3777" spans="6:6">
      <c r="F3777" t="str">
        <f t="shared" si="59"/>
        <v/>
      </c>
    </row>
    <row r="3778" spans="6:6">
      <c r="F3778" t="str">
        <f t="shared" si="59"/>
        <v/>
      </c>
    </row>
    <row r="3779" spans="6:6">
      <c r="F3779" t="str">
        <f t="shared" si="59"/>
        <v/>
      </c>
    </row>
    <row r="3780" spans="6:6">
      <c r="F3780" t="str">
        <f t="shared" si="59"/>
        <v/>
      </c>
    </row>
    <row r="3781" spans="6:6">
      <c r="F3781" t="str">
        <f t="shared" si="59"/>
        <v/>
      </c>
    </row>
    <row r="3782" spans="6:6">
      <c r="F3782" t="str">
        <f t="shared" si="59"/>
        <v/>
      </c>
    </row>
    <row r="3783" spans="6:6">
      <c r="F3783" t="str">
        <f t="shared" si="59"/>
        <v/>
      </c>
    </row>
    <row r="3784" spans="6:6">
      <c r="F3784" t="str">
        <f t="shared" si="59"/>
        <v/>
      </c>
    </row>
    <row r="3785" spans="6:6">
      <c r="F3785" t="str">
        <f t="shared" si="59"/>
        <v/>
      </c>
    </row>
    <row r="3786" spans="6:6">
      <c r="F3786" t="str">
        <f t="shared" si="59"/>
        <v/>
      </c>
    </row>
    <row r="3787" spans="6:6">
      <c r="F3787" t="str">
        <f t="shared" si="59"/>
        <v/>
      </c>
    </row>
    <row r="3788" spans="6:6">
      <c r="F3788" t="str">
        <f t="shared" si="59"/>
        <v/>
      </c>
    </row>
    <row r="3789" spans="6:6">
      <c r="F3789" t="str">
        <f t="shared" ref="F3789:F3852" si="60">RIGHT(D3789,2)</f>
        <v/>
      </c>
    </row>
    <row r="3790" spans="6:6">
      <c r="F3790" t="str">
        <f t="shared" si="60"/>
        <v/>
      </c>
    </row>
    <row r="3791" spans="6:6">
      <c r="F3791" t="str">
        <f t="shared" si="60"/>
        <v/>
      </c>
    </row>
    <row r="3792" spans="6:6">
      <c r="F3792" t="str">
        <f t="shared" si="60"/>
        <v/>
      </c>
    </row>
    <row r="3793" spans="6:6">
      <c r="F3793" t="str">
        <f t="shared" si="60"/>
        <v/>
      </c>
    </row>
    <row r="3794" spans="6:6">
      <c r="F3794" t="str">
        <f t="shared" si="60"/>
        <v/>
      </c>
    </row>
    <row r="3795" spans="6:6">
      <c r="F3795" t="str">
        <f t="shared" si="60"/>
        <v/>
      </c>
    </row>
    <row r="3796" spans="6:6">
      <c r="F3796" t="str">
        <f t="shared" si="60"/>
        <v/>
      </c>
    </row>
    <row r="3797" spans="6:6">
      <c r="F3797" t="str">
        <f t="shared" si="60"/>
        <v/>
      </c>
    </row>
    <row r="3798" spans="6:6">
      <c r="F3798" t="str">
        <f t="shared" si="60"/>
        <v/>
      </c>
    </row>
    <row r="3799" spans="6:6">
      <c r="F3799" t="str">
        <f t="shared" si="60"/>
        <v/>
      </c>
    </row>
    <row r="3800" spans="6:6">
      <c r="F3800" t="str">
        <f t="shared" si="60"/>
        <v/>
      </c>
    </row>
    <row r="3801" spans="6:6">
      <c r="F3801" t="str">
        <f t="shared" si="60"/>
        <v/>
      </c>
    </row>
    <row r="3802" spans="6:6">
      <c r="F3802" t="str">
        <f t="shared" si="60"/>
        <v/>
      </c>
    </row>
    <row r="3803" spans="6:6">
      <c r="F3803" t="str">
        <f t="shared" si="60"/>
        <v/>
      </c>
    </row>
    <row r="3804" spans="6:6">
      <c r="F3804" t="str">
        <f t="shared" si="60"/>
        <v/>
      </c>
    </row>
    <row r="3805" spans="6:6">
      <c r="F3805" t="str">
        <f t="shared" si="60"/>
        <v/>
      </c>
    </row>
    <row r="3806" spans="6:6">
      <c r="F3806" t="str">
        <f t="shared" si="60"/>
        <v/>
      </c>
    </row>
    <row r="3807" spans="6:6">
      <c r="F3807" t="str">
        <f t="shared" si="60"/>
        <v/>
      </c>
    </row>
    <row r="3808" spans="6:6">
      <c r="F3808" t="str">
        <f t="shared" si="60"/>
        <v/>
      </c>
    </row>
    <row r="3809" spans="6:6">
      <c r="F3809" t="str">
        <f t="shared" si="60"/>
        <v/>
      </c>
    </row>
    <row r="3810" spans="6:6">
      <c r="F3810" t="str">
        <f t="shared" si="60"/>
        <v/>
      </c>
    </row>
    <row r="3811" spans="6:6">
      <c r="F3811" t="str">
        <f t="shared" si="60"/>
        <v/>
      </c>
    </row>
    <row r="3812" spans="6:6">
      <c r="F3812" t="str">
        <f t="shared" si="60"/>
        <v/>
      </c>
    </row>
    <row r="3813" spans="6:6">
      <c r="F3813" t="str">
        <f t="shared" si="60"/>
        <v/>
      </c>
    </row>
    <row r="3814" spans="6:6">
      <c r="F3814" t="str">
        <f t="shared" si="60"/>
        <v/>
      </c>
    </row>
    <row r="3815" spans="6:6">
      <c r="F3815" t="str">
        <f t="shared" si="60"/>
        <v/>
      </c>
    </row>
    <row r="3816" spans="6:6">
      <c r="F3816" t="str">
        <f t="shared" si="60"/>
        <v/>
      </c>
    </row>
    <row r="3817" spans="6:6">
      <c r="F3817" t="str">
        <f t="shared" si="60"/>
        <v/>
      </c>
    </row>
    <row r="3818" spans="6:6">
      <c r="F3818" t="str">
        <f t="shared" si="60"/>
        <v/>
      </c>
    </row>
    <row r="3819" spans="6:6">
      <c r="F3819" t="str">
        <f t="shared" si="60"/>
        <v/>
      </c>
    </row>
    <row r="3820" spans="6:6">
      <c r="F3820" t="str">
        <f t="shared" si="60"/>
        <v/>
      </c>
    </row>
    <row r="3821" spans="6:6">
      <c r="F3821" t="str">
        <f t="shared" si="60"/>
        <v/>
      </c>
    </row>
    <row r="3822" spans="6:6">
      <c r="F3822" t="str">
        <f t="shared" si="60"/>
        <v/>
      </c>
    </row>
    <row r="3823" spans="6:6">
      <c r="F3823" t="str">
        <f t="shared" si="60"/>
        <v/>
      </c>
    </row>
    <row r="3824" spans="6:6">
      <c r="F3824" t="str">
        <f t="shared" si="60"/>
        <v/>
      </c>
    </row>
    <row r="3825" spans="6:6">
      <c r="F3825" t="str">
        <f t="shared" si="60"/>
        <v/>
      </c>
    </row>
    <row r="3826" spans="6:6">
      <c r="F3826" t="str">
        <f t="shared" si="60"/>
        <v/>
      </c>
    </row>
    <row r="3827" spans="6:6">
      <c r="F3827" t="str">
        <f t="shared" si="60"/>
        <v/>
      </c>
    </row>
    <row r="3828" spans="6:6">
      <c r="F3828" t="str">
        <f t="shared" si="60"/>
        <v/>
      </c>
    </row>
    <row r="3829" spans="6:6">
      <c r="F3829" t="str">
        <f t="shared" si="60"/>
        <v/>
      </c>
    </row>
    <row r="3830" spans="6:6">
      <c r="F3830" t="str">
        <f t="shared" si="60"/>
        <v/>
      </c>
    </row>
    <row r="3831" spans="6:6">
      <c r="F3831" t="str">
        <f t="shared" si="60"/>
        <v/>
      </c>
    </row>
    <row r="3832" spans="6:6">
      <c r="F3832" t="str">
        <f t="shared" si="60"/>
        <v/>
      </c>
    </row>
    <row r="3833" spans="6:6">
      <c r="F3833" t="str">
        <f t="shared" si="60"/>
        <v/>
      </c>
    </row>
    <row r="3834" spans="6:6">
      <c r="F3834" t="str">
        <f t="shared" si="60"/>
        <v/>
      </c>
    </row>
    <row r="3835" spans="6:6">
      <c r="F3835" t="str">
        <f t="shared" si="60"/>
        <v/>
      </c>
    </row>
    <row r="3836" spans="6:6">
      <c r="F3836" t="str">
        <f t="shared" si="60"/>
        <v/>
      </c>
    </row>
    <row r="3837" spans="6:6">
      <c r="F3837" t="str">
        <f t="shared" si="60"/>
        <v/>
      </c>
    </row>
    <row r="3838" spans="6:6">
      <c r="F3838" t="str">
        <f t="shared" si="60"/>
        <v/>
      </c>
    </row>
    <row r="3839" spans="6:6">
      <c r="F3839" t="str">
        <f t="shared" si="60"/>
        <v/>
      </c>
    </row>
    <row r="3840" spans="6:6">
      <c r="F3840" t="str">
        <f t="shared" si="60"/>
        <v/>
      </c>
    </row>
    <row r="3841" spans="6:6">
      <c r="F3841" t="str">
        <f t="shared" si="60"/>
        <v/>
      </c>
    </row>
    <row r="3842" spans="6:6">
      <c r="F3842" t="str">
        <f t="shared" si="60"/>
        <v/>
      </c>
    </row>
    <row r="3843" spans="6:6">
      <c r="F3843" t="str">
        <f t="shared" si="60"/>
        <v/>
      </c>
    </row>
    <row r="3844" spans="6:6">
      <c r="F3844" t="str">
        <f t="shared" si="60"/>
        <v/>
      </c>
    </row>
    <row r="3845" spans="6:6">
      <c r="F3845" t="str">
        <f t="shared" si="60"/>
        <v/>
      </c>
    </row>
    <row r="3846" spans="6:6">
      <c r="F3846" t="str">
        <f t="shared" si="60"/>
        <v/>
      </c>
    </row>
    <row r="3847" spans="6:6">
      <c r="F3847" t="str">
        <f t="shared" si="60"/>
        <v/>
      </c>
    </row>
    <row r="3848" spans="6:6">
      <c r="F3848" t="str">
        <f t="shared" si="60"/>
        <v/>
      </c>
    </row>
    <row r="3849" spans="6:6">
      <c r="F3849" t="str">
        <f t="shared" si="60"/>
        <v/>
      </c>
    </row>
    <row r="3850" spans="6:6">
      <c r="F3850" t="str">
        <f t="shared" si="60"/>
        <v/>
      </c>
    </row>
    <row r="3851" spans="6:6">
      <c r="F3851" t="str">
        <f t="shared" si="60"/>
        <v/>
      </c>
    </row>
    <row r="3852" spans="6:6">
      <c r="F3852" t="str">
        <f t="shared" si="60"/>
        <v/>
      </c>
    </row>
    <row r="3853" spans="6:6">
      <c r="F3853" t="str">
        <f t="shared" ref="F3853:F3916" si="61">RIGHT(D3853,2)</f>
        <v/>
      </c>
    </row>
    <row r="3854" spans="6:6">
      <c r="F3854" t="str">
        <f t="shared" si="61"/>
        <v/>
      </c>
    </row>
    <row r="3855" spans="6:6">
      <c r="F3855" t="str">
        <f t="shared" si="61"/>
        <v/>
      </c>
    </row>
    <row r="3856" spans="6:6">
      <c r="F3856" t="str">
        <f t="shared" si="61"/>
        <v/>
      </c>
    </row>
    <row r="3857" spans="6:6">
      <c r="F3857" t="str">
        <f t="shared" si="61"/>
        <v/>
      </c>
    </row>
    <row r="3858" spans="6:6">
      <c r="F3858" t="str">
        <f t="shared" si="61"/>
        <v/>
      </c>
    </row>
    <row r="3859" spans="6:6">
      <c r="F3859" t="str">
        <f t="shared" si="61"/>
        <v/>
      </c>
    </row>
    <row r="3860" spans="6:6">
      <c r="F3860" t="str">
        <f t="shared" si="61"/>
        <v/>
      </c>
    </row>
    <row r="3861" spans="6:6">
      <c r="F3861" t="str">
        <f t="shared" si="61"/>
        <v/>
      </c>
    </row>
    <row r="3862" spans="6:6">
      <c r="F3862" t="str">
        <f t="shared" si="61"/>
        <v/>
      </c>
    </row>
    <row r="3863" spans="6:6">
      <c r="F3863" t="str">
        <f t="shared" si="61"/>
        <v/>
      </c>
    </row>
    <row r="3864" spans="6:6">
      <c r="F3864" t="str">
        <f t="shared" si="61"/>
        <v/>
      </c>
    </row>
    <row r="3865" spans="6:6">
      <c r="F3865" t="str">
        <f t="shared" si="61"/>
        <v/>
      </c>
    </row>
    <row r="3866" spans="6:6">
      <c r="F3866" t="str">
        <f t="shared" si="61"/>
        <v/>
      </c>
    </row>
    <row r="3867" spans="6:6">
      <c r="F3867" t="str">
        <f t="shared" si="61"/>
        <v/>
      </c>
    </row>
    <row r="3868" spans="6:6">
      <c r="F3868" t="str">
        <f t="shared" si="61"/>
        <v/>
      </c>
    </row>
    <row r="3869" spans="6:6">
      <c r="F3869" t="str">
        <f t="shared" si="61"/>
        <v/>
      </c>
    </row>
    <row r="3870" spans="6:6">
      <c r="F3870" t="str">
        <f t="shared" si="61"/>
        <v/>
      </c>
    </row>
    <row r="3871" spans="6:6">
      <c r="F3871" t="str">
        <f t="shared" si="61"/>
        <v/>
      </c>
    </row>
    <row r="3872" spans="6:6">
      <c r="F3872" t="str">
        <f t="shared" si="61"/>
        <v/>
      </c>
    </row>
    <row r="3873" spans="6:6">
      <c r="F3873" t="str">
        <f t="shared" si="61"/>
        <v/>
      </c>
    </row>
    <row r="3874" spans="6:6">
      <c r="F3874" t="str">
        <f t="shared" si="61"/>
        <v/>
      </c>
    </row>
    <row r="3875" spans="6:6">
      <c r="F3875" t="str">
        <f t="shared" si="61"/>
        <v/>
      </c>
    </row>
    <row r="3876" spans="6:6">
      <c r="F3876" t="str">
        <f t="shared" si="61"/>
        <v/>
      </c>
    </row>
    <row r="3877" spans="6:6">
      <c r="F3877" t="str">
        <f t="shared" si="61"/>
        <v/>
      </c>
    </row>
    <row r="3878" spans="6:6">
      <c r="F3878" t="str">
        <f t="shared" si="61"/>
        <v/>
      </c>
    </row>
    <row r="3879" spans="6:6">
      <c r="F3879" t="str">
        <f t="shared" si="61"/>
        <v/>
      </c>
    </row>
    <row r="3880" spans="6:6">
      <c r="F3880" t="str">
        <f t="shared" si="61"/>
        <v/>
      </c>
    </row>
    <row r="3881" spans="6:6">
      <c r="F3881" t="str">
        <f t="shared" si="61"/>
        <v/>
      </c>
    </row>
    <row r="3882" spans="6:6">
      <c r="F3882" t="str">
        <f t="shared" si="61"/>
        <v/>
      </c>
    </row>
    <row r="3883" spans="6:6">
      <c r="F3883" t="str">
        <f t="shared" si="61"/>
        <v/>
      </c>
    </row>
    <row r="3884" spans="6:6">
      <c r="F3884" t="str">
        <f t="shared" si="61"/>
        <v/>
      </c>
    </row>
    <row r="3885" spans="6:6">
      <c r="F3885" t="str">
        <f t="shared" si="61"/>
        <v/>
      </c>
    </row>
    <row r="3886" spans="6:6">
      <c r="F3886" t="str">
        <f t="shared" si="61"/>
        <v/>
      </c>
    </row>
    <row r="3887" spans="6:6">
      <c r="F3887" t="str">
        <f t="shared" si="61"/>
        <v/>
      </c>
    </row>
    <row r="3888" spans="6:6">
      <c r="F3888" t="str">
        <f t="shared" si="61"/>
        <v/>
      </c>
    </row>
    <row r="3889" spans="6:6">
      <c r="F3889" t="str">
        <f t="shared" si="61"/>
        <v/>
      </c>
    </row>
    <row r="3890" spans="6:6">
      <c r="F3890" t="str">
        <f t="shared" si="61"/>
        <v/>
      </c>
    </row>
    <row r="3891" spans="6:6">
      <c r="F3891" t="str">
        <f t="shared" si="61"/>
        <v/>
      </c>
    </row>
    <row r="3892" spans="6:6">
      <c r="F3892" t="str">
        <f t="shared" si="61"/>
        <v/>
      </c>
    </row>
    <row r="3893" spans="6:6">
      <c r="F3893" t="str">
        <f t="shared" si="61"/>
        <v/>
      </c>
    </row>
    <row r="3894" spans="6:6">
      <c r="F3894" t="str">
        <f t="shared" si="61"/>
        <v/>
      </c>
    </row>
    <row r="3895" spans="6:6">
      <c r="F3895" t="str">
        <f t="shared" si="61"/>
        <v/>
      </c>
    </row>
    <row r="3896" spans="6:6">
      <c r="F3896" t="str">
        <f t="shared" si="61"/>
        <v/>
      </c>
    </row>
    <row r="3897" spans="6:6">
      <c r="F3897" t="str">
        <f t="shared" si="61"/>
        <v/>
      </c>
    </row>
    <row r="3898" spans="6:6">
      <c r="F3898" t="str">
        <f t="shared" si="61"/>
        <v/>
      </c>
    </row>
    <row r="3899" spans="6:6">
      <c r="F3899" t="str">
        <f t="shared" si="61"/>
        <v/>
      </c>
    </row>
    <row r="3900" spans="6:6">
      <c r="F3900" t="str">
        <f t="shared" si="61"/>
        <v/>
      </c>
    </row>
    <row r="3901" spans="6:6">
      <c r="F3901" t="str">
        <f t="shared" si="61"/>
        <v/>
      </c>
    </row>
    <row r="3902" spans="6:6">
      <c r="F3902" t="str">
        <f t="shared" si="61"/>
        <v/>
      </c>
    </row>
    <row r="3903" spans="6:6">
      <c r="F3903" t="str">
        <f t="shared" si="61"/>
        <v/>
      </c>
    </row>
    <row r="3904" spans="6:6">
      <c r="F3904" t="str">
        <f t="shared" si="61"/>
        <v/>
      </c>
    </row>
    <row r="3905" spans="6:6">
      <c r="F3905" t="str">
        <f t="shared" si="61"/>
        <v/>
      </c>
    </row>
    <row r="3906" spans="6:6">
      <c r="F3906" t="str">
        <f t="shared" si="61"/>
        <v/>
      </c>
    </row>
    <row r="3907" spans="6:6">
      <c r="F3907" t="str">
        <f t="shared" si="61"/>
        <v/>
      </c>
    </row>
    <row r="3908" spans="6:6">
      <c r="F3908" t="str">
        <f t="shared" si="61"/>
        <v/>
      </c>
    </row>
    <row r="3909" spans="6:6">
      <c r="F3909" t="str">
        <f t="shared" si="61"/>
        <v/>
      </c>
    </row>
    <row r="3910" spans="6:6">
      <c r="F3910" t="str">
        <f t="shared" si="61"/>
        <v/>
      </c>
    </row>
    <row r="3911" spans="6:6">
      <c r="F3911" t="str">
        <f t="shared" si="61"/>
        <v/>
      </c>
    </row>
    <row r="3912" spans="6:6">
      <c r="F3912" t="str">
        <f t="shared" si="61"/>
        <v/>
      </c>
    </row>
    <row r="3913" spans="6:6">
      <c r="F3913" t="str">
        <f t="shared" si="61"/>
        <v/>
      </c>
    </row>
    <row r="3914" spans="6:6">
      <c r="F3914" t="str">
        <f t="shared" si="61"/>
        <v/>
      </c>
    </row>
    <row r="3915" spans="6:6">
      <c r="F3915" t="str">
        <f t="shared" si="61"/>
        <v/>
      </c>
    </row>
    <row r="3916" spans="6:6">
      <c r="F3916" t="str">
        <f t="shared" si="61"/>
        <v/>
      </c>
    </row>
    <row r="3917" spans="6:6">
      <c r="F3917" t="str">
        <f t="shared" ref="F3917:F3980" si="62">RIGHT(D3917,2)</f>
        <v/>
      </c>
    </row>
    <row r="3918" spans="6:6">
      <c r="F3918" t="str">
        <f t="shared" si="62"/>
        <v/>
      </c>
    </row>
    <row r="3919" spans="6:6">
      <c r="F3919" t="str">
        <f t="shared" si="62"/>
        <v/>
      </c>
    </row>
    <row r="3920" spans="6:6">
      <c r="F3920" t="str">
        <f t="shared" si="62"/>
        <v/>
      </c>
    </row>
    <row r="3921" spans="6:6">
      <c r="F3921" t="str">
        <f t="shared" si="62"/>
        <v/>
      </c>
    </row>
    <row r="3922" spans="6:6">
      <c r="F3922" t="str">
        <f t="shared" si="62"/>
        <v/>
      </c>
    </row>
    <row r="3923" spans="6:6">
      <c r="F3923" t="str">
        <f t="shared" si="62"/>
        <v/>
      </c>
    </row>
    <row r="3924" spans="6:6">
      <c r="F3924" t="str">
        <f t="shared" si="62"/>
        <v/>
      </c>
    </row>
    <row r="3925" spans="6:6">
      <c r="F3925" t="str">
        <f t="shared" si="62"/>
        <v/>
      </c>
    </row>
    <row r="3926" spans="6:6">
      <c r="F3926" t="str">
        <f t="shared" si="62"/>
        <v/>
      </c>
    </row>
    <row r="3927" spans="6:6">
      <c r="F3927" t="str">
        <f t="shared" si="62"/>
        <v/>
      </c>
    </row>
    <row r="3928" spans="6:6">
      <c r="F3928" t="str">
        <f t="shared" si="62"/>
        <v/>
      </c>
    </row>
    <row r="3929" spans="6:6">
      <c r="F3929" t="str">
        <f t="shared" si="62"/>
        <v/>
      </c>
    </row>
    <row r="3930" spans="6:6">
      <c r="F3930" t="str">
        <f t="shared" si="62"/>
        <v/>
      </c>
    </row>
    <row r="3931" spans="6:6">
      <c r="F3931" t="str">
        <f t="shared" si="62"/>
        <v/>
      </c>
    </row>
    <row r="3932" spans="6:6">
      <c r="F3932" t="str">
        <f t="shared" si="62"/>
        <v/>
      </c>
    </row>
    <row r="3933" spans="6:6">
      <c r="F3933" t="str">
        <f t="shared" si="62"/>
        <v/>
      </c>
    </row>
    <row r="3934" spans="6:6">
      <c r="F3934" t="str">
        <f t="shared" si="62"/>
        <v/>
      </c>
    </row>
    <row r="3935" spans="6:6">
      <c r="F3935" t="str">
        <f t="shared" si="62"/>
        <v/>
      </c>
    </row>
    <row r="3936" spans="6:6">
      <c r="F3936" t="str">
        <f t="shared" si="62"/>
        <v/>
      </c>
    </row>
    <row r="3937" spans="6:6">
      <c r="F3937" t="str">
        <f t="shared" si="62"/>
        <v/>
      </c>
    </row>
    <row r="3938" spans="6:6">
      <c r="F3938" t="str">
        <f t="shared" si="62"/>
        <v/>
      </c>
    </row>
    <row r="3939" spans="6:6">
      <c r="F3939" t="str">
        <f t="shared" si="62"/>
        <v/>
      </c>
    </row>
    <row r="3940" spans="6:6">
      <c r="F3940" t="str">
        <f t="shared" si="62"/>
        <v/>
      </c>
    </row>
    <row r="3941" spans="6:6">
      <c r="F3941" t="str">
        <f t="shared" si="62"/>
        <v/>
      </c>
    </row>
    <row r="3942" spans="6:6">
      <c r="F3942" t="str">
        <f t="shared" si="62"/>
        <v/>
      </c>
    </row>
    <row r="3943" spans="6:6">
      <c r="F3943" t="str">
        <f t="shared" si="62"/>
        <v/>
      </c>
    </row>
    <row r="3944" spans="6:6">
      <c r="F3944" t="str">
        <f t="shared" si="62"/>
        <v/>
      </c>
    </row>
    <row r="3945" spans="6:6">
      <c r="F3945" t="str">
        <f t="shared" si="62"/>
        <v/>
      </c>
    </row>
    <row r="3946" spans="6:6">
      <c r="F3946" t="str">
        <f t="shared" si="62"/>
        <v/>
      </c>
    </row>
    <row r="3947" spans="6:6">
      <c r="F3947" t="str">
        <f t="shared" si="62"/>
        <v/>
      </c>
    </row>
    <row r="3948" spans="6:6">
      <c r="F3948" t="str">
        <f t="shared" si="62"/>
        <v/>
      </c>
    </row>
    <row r="3949" spans="6:6">
      <c r="F3949" t="str">
        <f t="shared" si="62"/>
        <v/>
      </c>
    </row>
    <row r="3950" spans="6:6">
      <c r="F3950" t="str">
        <f t="shared" si="62"/>
        <v/>
      </c>
    </row>
    <row r="3951" spans="6:6">
      <c r="F3951" t="str">
        <f t="shared" si="62"/>
        <v/>
      </c>
    </row>
    <row r="3952" spans="6:6">
      <c r="F3952" t="str">
        <f t="shared" si="62"/>
        <v/>
      </c>
    </row>
    <row r="3953" spans="6:6">
      <c r="F3953" t="str">
        <f t="shared" si="62"/>
        <v/>
      </c>
    </row>
    <row r="3954" spans="6:6">
      <c r="F3954" t="str">
        <f t="shared" si="62"/>
        <v/>
      </c>
    </row>
    <row r="3955" spans="6:6">
      <c r="F3955" t="str">
        <f t="shared" si="62"/>
        <v/>
      </c>
    </row>
    <row r="3956" spans="6:6">
      <c r="F3956" t="str">
        <f t="shared" si="62"/>
        <v/>
      </c>
    </row>
    <row r="3957" spans="6:6">
      <c r="F3957" t="str">
        <f t="shared" si="62"/>
        <v/>
      </c>
    </row>
    <row r="3958" spans="6:6">
      <c r="F3958" t="str">
        <f t="shared" si="62"/>
        <v/>
      </c>
    </row>
    <row r="3959" spans="6:6">
      <c r="F3959" t="str">
        <f t="shared" si="62"/>
        <v/>
      </c>
    </row>
    <row r="3960" spans="6:6">
      <c r="F3960" t="str">
        <f t="shared" si="62"/>
        <v/>
      </c>
    </row>
    <row r="3961" spans="6:6">
      <c r="F3961" t="str">
        <f t="shared" si="62"/>
        <v/>
      </c>
    </row>
    <row r="3962" spans="6:6">
      <c r="F3962" t="str">
        <f t="shared" si="62"/>
        <v/>
      </c>
    </row>
    <row r="3963" spans="6:6">
      <c r="F3963" t="str">
        <f t="shared" si="62"/>
        <v/>
      </c>
    </row>
    <row r="3964" spans="6:6">
      <c r="F3964" t="str">
        <f t="shared" si="62"/>
        <v/>
      </c>
    </row>
    <row r="3965" spans="6:6">
      <c r="F3965" t="str">
        <f t="shared" si="62"/>
        <v/>
      </c>
    </row>
    <row r="3966" spans="6:6">
      <c r="F3966" t="str">
        <f t="shared" si="62"/>
        <v/>
      </c>
    </row>
    <row r="3967" spans="6:6">
      <c r="F3967" t="str">
        <f t="shared" si="62"/>
        <v/>
      </c>
    </row>
    <row r="3968" spans="6:6">
      <c r="F3968" t="str">
        <f t="shared" si="62"/>
        <v/>
      </c>
    </row>
    <row r="3969" spans="6:6">
      <c r="F3969" t="str">
        <f t="shared" si="62"/>
        <v/>
      </c>
    </row>
    <row r="3970" spans="6:6">
      <c r="F3970" t="str">
        <f t="shared" si="62"/>
        <v/>
      </c>
    </row>
    <row r="3971" spans="6:6">
      <c r="F3971" t="str">
        <f t="shared" si="62"/>
        <v/>
      </c>
    </row>
    <row r="3972" spans="6:6">
      <c r="F3972" t="str">
        <f t="shared" si="62"/>
        <v/>
      </c>
    </row>
    <row r="3973" spans="6:6">
      <c r="F3973" t="str">
        <f t="shared" si="62"/>
        <v/>
      </c>
    </row>
    <row r="3974" spans="6:6">
      <c r="F3974" t="str">
        <f t="shared" si="62"/>
        <v/>
      </c>
    </row>
    <row r="3975" spans="6:6">
      <c r="F3975" t="str">
        <f t="shared" si="62"/>
        <v/>
      </c>
    </row>
    <row r="3976" spans="6:6">
      <c r="F3976" t="str">
        <f t="shared" si="62"/>
        <v/>
      </c>
    </row>
    <row r="3977" spans="6:6">
      <c r="F3977" t="str">
        <f t="shared" si="62"/>
        <v/>
      </c>
    </row>
    <row r="3978" spans="6:6">
      <c r="F3978" t="str">
        <f t="shared" si="62"/>
        <v/>
      </c>
    </row>
    <row r="3979" spans="6:6">
      <c r="F3979" t="str">
        <f t="shared" si="62"/>
        <v/>
      </c>
    </row>
    <row r="3980" spans="6:6">
      <c r="F3980" t="str">
        <f t="shared" si="62"/>
        <v/>
      </c>
    </row>
    <row r="3981" spans="6:6">
      <c r="F3981" t="str">
        <f t="shared" ref="F3981:F4044" si="63">RIGHT(D3981,2)</f>
        <v/>
      </c>
    </row>
    <row r="3982" spans="6:6">
      <c r="F3982" t="str">
        <f t="shared" si="63"/>
        <v/>
      </c>
    </row>
    <row r="3983" spans="6:6">
      <c r="F3983" t="str">
        <f t="shared" si="63"/>
        <v/>
      </c>
    </row>
    <row r="3984" spans="6:6">
      <c r="F3984" t="str">
        <f t="shared" si="63"/>
        <v/>
      </c>
    </row>
    <row r="3985" spans="6:6">
      <c r="F3985" t="str">
        <f t="shared" si="63"/>
        <v/>
      </c>
    </row>
    <row r="3986" spans="6:6">
      <c r="F3986" t="str">
        <f t="shared" si="63"/>
        <v/>
      </c>
    </row>
    <row r="3987" spans="6:6">
      <c r="F3987" t="str">
        <f t="shared" si="63"/>
        <v/>
      </c>
    </row>
    <row r="3988" spans="6:6">
      <c r="F3988" t="str">
        <f t="shared" si="63"/>
        <v/>
      </c>
    </row>
    <row r="3989" spans="6:6">
      <c r="F3989" t="str">
        <f t="shared" si="63"/>
        <v/>
      </c>
    </row>
    <row r="3990" spans="6:6">
      <c r="F3990" t="str">
        <f t="shared" si="63"/>
        <v/>
      </c>
    </row>
    <row r="3991" spans="6:6">
      <c r="F3991" t="str">
        <f t="shared" si="63"/>
        <v/>
      </c>
    </row>
    <row r="3992" spans="6:6">
      <c r="F3992" t="str">
        <f t="shared" si="63"/>
        <v/>
      </c>
    </row>
    <row r="3993" spans="6:6">
      <c r="F3993" t="str">
        <f t="shared" si="63"/>
        <v/>
      </c>
    </row>
    <row r="3994" spans="6:6">
      <c r="F3994" t="str">
        <f t="shared" si="63"/>
        <v/>
      </c>
    </row>
    <row r="3995" spans="6:6">
      <c r="F3995" t="str">
        <f t="shared" si="63"/>
        <v/>
      </c>
    </row>
    <row r="3996" spans="6:6">
      <c r="F3996" t="str">
        <f t="shared" si="63"/>
        <v/>
      </c>
    </row>
    <row r="3997" spans="6:6">
      <c r="F3997" t="str">
        <f t="shared" si="63"/>
        <v/>
      </c>
    </row>
    <row r="3998" spans="6:6">
      <c r="F3998" t="str">
        <f t="shared" si="63"/>
        <v/>
      </c>
    </row>
    <row r="3999" spans="6:6">
      <c r="F3999" t="str">
        <f t="shared" si="63"/>
        <v/>
      </c>
    </row>
    <row r="4000" spans="6:6">
      <c r="F4000" t="str">
        <f t="shared" si="63"/>
        <v/>
      </c>
    </row>
    <row r="4001" spans="6:6">
      <c r="F4001" t="str">
        <f t="shared" si="63"/>
        <v/>
      </c>
    </row>
    <row r="4002" spans="6:6">
      <c r="F4002" t="str">
        <f t="shared" si="63"/>
        <v/>
      </c>
    </row>
    <row r="4003" spans="6:6">
      <c r="F4003" t="str">
        <f t="shared" si="63"/>
        <v/>
      </c>
    </row>
    <row r="4004" spans="6:6">
      <c r="F4004" t="str">
        <f t="shared" si="63"/>
        <v/>
      </c>
    </row>
    <row r="4005" spans="6:6">
      <c r="F4005" t="str">
        <f t="shared" si="63"/>
        <v/>
      </c>
    </row>
    <row r="4006" spans="6:6">
      <c r="F4006" t="str">
        <f t="shared" si="63"/>
        <v/>
      </c>
    </row>
    <row r="4007" spans="6:6">
      <c r="F4007" t="str">
        <f t="shared" si="63"/>
        <v/>
      </c>
    </row>
    <row r="4008" spans="6:6">
      <c r="F4008" t="str">
        <f t="shared" si="63"/>
        <v/>
      </c>
    </row>
    <row r="4009" spans="6:6">
      <c r="F4009" t="str">
        <f t="shared" si="63"/>
        <v/>
      </c>
    </row>
    <row r="4010" spans="6:6">
      <c r="F4010" t="str">
        <f t="shared" si="63"/>
        <v/>
      </c>
    </row>
    <row r="4011" spans="6:6">
      <c r="F4011" t="str">
        <f t="shared" si="63"/>
        <v/>
      </c>
    </row>
    <row r="4012" spans="6:6">
      <c r="F4012" t="str">
        <f t="shared" si="63"/>
        <v/>
      </c>
    </row>
    <row r="4013" spans="6:6">
      <c r="F4013" t="str">
        <f t="shared" si="63"/>
        <v/>
      </c>
    </row>
    <row r="4014" spans="6:6">
      <c r="F4014" t="str">
        <f t="shared" si="63"/>
        <v/>
      </c>
    </row>
    <row r="4015" spans="6:6">
      <c r="F4015" t="str">
        <f t="shared" si="63"/>
        <v/>
      </c>
    </row>
    <row r="4016" spans="6:6">
      <c r="F4016" t="str">
        <f t="shared" si="63"/>
        <v/>
      </c>
    </row>
    <row r="4017" spans="6:6">
      <c r="F4017" t="str">
        <f t="shared" si="63"/>
        <v/>
      </c>
    </row>
    <row r="4018" spans="6:6">
      <c r="F4018" t="str">
        <f t="shared" si="63"/>
        <v/>
      </c>
    </row>
    <row r="4019" spans="6:6">
      <c r="F4019" t="str">
        <f t="shared" si="63"/>
        <v/>
      </c>
    </row>
    <row r="4020" spans="6:6">
      <c r="F4020" t="str">
        <f t="shared" si="63"/>
        <v/>
      </c>
    </row>
    <row r="4021" spans="6:6">
      <c r="F4021" t="str">
        <f t="shared" si="63"/>
        <v/>
      </c>
    </row>
    <row r="4022" spans="6:6">
      <c r="F4022" t="str">
        <f t="shared" si="63"/>
        <v/>
      </c>
    </row>
    <row r="4023" spans="6:6">
      <c r="F4023" t="str">
        <f t="shared" si="63"/>
        <v/>
      </c>
    </row>
    <row r="4024" spans="6:6">
      <c r="F4024" t="str">
        <f t="shared" si="63"/>
        <v/>
      </c>
    </row>
    <row r="4025" spans="6:6">
      <c r="F4025" t="str">
        <f t="shared" si="63"/>
        <v/>
      </c>
    </row>
    <row r="4026" spans="6:6">
      <c r="F4026" t="str">
        <f t="shared" si="63"/>
        <v/>
      </c>
    </row>
    <row r="4027" spans="6:6">
      <c r="F4027" t="str">
        <f t="shared" si="63"/>
        <v/>
      </c>
    </row>
    <row r="4028" spans="6:6">
      <c r="F4028" t="str">
        <f t="shared" si="63"/>
        <v/>
      </c>
    </row>
    <row r="4029" spans="6:6">
      <c r="F4029" t="str">
        <f t="shared" si="63"/>
        <v/>
      </c>
    </row>
    <row r="4030" spans="6:6">
      <c r="F4030" t="str">
        <f t="shared" si="63"/>
        <v/>
      </c>
    </row>
    <row r="4031" spans="6:6">
      <c r="F4031" t="str">
        <f t="shared" si="63"/>
        <v/>
      </c>
    </row>
    <row r="4032" spans="6:6">
      <c r="F4032" t="str">
        <f t="shared" si="63"/>
        <v/>
      </c>
    </row>
    <row r="4033" spans="6:6">
      <c r="F4033" t="str">
        <f t="shared" si="63"/>
        <v/>
      </c>
    </row>
    <row r="4034" spans="6:6">
      <c r="F4034" t="str">
        <f t="shared" si="63"/>
        <v/>
      </c>
    </row>
    <row r="4035" spans="6:6">
      <c r="F4035" t="str">
        <f t="shared" si="63"/>
        <v/>
      </c>
    </row>
    <row r="4036" spans="6:6">
      <c r="F4036" t="str">
        <f t="shared" si="63"/>
        <v/>
      </c>
    </row>
    <row r="4037" spans="6:6">
      <c r="F4037" t="str">
        <f t="shared" si="63"/>
        <v/>
      </c>
    </row>
    <row r="4038" spans="6:6">
      <c r="F4038" t="str">
        <f t="shared" si="63"/>
        <v/>
      </c>
    </row>
    <row r="4039" spans="6:6">
      <c r="F4039" t="str">
        <f t="shared" si="63"/>
        <v/>
      </c>
    </row>
    <row r="4040" spans="6:6">
      <c r="F4040" t="str">
        <f t="shared" si="63"/>
        <v/>
      </c>
    </row>
    <row r="4041" spans="6:6">
      <c r="F4041" t="str">
        <f t="shared" si="63"/>
        <v/>
      </c>
    </row>
    <row r="4042" spans="6:6">
      <c r="F4042" t="str">
        <f t="shared" si="63"/>
        <v/>
      </c>
    </row>
    <row r="4043" spans="6:6">
      <c r="F4043" t="str">
        <f t="shared" si="63"/>
        <v/>
      </c>
    </row>
    <row r="4044" spans="6:6">
      <c r="F4044" t="str">
        <f t="shared" si="63"/>
        <v/>
      </c>
    </row>
    <row r="4045" spans="6:6">
      <c r="F4045" t="str">
        <f t="shared" ref="F4045:F4108" si="64">RIGHT(D4045,2)</f>
        <v/>
      </c>
    </row>
    <row r="4046" spans="6:6">
      <c r="F4046" t="str">
        <f t="shared" si="64"/>
        <v/>
      </c>
    </row>
    <row r="4047" spans="6:6">
      <c r="F4047" t="str">
        <f t="shared" si="64"/>
        <v/>
      </c>
    </row>
    <row r="4048" spans="6:6">
      <c r="F4048" t="str">
        <f t="shared" si="64"/>
        <v/>
      </c>
    </row>
    <row r="4049" spans="6:6">
      <c r="F4049" t="str">
        <f t="shared" si="64"/>
        <v/>
      </c>
    </row>
    <row r="4050" spans="6:6">
      <c r="F4050" t="str">
        <f t="shared" si="64"/>
        <v/>
      </c>
    </row>
    <row r="4051" spans="6:6">
      <c r="F4051" t="str">
        <f t="shared" si="64"/>
        <v/>
      </c>
    </row>
    <row r="4052" spans="6:6">
      <c r="F4052" t="str">
        <f t="shared" si="64"/>
        <v/>
      </c>
    </row>
    <row r="4053" spans="6:6">
      <c r="F4053" t="str">
        <f t="shared" si="64"/>
        <v/>
      </c>
    </row>
    <row r="4054" spans="6:6">
      <c r="F4054" t="str">
        <f t="shared" si="64"/>
        <v/>
      </c>
    </row>
    <row r="4055" spans="6:6">
      <c r="F4055" t="str">
        <f t="shared" si="64"/>
        <v/>
      </c>
    </row>
    <row r="4056" spans="6:6">
      <c r="F4056" t="str">
        <f t="shared" si="64"/>
        <v/>
      </c>
    </row>
    <row r="4057" spans="6:6">
      <c r="F4057" t="str">
        <f t="shared" si="64"/>
        <v/>
      </c>
    </row>
    <row r="4058" spans="6:6">
      <c r="F4058" t="str">
        <f t="shared" si="64"/>
        <v/>
      </c>
    </row>
    <row r="4059" spans="6:6">
      <c r="F4059" t="str">
        <f t="shared" si="64"/>
        <v/>
      </c>
    </row>
    <row r="4060" spans="6:6">
      <c r="F4060" t="str">
        <f t="shared" si="64"/>
        <v/>
      </c>
    </row>
    <row r="4061" spans="6:6">
      <c r="F4061" t="str">
        <f t="shared" si="64"/>
        <v/>
      </c>
    </row>
    <row r="4062" spans="6:6">
      <c r="F4062" t="str">
        <f t="shared" si="64"/>
        <v/>
      </c>
    </row>
    <row r="4063" spans="6:6">
      <c r="F4063" t="str">
        <f t="shared" si="64"/>
        <v/>
      </c>
    </row>
    <row r="4064" spans="6:6">
      <c r="F4064" t="str">
        <f t="shared" si="64"/>
        <v/>
      </c>
    </row>
    <row r="4065" spans="6:6">
      <c r="F4065" t="str">
        <f t="shared" si="64"/>
        <v/>
      </c>
    </row>
    <row r="4066" spans="6:6">
      <c r="F4066" t="str">
        <f t="shared" si="64"/>
        <v/>
      </c>
    </row>
    <row r="4067" spans="6:6">
      <c r="F4067" t="str">
        <f t="shared" si="64"/>
        <v/>
      </c>
    </row>
    <row r="4068" spans="6:6">
      <c r="F4068" t="str">
        <f t="shared" si="64"/>
        <v/>
      </c>
    </row>
    <row r="4069" spans="6:6">
      <c r="F4069" t="str">
        <f t="shared" si="64"/>
        <v/>
      </c>
    </row>
    <row r="4070" spans="6:6">
      <c r="F4070" t="str">
        <f t="shared" si="64"/>
        <v/>
      </c>
    </row>
    <row r="4071" spans="6:6">
      <c r="F4071" t="str">
        <f t="shared" si="64"/>
        <v/>
      </c>
    </row>
    <row r="4072" spans="6:6">
      <c r="F4072" t="str">
        <f t="shared" si="64"/>
        <v/>
      </c>
    </row>
    <row r="4073" spans="6:6">
      <c r="F4073" t="str">
        <f t="shared" si="64"/>
        <v/>
      </c>
    </row>
    <row r="4074" spans="6:6">
      <c r="F4074" t="str">
        <f t="shared" si="64"/>
        <v/>
      </c>
    </row>
    <row r="4075" spans="6:6">
      <c r="F4075" t="str">
        <f t="shared" si="64"/>
        <v/>
      </c>
    </row>
    <row r="4076" spans="6:6">
      <c r="F4076" t="str">
        <f t="shared" si="64"/>
        <v/>
      </c>
    </row>
    <row r="4077" spans="6:6">
      <c r="F4077" t="str">
        <f t="shared" si="64"/>
        <v/>
      </c>
    </row>
    <row r="4078" spans="6:6">
      <c r="F4078" t="str">
        <f t="shared" si="64"/>
        <v/>
      </c>
    </row>
    <row r="4079" spans="6:6">
      <c r="F4079" t="str">
        <f t="shared" si="64"/>
        <v/>
      </c>
    </row>
    <row r="4080" spans="6:6">
      <c r="F4080" t="str">
        <f t="shared" si="64"/>
        <v/>
      </c>
    </row>
    <row r="4081" spans="6:6">
      <c r="F4081" t="str">
        <f t="shared" si="64"/>
        <v/>
      </c>
    </row>
    <row r="4082" spans="6:6">
      <c r="F4082" t="str">
        <f t="shared" si="64"/>
        <v/>
      </c>
    </row>
    <row r="4083" spans="6:6">
      <c r="F4083" t="str">
        <f t="shared" si="64"/>
        <v/>
      </c>
    </row>
    <row r="4084" spans="6:6">
      <c r="F4084" t="str">
        <f t="shared" si="64"/>
        <v/>
      </c>
    </row>
    <row r="4085" spans="6:6">
      <c r="F4085" t="str">
        <f t="shared" si="64"/>
        <v/>
      </c>
    </row>
    <row r="4086" spans="6:6">
      <c r="F4086" t="str">
        <f t="shared" si="64"/>
        <v/>
      </c>
    </row>
    <row r="4087" spans="6:6">
      <c r="F4087" t="str">
        <f t="shared" si="64"/>
        <v/>
      </c>
    </row>
    <row r="4088" spans="6:6">
      <c r="F4088" t="str">
        <f t="shared" si="64"/>
        <v/>
      </c>
    </row>
    <row r="4089" spans="6:6">
      <c r="F4089" t="str">
        <f t="shared" si="64"/>
        <v/>
      </c>
    </row>
    <row r="4090" spans="6:6">
      <c r="F4090" t="str">
        <f t="shared" si="64"/>
        <v/>
      </c>
    </row>
    <row r="4091" spans="6:6">
      <c r="F4091" t="str">
        <f t="shared" si="64"/>
        <v/>
      </c>
    </row>
    <row r="4092" spans="6:6">
      <c r="F4092" t="str">
        <f t="shared" si="64"/>
        <v/>
      </c>
    </row>
    <row r="4093" spans="6:6">
      <c r="F4093" t="str">
        <f t="shared" si="64"/>
        <v/>
      </c>
    </row>
    <row r="4094" spans="6:6">
      <c r="F4094" t="str">
        <f t="shared" si="64"/>
        <v/>
      </c>
    </row>
    <row r="4095" spans="6:6">
      <c r="F4095" t="str">
        <f t="shared" si="64"/>
        <v/>
      </c>
    </row>
    <row r="4096" spans="6:6">
      <c r="F4096" t="str">
        <f t="shared" si="64"/>
        <v/>
      </c>
    </row>
    <row r="4097" spans="6:6">
      <c r="F4097" t="str">
        <f t="shared" si="64"/>
        <v/>
      </c>
    </row>
    <row r="4098" spans="6:6">
      <c r="F4098" t="str">
        <f t="shared" si="64"/>
        <v/>
      </c>
    </row>
    <row r="4099" spans="6:6">
      <c r="F4099" t="str">
        <f t="shared" si="64"/>
        <v/>
      </c>
    </row>
    <row r="4100" spans="6:6">
      <c r="F4100" t="str">
        <f t="shared" si="64"/>
        <v/>
      </c>
    </row>
    <row r="4101" spans="6:6">
      <c r="F4101" t="str">
        <f t="shared" si="64"/>
        <v/>
      </c>
    </row>
    <row r="4102" spans="6:6">
      <c r="F4102" t="str">
        <f t="shared" si="64"/>
        <v/>
      </c>
    </row>
    <row r="4103" spans="6:6">
      <c r="F4103" t="str">
        <f t="shared" si="64"/>
        <v/>
      </c>
    </row>
    <row r="4104" spans="6:6">
      <c r="F4104" t="str">
        <f t="shared" si="64"/>
        <v/>
      </c>
    </row>
    <row r="4105" spans="6:6">
      <c r="F4105" t="str">
        <f t="shared" si="64"/>
        <v/>
      </c>
    </row>
    <row r="4106" spans="6:6">
      <c r="F4106" t="str">
        <f t="shared" si="64"/>
        <v/>
      </c>
    </row>
    <row r="4107" spans="6:6">
      <c r="F4107" t="str">
        <f t="shared" si="64"/>
        <v/>
      </c>
    </row>
    <row r="4108" spans="6:6">
      <c r="F4108" t="str">
        <f t="shared" si="64"/>
        <v/>
      </c>
    </row>
    <row r="4109" spans="6:6">
      <c r="F4109" t="str">
        <f t="shared" ref="F4109:F4172" si="65">RIGHT(D4109,2)</f>
        <v/>
      </c>
    </row>
    <row r="4110" spans="6:6">
      <c r="F4110" t="str">
        <f t="shared" si="65"/>
        <v/>
      </c>
    </row>
    <row r="4111" spans="6:6">
      <c r="F4111" t="str">
        <f t="shared" si="65"/>
        <v/>
      </c>
    </row>
    <row r="4112" spans="6:6">
      <c r="F4112" t="str">
        <f t="shared" si="65"/>
        <v/>
      </c>
    </row>
    <row r="4113" spans="6:6">
      <c r="F4113" t="str">
        <f t="shared" si="65"/>
        <v/>
      </c>
    </row>
    <row r="4114" spans="6:6">
      <c r="F4114" t="str">
        <f t="shared" si="65"/>
        <v/>
      </c>
    </row>
    <row r="4115" spans="6:6">
      <c r="F4115" t="str">
        <f t="shared" si="65"/>
        <v/>
      </c>
    </row>
    <row r="4116" spans="6:6">
      <c r="F4116" t="str">
        <f t="shared" si="65"/>
        <v/>
      </c>
    </row>
    <row r="4117" spans="6:6">
      <c r="F4117" t="str">
        <f t="shared" si="65"/>
        <v/>
      </c>
    </row>
    <row r="4118" spans="6:6">
      <c r="F4118" t="str">
        <f t="shared" si="65"/>
        <v/>
      </c>
    </row>
    <row r="4119" spans="6:6">
      <c r="F4119" t="str">
        <f t="shared" si="65"/>
        <v/>
      </c>
    </row>
    <row r="4120" spans="6:6">
      <c r="F4120" t="str">
        <f t="shared" si="65"/>
        <v/>
      </c>
    </row>
    <row r="4121" spans="6:6">
      <c r="F4121" t="str">
        <f t="shared" si="65"/>
        <v/>
      </c>
    </row>
    <row r="4122" spans="6:6">
      <c r="F4122" t="str">
        <f t="shared" si="65"/>
        <v/>
      </c>
    </row>
    <row r="4123" spans="6:6">
      <c r="F4123" t="str">
        <f t="shared" si="65"/>
        <v/>
      </c>
    </row>
    <row r="4124" spans="6:6">
      <c r="F4124" t="str">
        <f t="shared" si="65"/>
        <v/>
      </c>
    </row>
    <row r="4125" spans="6:6">
      <c r="F4125" t="str">
        <f t="shared" si="65"/>
        <v/>
      </c>
    </row>
    <row r="4126" spans="6:6">
      <c r="F4126" t="str">
        <f t="shared" si="65"/>
        <v/>
      </c>
    </row>
    <row r="4127" spans="6:6">
      <c r="F4127" t="str">
        <f t="shared" si="65"/>
        <v/>
      </c>
    </row>
    <row r="4128" spans="6:6">
      <c r="F4128" t="str">
        <f t="shared" si="65"/>
        <v/>
      </c>
    </row>
    <row r="4129" spans="6:6">
      <c r="F4129" t="str">
        <f t="shared" si="65"/>
        <v/>
      </c>
    </row>
    <row r="4130" spans="6:6">
      <c r="F4130" t="str">
        <f t="shared" si="65"/>
        <v/>
      </c>
    </row>
    <row r="4131" spans="6:6">
      <c r="F4131" t="str">
        <f t="shared" si="65"/>
        <v/>
      </c>
    </row>
    <row r="4132" spans="6:6">
      <c r="F4132" t="str">
        <f t="shared" si="65"/>
        <v/>
      </c>
    </row>
    <row r="4133" spans="6:6">
      <c r="F4133" t="str">
        <f t="shared" si="65"/>
        <v/>
      </c>
    </row>
    <row r="4134" spans="6:6">
      <c r="F4134" t="str">
        <f t="shared" si="65"/>
        <v/>
      </c>
    </row>
    <row r="4135" spans="6:6">
      <c r="F4135" t="str">
        <f t="shared" si="65"/>
        <v/>
      </c>
    </row>
    <row r="4136" spans="6:6">
      <c r="F4136" t="str">
        <f t="shared" si="65"/>
        <v/>
      </c>
    </row>
    <row r="4137" spans="6:6">
      <c r="F4137" t="str">
        <f t="shared" si="65"/>
        <v/>
      </c>
    </row>
    <row r="4138" spans="6:6">
      <c r="F4138" t="str">
        <f t="shared" si="65"/>
        <v/>
      </c>
    </row>
    <row r="4139" spans="6:6">
      <c r="F4139" t="str">
        <f t="shared" si="65"/>
        <v/>
      </c>
    </row>
    <row r="4140" spans="6:6">
      <c r="F4140" t="str">
        <f t="shared" si="65"/>
        <v/>
      </c>
    </row>
    <row r="4141" spans="6:6">
      <c r="F4141" t="str">
        <f t="shared" si="65"/>
        <v/>
      </c>
    </row>
    <row r="4142" spans="6:6">
      <c r="F4142" t="str">
        <f t="shared" si="65"/>
        <v/>
      </c>
    </row>
    <row r="4143" spans="6:6">
      <c r="F4143" t="str">
        <f t="shared" si="65"/>
        <v/>
      </c>
    </row>
    <row r="4144" spans="6:6">
      <c r="F4144" t="str">
        <f t="shared" si="65"/>
        <v/>
      </c>
    </row>
    <row r="4145" spans="6:6">
      <c r="F4145" t="str">
        <f t="shared" si="65"/>
        <v/>
      </c>
    </row>
    <row r="4146" spans="6:6">
      <c r="F4146" t="str">
        <f t="shared" si="65"/>
        <v/>
      </c>
    </row>
    <row r="4147" spans="6:6">
      <c r="F4147" t="str">
        <f t="shared" si="65"/>
        <v/>
      </c>
    </row>
    <row r="4148" spans="6:6">
      <c r="F4148" t="str">
        <f t="shared" si="65"/>
        <v/>
      </c>
    </row>
    <row r="4149" spans="6:6">
      <c r="F4149" t="str">
        <f t="shared" si="65"/>
        <v/>
      </c>
    </row>
    <row r="4150" spans="6:6">
      <c r="F4150" t="str">
        <f t="shared" si="65"/>
        <v/>
      </c>
    </row>
    <row r="4151" spans="6:6">
      <c r="F4151" t="str">
        <f t="shared" si="65"/>
        <v/>
      </c>
    </row>
    <row r="4152" spans="6:6">
      <c r="F4152" t="str">
        <f t="shared" si="65"/>
        <v/>
      </c>
    </row>
    <row r="4153" spans="6:6">
      <c r="F4153" t="str">
        <f t="shared" si="65"/>
        <v/>
      </c>
    </row>
    <row r="4154" spans="6:6">
      <c r="F4154" t="str">
        <f t="shared" si="65"/>
        <v/>
      </c>
    </row>
    <row r="4155" spans="6:6">
      <c r="F4155" t="str">
        <f t="shared" si="65"/>
        <v/>
      </c>
    </row>
    <row r="4156" spans="6:6">
      <c r="F4156" t="str">
        <f t="shared" si="65"/>
        <v/>
      </c>
    </row>
    <row r="4157" spans="6:6">
      <c r="F4157" t="str">
        <f t="shared" si="65"/>
        <v/>
      </c>
    </row>
    <row r="4158" spans="6:6">
      <c r="F4158" t="str">
        <f t="shared" si="65"/>
        <v/>
      </c>
    </row>
    <row r="4159" spans="6:6">
      <c r="F4159" t="str">
        <f t="shared" si="65"/>
        <v/>
      </c>
    </row>
    <row r="4160" spans="6:6">
      <c r="F4160" t="str">
        <f t="shared" si="65"/>
        <v/>
      </c>
    </row>
    <row r="4161" spans="6:6">
      <c r="F4161" t="str">
        <f t="shared" si="65"/>
        <v/>
      </c>
    </row>
    <row r="4162" spans="6:6">
      <c r="F4162" t="str">
        <f t="shared" si="65"/>
        <v/>
      </c>
    </row>
    <row r="4163" spans="6:6">
      <c r="F4163" t="str">
        <f t="shared" si="65"/>
        <v/>
      </c>
    </row>
    <row r="4164" spans="6:6">
      <c r="F4164" t="str">
        <f t="shared" si="65"/>
        <v/>
      </c>
    </row>
    <row r="4165" spans="6:6">
      <c r="F4165" t="str">
        <f t="shared" si="65"/>
        <v/>
      </c>
    </row>
    <row r="4166" spans="6:6">
      <c r="F4166" t="str">
        <f t="shared" si="65"/>
        <v/>
      </c>
    </row>
    <row r="4167" spans="6:6">
      <c r="F4167" t="str">
        <f t="shared" si="65"/>
        <v/>
      </c>
    </row>
    <row r="4168" spans="6:6">
      <c r="F4168" t="str">
        <f t="shared" si="65"/>
        <v/>
      </c>
    </row>
    <row r="4169" spans="6:6">
      <c r="F4169" t="str">
        <f t="shared" si="65"/>
        <v/>
      </c>
    </row>
    <row r="4170" spans="6:6">
      <c r="F4170" t="str">
        <f t="shared" si="65"/>
        <v/>
      </c>
    </row>
    <row r="4171" spans="6:6">
      <c r="F4171" t="str">
        <f t="shared" si="65"/>
        <v/>
      </c>
    </row>
    <row r="4172" spans="6:6">
      <c r="F4172" t="str">
        <f t="shared" si="65"/>
        <v/>
      </c>
    </row>
    <row r="4173" spans="6:6">
      <c r="F4173" t="str">
        <f t="shared" ref="F4173:F4236" si="66">RIGHT(D4173,2)</f>
        <v/>
      </c>
    </row>
    <row r="4174" spans="6:6">
      <c r="F4174" t="str">
        <f t="shared" si="66"/>
        <v/>
      </c>
    </row>
    <row r="4175" spans="6:6">
      <c r="F4175" t="str">
        <f t="shared" si="66"/>
        <v/>
      </c>
    </row>
    <row r="4176" spans="6:6">
      <c r="F4176" t="str">
        <f t="shared" si="66"/>
        <v/>
      </c>
    </row>
    <row r="4177" spans="6:6">
      <c r="F4177" t="str">
        <f t="shared" si="66"/>
        <v/>
      </c>
    </row>
    <row r="4178" spans="6:6">
      <c r="F4178" t="str">
        <f t="shared" si="66"/>
        <v/>
      </c>
    </row>
    <row r="4179" spans="6:6">
      <c r="F4179" t="str">
        <f t="shared" si="66"/>
        <v/>
      </c>
    </row>
    <row r="4180" spans="6:6">
      <c r="F4180" t="str">
        <f t="shared" si="66"/>
        <v/>
      </c>
    </row>
    <row r="4181" spans="6:6">
      <c r="F4181" t="str">
        <f t="shared" si="66"/>
        <v/>
      </c>
    </row>
    <row r="4182" spans="6:6">
      <c r="F4182" t="str">
        <f t="shared" si="66"/>
        <v/>
      </c>
    </row>
    <row r="4183" spans="6:6">
      <c r="F4183" t="str">
        <f t="shared" si="66"/>
        <v/>
      </c>
    </row>
    <row r="4184" spans="6:6">
      <c r="F4184" t="str">
        <f t="shared" si="66"/>
        <v/>
      </c>
    </row>
    <row r="4185" spans="6:6">
      <c r="F4185" t="str">
        <f t="shared" si="66"/>
        <v/>
      </c>
    </row>
    <row r="4186" spans="6:6">
      <c r="F4186" t="str">
        <f t="shared" si="66"/>
        <v/>
      </c>
    </row>
    <row r="4187" spans="6:6">
      <c r="F4187" t="str">
        <f t="shared" si="66"/>
        <v/>
      </c>
    </row>
    <row r="4188" spans="6:6">
      <c r="F4188" t="str">
        <f t="shared" si="66"/>
        <v/>
      </c>
    </row>
    <row r="4189" spans="6:6">
      <c r="F4189" t="str">
        <f t="shared" si="66"/>
        <v/>
      </c>
    </row>
    <row r="4190" spans="6:6">
      <c r="F4190" t="str">
        <f t="shared" si="66"/>
        <v/>
      </c>
    </row>
    <row r="4191" spans="6:6">
      <c r="F4191" t="str">
        <f t="shared" si="66"/>
        <v/>
      </c>
    </row>
    <row r="4192" spans="6:6">
      <c r="F4192" t="str">
        <f t="shared" si="66"/>
        <v/>
      </c>
    </row>
    <row r="4193" spans="6:6">
      <c r="F4193" t="str">
        <f t="shared" si="66"/>
        <v/>
      </c>
    </row>
    <row r="4194" spans="6:6">
      <c r="F4194" t="str">
        <f t="shared" si="66"/>
        <v/>
      </c>
    </row>
    <row r="4195" spans="6:6">
      <c r="F4195" t="str">
        <f t="shared" si="66"/>
        <v/>
      </c>
    </row>
    <row r="4196" spans="6:6">
      <c r="F4196" t="str">
        <f t="shared" si="66"/>
        <v/>
      </c>
    </row>
    <row r="4197" spans="6:6">
      <c r="F4197" t="str">
        <f t="shared" si="66"/>
        <v/>
      </c>
    </row>
    <row r="4198" spans="6:6">
      <c r="F4198" t="str">
        <f t="shared" si="66"/>
        <v/>
      </c>
    </row>
    <row r="4199" spans="6:6">
      <c r="F4199" t="str">
        <f t="shared" si="66"/>
        <v/>
      </c>
    </row>
    <row r="4200" spans="6:6">
      <c r="F4200" t="str">
        <f t="shared" si="66"/>
        <v/>
      </c>
    </row>
    <row r="4201" spans="6:6">
      <c r="F4201" t="str">
        <f t="shared" si="66"/>
        <v/>
      </c>
    </row>
    <row r="4202" spans="6:6">
      <c r="F4202" t="str">
        <f t="shared" si="66"/>
        <v/>
      </c>
    </row>
    <row r="4203" spans="6:6">
      <c r="F4203" t="str">
        <f t="shared" si="66"/>
        <v/>
      </c>
    </row>
    <row r="4204" spans="6:6">
      <c r="F4204" t="str">
        <f t="shared" si="66"/>
        <v/>
      </c>
    </row>
    <row r="4205" spans="6:6">
      <c r="F4205" t="str">
        <f t="shared" si="66"/>
        <v/>
      </c>
    </row>
    <row r="4206" spans="6:6">
      <c r="F4206" t="str">
        <f t="shared" si="66"/>
        <v/>
      </c>
    </row>
    <row r="4207" spans="6:6">
      <c r="F4207" t="str">
        <f t="shared" si="66"/>
        <v/>
      </c>
    </row>
    <row r="4208" spans="6:6">
      <c r="F4208" t="str">
        <f t="shared" si="66"/>
        <v/>
      </c>
    </row>
    <row r="4209" spans="6:6">
      <c r="F4209" t="str">
        <f t="shared" si="66"/>
        <v/>
      </c>
    </row>
    <row r="4210" spans="6:6">
      <c r="F4210" t="str">
        <f t="shared" si="66"/>
        <v/>
      </c>
    </row>
    <row r="4211" spans="6:6">
      <c r="F4211" t="str">
        <f t="shared" si="66"/>
        <v/>
      </c>
    </row>
    <row r="4212" spans="6:6">
      <c r="F4212" t="str">
        <f t="shared" si="66"/>
        <v/>
      </c>
    </row>
    <row r="4213" spans="6:6">
      <c r="F4213" t="str">
        <f t="shared" si="66"/>
        <v/>
      </c>
    </row>
    <row r="4214" spans="6:6">
      <c r="F4214" t="str">
        <f t="shared" si="66"/>
        <v/>
      </c>
    </row>
    <row r="4215" spans="6:6">
      <c r="F4215" t="str">
        <f t="shared" si="66"/>
        <v/>
      </c>
    </row>
    <row r="4216" spans="6:6">
      <c r="F4216" t="str">
        <f t="shared" si="66"/>
        <v/>
      </c>
    </row>
    <row r="4217" spans="6:6">
      <c r="F4217" t="str">
        <f t="shared" si="66"/>
        <v/>
      </c>
    </row>
    <row r="4218" spans="6:6">
      <c r="F4218" t="str">
        <f t="shared" si="66"/>
        <v/>
      </c>
    </row>
    <row r="4219" spans="6:6">
      <c r="F4219" t="str">
        <f t="shared" si="66"/>
        <v/>
      </c>
    </row>
    <row r="4220" spans="6:6">
      <c r="F4220" t="str">
        <f t="shared" si="66"/>
        <v/>
      </c>
    </row>
    <row r="4221" spans="6:6">
      <c r="F4221" t="str">
        <f t="shared" si="66"/>
        <v/>
      </c>
    </row>
    <row r="4222" spans="6:6">
      <c r="F4222" t="str">
        <f t="shared" si="66"/>
        <v/>
      </c>
    </row>
    <row r="4223" spans="6:6">
      <c r="F4223" t="str">
        <f t="shared" si="66"/>
        <v/>
      </c>
    </row>
    <row r="4224" spans="6:6">
      <c r="F4224" t="str">
        <f t="shared" si="66"/>
        <v/>
      </c>
    </row>
    <row r="4225" spans="6:6">
      <c r="F4225" t="str">
        <f t="shared" si="66"/>
        <v/>
      </c>
    </row>
    <row r="4226" spans="6:6">
      <c r="F4226" t="str">
        <f t="shared" si="66"/>
        <v/>
      </c>
    </row>
    <row r="4227" spans="6:6">
      <c r="F4227" t="str">
        <f t="shared" si="66"/>
        <v/>
      </c>
    </row>
    <row r="4228" spans="6:6">
      <c r="F4228" t="str">
        <f t="shared" si="66"/>
        <v/>
      </c>
    </row>
    <row r="4229" spans="6:6">
      <c r="F4229" t="str">
        <f t="shared" si="66"/>
        <v/>
      </c>
    </row>
    <row r="4230" spans="6:6">
      <c r="F4230" t="str">
        <f t="shared" si="66"/>
        <v/>
      </c>
    </row>
    <row r="4231" spans="6:6">
      <c r="F4231" t="str">
        <f t="shared" si="66"/>
        <v/>
      </c>
    </row>
    <row r="4232" spans="6:6">
      <c r="F4232" t="str">
        <f t="shared" si="66"/>
        <v/>
      </c>
    </row>
    <row r="4233" spans="6:6">
      <c r="F4233" t="str">
        <f t="shared" si="66"/>
        <v/>
      </c>
    </row>
    <row r="4234" spans="6:6">
      <c r="F4234" t="str">
        <f t="shared" si="66"/>
        <v/>
      </c>
    </row>
    <row r="4235" spans="6:6">
      <c r="F4235" t="str">
        <f t="shared" si="66"/>
        <v/>
      </c>
    </row>
    <row r="4236" spans="6:6">
      <c r="F4236" t="str">
        <f t="shared" si="66"/>
        <v/>
      </c>
    </row>
    <row r="4237" spans="6:6">
      <c r="F4237" t="str">
        <f t="shared" ref="F4237:F4300" si="67">RIGHT(D4237,2)</f>
        <v/>
      </c>
    </row>
    <row r="4238" spans="6:6">
      <c r="F4238" t="str">
        <f t="shared" si="67"/>
        <v/>
      </c>
    </row>
    <row r="4239" spans="6:6">
      <c r="F4239" t="str">
        <f t="shared" si="67"/>
        <v/>
      </c>
    </row>
    <row r="4240" spans="6:6">
      <c r="F4240" t="str">
        <f t="shared" si="67"/>
        <v/>
      </c>
    </row>
    <row r="4241" spans="6:6">
      <c r="F4241" t="str">
        <f t="shared" si="67"/>
        <v/>
      </c>
    </row>
    <row r="4242" spans="6:6">
      <c r="F4242" t="str">
        <f t="shared" si="67"/>
        <v/>
      </c>
    </row>
    <row r="4243" spans="6:6">
      <c r="F4243" t="str">
        <f t="shared" si="67"/>
        <v/>
      </c>
    </row>
    <row r="4244" spans="6:6">
      <c r="F4244" t="str">
        <f t="shared" si="67"/>
        <v/>
      </c>
    </row>
    <row r="4245" spans="6:6">
      <c r="F4245" t="str">
        <f t="shared" si="67"/>
        <v/>
      </c>
    </row>
    <row r="4246" spans="6:6">
      <c r="F4246" t="str">
        <f t="shared" si="67"/>
        <v/>
      </c>
    </row>
    <row r="4247" spans="6:6">
      <c r="F4247" t="str">
        <f t="shared" si="67"/>
        <v/>
      </c>
    </row>
    <row r="4248" spans="6:6">
      <c r="F4248" t="str">
        <f t="shared" si="67"/>
        <v/>
      </c>
    </row>
    <row r="4249" spans="6:6">
      <c r="F4249" t="str">
        <f t="shared" si="67"/>
        <v/>
      </c>
    </row>
    <row r="4250" spans="6:6">
      <c r="F4250" t="str">
        <f t="shared" si="67"/>
        <v/>
      </c>
    </row>
    <row r="4251" spans="6:6">
      <c r="F4251" t="str">
        <f t="shared" si="67"/>
        <v/>
      </c>
    </row>
    <row r="4252" spans="6:6">
      <c r="F4252" t="str">
        <f t="shared" si="67"/>
        <v/>
      </c>
    </row>
    <row r="4253" spans="6:6">
      <c r="F4253" t="str">
        <f t="shared" si="67"/>
        <v/>
      </c>
    </row>
    <row r="4254" spans="6:6">
      <c r="F4254" t="str">
        <f t="shared" si="67"/>
        <v/>
      </c>
    </row>
    <row r="4255" spans="6:6">
      <c r="F4255" t="str">
        <f t="shared" si="67"/>
        <v/>
      </c>
    </row>
    <row r="4256" spans="6:6">
      <c r="F4256" t="str">
        <f t="shared" si="67"/>
        <v/>
      </c>
    </row>
    <row r="4257" spans="6:6">
      <c r="F4257" t="str">
        <f t="shared" si="67"/>
        <v/>
      </c>
    </row>
    <row r="4258" spans="6:6">
      <c r="F4258" t="str">
        <f t="shared" si="67"/>
        <v/>
      </c>
    </row>
    <row r="4259" spans="6:6">
      <c r="F4259" t="str">
        <f t="shared" si="67"/>
        <v/>
      </c>
    </row>
    <row r="4260" spans="6:6">
      <c r="F4260" t="str">
        <f t="shared" si="67"/>
        <v/>
      </c>
    </row>
    <row r="4261" spans="6:6">
      <c r="F4261" t="str">
        <f t="shared" si="67"/>
        <v/>
      </c>
    </row>
    <row r="4262" spans="6:6">
      <c r="F4262" t="str">
        <f t="shared" si="67"/>
        <v/>
      </c>
    </row>
    <row r="4263" spans="6:6">
      <c r="F4263" t="str">
        <f t="shared" si="67"/>
        <v/>
      </c>
    </row>
    <row r="4264" spans="6:6">
      <c r="F4264" t="str">
        <f t="shared" si="67"/>
        <v/>
      </c>
    </row>
    <row r="4265" spans="6:6">
      <c r="F4265" t="str">
        <f t="shared" si="67"/>
        <v/>
      </c>
    </row>
    <row r="4266" spans="6:6">
      <c r="F4266" t="str">
        <f t="shared" si="67"/>
        <v/>
      </c>
    </row>
    <row r="4267" spans="6:6">
      <c r="F4267" t="str">
        <f t="shared" si="67"/>
        <v/>
      </c>
    </row>
    <row r="4268" spans="6:6">
      <c r="F4268" t="str">
        <f t="shared" si="67"/>
        <v/>
      </c>
    </row>
    <row r="4269" spans="6:6">
      <c r="F4269" t="str">
        <f t="shared" si="67"/>
        <v/>
      </c>
    </row>
    <row r="4270" spans="6:6">
      <c r="F4270" t="str">
        <f t="shared" si="67"/>
        <v/>
      </c>
    </row>
    <row r="4271" spans="6:6">
      <c r="F4271" t="str">
        <f t="shared" si="67"/>
        <v/>
      </c>
    </row>
    <row r="4272" spans="6:6">
      <c r="F4272" t="str">
        <f t="shared" si="67"/>
        <v/>
      </c>
    </row>
    <row r="4273" spans="6:6">
      <c r="F4273" t="str">
        <f t="shared" si="67"/>
        <v/>
      </c>
    </row>
    <row r="4274" spans="6:6">
      <c r="F4274" t="str">
        <f t="shared" si="67"/>
        <v/>
      </c>
    </row>
    <row r="4275" spans="6:6">
      <c r="F4275" t="str">
        <f t="shared" si="67"/>
        <v/>
      </c>
    </row>
    <row r="4276" spans="6:6">
      <c r="F4276" t="str">
        <f t="shared" si="67"/>
        <v/>
      </c>
    </row>
    <row r="4277" spans="6:6">
      <c r="F4277" t="str">
        <f t="shared" si="67"/>
        <v/>
      </c>
    </row>
    <row r="4278" spans="6:6">
      <c r="F4278" t="str">
        <f t="shared" si="67"/>
        <v/>
      </c>
    </row>
    <row r="4279" spans="6:6">
      <c r="F4279" t="str">
        <f t="shared" si="67"/>
        <v/>
      </c>
    </row>
    <row r="4280" spans="6:6">
      <c r="F4280" t="str">
        <f t="shared" si="67"/>
        <v/>
      </c>
    </row>
    <row r="4281" spans="6:6">
      <c r="F4281" t="str">
        <f t="shared" si="67"/>
        <v/>
      </c>
    </row>
    <row r="4282" spans="6:6">
      <c r="F4282" t="str">
        <f t="shared" si="67"/>
        <v/>
      </c>
    </row>
    <row r="4283" spans="6:6">
      <c r="F4283" t="str">
        <f t="shared" si="67"/>
        <v/>
      </c>
    </row>
    <row r="4284" spans="6:6">
      <c r="F4284" t="str">
        <f t="shared" si="67"/>
        <v/>
      </c>
    </row>
    <row r="4285" spans="6:6">
      <c r="F4285" t="str">
        <f t="shared" si="67"/>
        <v/>
      </c>
    </row>
    <row r="4286" spans="6:6">
      <c r="F4286" t="str">
        <f t="shared" si="67"/>
        <v/>
      </c>
    </row>
    <row r="4287" spans="6:6">
      <c r="F4287" t="str">
        <f t="shared" si="67"/>
        <v/>
      </c>
    </row>
    <row r="4288" spans="6:6">
      <c r="F4288" t="str">
        <f t="shared" si="67"/>
        <v/>
      </c>
    </row>
    <row r="4289" spans="6:6">
      <c r="F4289" t="str">
        <f t="shared" si="67"/>
        <v/>
      </c>
    </row>
    <row r="4290" spans="6:6">
      <c r="F4290" t="str">
        <f t="shared" si="67"/>
        <v/>
      </c>
    </row>
    <row r="4291" spans="6:6">
      <c r="F4291" t="str">
        <f t="shared" si="67"/>
        <v/>
      </c>
    </row>
    <row r="4292" spans="6:6">
      <c r="F4292" t="str">
        <f t="shared" si="67"/>
        <v/>
      </c>
    </row>
    <row r="4293" spans="6:6">
      <c r="F4293" t="str">
        <f t="shared" si="67"/>
        <v/>
      </c>
    </row>
    <row r="4294" spans="6:6">
      <c r="F4294" t="str">
        <f t="shared" si="67"/>
        <v/>
      </c>
    </row>
    <row r="4295" spans="6:6">
      <c r="F4295" t="str">
        <f t="shared" si="67"/>
        <v/>
      </c>
    </row>
    <row r="4296" spans="6:6">
      <c r="F4296" t="str">
        <f t="shared" si="67"/>
        <v/>
      </c>
    </row>
    <row r="4297" spans="6:6">
      <c r="F4297" t="str">
        <f t="shared" si="67"/>
        <v/>
      </c>
    </row>
    <row r="4298" spans="6:6">
      <c r="F4298" t="str">
        <f t="shared" si="67"/>
        <v/>
      </c>
    </row>
    <row r="4299" spans="6:6">
      <c r="F4299" t="str">
        <f t="shared" si="67"/>
        <v/>
      </c>
    </row>
    <row r="4300" spans="6:6">
      <c r="F4300" t="str">
        <f t="shared" si="67"/>
        <v/>
      </c>
    </row>
    <row r="4301" spans="6:6">
      <c r="F4301" t="str">
        <f t="shared" ref="F4301:F4364" si="68">RIGHT(D4301,2)</f>
        <v/>
      </c>
    </row>
    <row r="4302" spans="6:6">
      <c r="F4302" t="str">
        <f t="shared" si="68"/>
        <v/>
      </c>
    </row>
    <row r="4303" spans="6:6">
      <c r="F4303" t="str">
        <f t="shared" si="68"/>
        <v/>
      </c>
    </row>
    <row r="4304" spans="6:6">
      <c r="F4304" t="str">
        <f t="shared" si="68"/>
        <v/>
      </c>
    </row>
    <row r="4305" spans="6:6">
      <c r="F4305" t="str">
        <f t="shared" si="68"/>
        <v/>
      </c>
    </row>
    <row r="4306" spans="6:6">
      <c r="F4306" t="str">
        <f t="shared" si="68"/>
        <v/>
      </c>
    </row>
    <row r="4307" spans="6:6">
      <c r="F4307" t="str">
        <f t="shared" si="68"/>
        <v/>
      </c>
    </row>
    <row r="4308" spans="6:6">
      <c r="F4308" t="str">
        <f t="shared" si="68"/>
        <v/>
      </c>
    </row>
    <row r="4309" spans="6:6">
      <c r="F4309" t="str">
        <f t="shared" si="68"/>
        <v/>
      </c>
    </row>
    <row r="4310" spans="6:6">
      <c r="F4310" t="str">
        <f t="shared" si="68"/>
        <v/>
      </c>
    </row>
    <row r="4311" spans="6:6">
      <c r="F4311" t="str">
        <f t="shared" si="68"/>
        <v/>
      </c>
    </row>
    <row r="4312" spans="6:6">
      <c r="F4312" t="str">
        <f t="shared" si="68"/>
        <v/>
      </c>
    </row>
    <row r="4313" spans="6:6">
      <c r="F4313" t="str">
        <f t="shared" si="68"/>
        <v/>
      </c>
    </row>
    <row r="4314" spans="6:6">
      <c r="F4314" t="str">
        <f t="shared" si="68"/>
        <v/>
      </c>
    </row>
    <row r="4315" spans="6:6">
      <c r="F4315" t="str">
        <f t="shared" si="68"/>
        <v/>
      </c>
    </row>
    <row r="4316" spans="6:6">
      <c r="F4316" t="str">
        <f t="shared" si="68"/>
        <v/>
      </c>
    </row>
    <row r="4317" spans="6:6">
      <c r="F4317" t="str">
        <f t="shared" si="68"/>
        <v/>
      </c>
    </row>
    <row r="4318" spans="6:6">
      <c r="F4318" t="str">
        <f t="shared" si="68"/>
        <v/>
      </c>
    </row>
    <row r="4319" spans="6:6">
      <c r="F4319" t="str">
        <f t="shared" si="68"/>
        <v/>
      </c>
    </row>
    <row r="4320" spans="6:6">
      <c r="F4320" t="str">
        <f t="shared" si="68"/>
        <v/>
      </c>
    </row>
    <row r="4321" spans="6:6">
      <c r="F4321" t="str">
        <f t="shared" si="68"/>
        <v/>
      </c>
    </row>
    <row r="4322" spans="6:6">
      <c r="F4322" t="str">
        <f t="shared" si="68"/>
        <v/>
      </c>
    </row>
    <row r="4323" spans="6:6">
      <c r="F4323" t="str">
        <f t="shared" si="68"/>
        <v/>
      </c>
    </row>
    <row r="4324" spans="6:6">
      <c r="F4324" t="str">
        <f t="shared" si="68"/>
        <v/>
      </c>
    </row>
    <row r="4325" spans="6:6">
      <c r="F4325" t="str">
        <f t="shared" si="68"/>
        <v/>
      </c>
    </row>
    <row r="4326" spans="6:6">
      <c r="F4326" t="str">
        <f t="shared" si="68"/>
        <v/>
      </c>
    </row>
    <row r="4327" spans="6:6">
      <c r="F4327" t="str">
        <f t="shared" si="68"/>
        <v/>
      </c>
    </row>
    <row r="4328" spans="6:6">
      <c r="F4328" t="str">
        <f t="shared" si="68"/>
        <v/>
      </c>
    </row>
    <row r="4329" spans="6:6">
      <c r="F4329" t="str">
        <f t="shared" si="68"/>
        <v/>
      </c>
    </row>
    <row r="4330" spans="6:6">
      <c r="F4330" t="str">
        <f t="shared" si="68"/>
        <v/>
      </c>
    </row>
    <row r="4331" spans="6:6">
      <c r="F4331" t="str">
        <f t="shared" si="68"/>
        <v/>
      </c>
    </row>
    <row r="4332" spans="6:6">
      <c r="F4332" t="str">
        <f t="shared" si="68"/>
        <v/>
      </c>
    </row>
    <row r="4333" spans="6:6">
      <c r="F4333" t="str">
        <f t="shared" si="68"/>
        <v/>
      </c>
    </row>
    <row r="4334" spans="6:6">
      <c r="F4334" t="str">
        <f t="shared" si="68"/>
        <v/>
      </c>
    </row>
    <row r="4335" spans="6:6">
      <c r="F4335" t="str">
        <f t="shared" si="68"/>
        <v/>
      </c>
    </row>
    <row r="4336" spans="6:6">
      <c r="F4336" t="str">
        <f t="shared" si="68"/>
        <v/>
      </c>
    </row>
    <row r="4337" spans="6:6">
      <c r="F4337" t="str">
        <f t="shared" si="68"/>
        <v/>
      </c>
    </row>
    <row r="4338" spans="6:6">
      <c r="F4338" t="str">
        <f t="shared" si="68"/>
        <v/>
      </c>
    </row>
    <row r="4339" spans="6:6">
      <c r="F4339" t="str">
        <f t="shared" si="68"/>
        <v/>
      </c>
    </row>
    <row r="4340" spans="6:6">
      <c r="F4340" t="str">
        <f t="shared" si="68"/>
        <v/>
      </c>
    </row>
    <row r="4341" spans="6:6">
      <c r="F4341" t="str">
        <f t="shared" si="68"/>
        <v/>
      </c>
    </row>
    <row r="4342" spans="6:6">
      <c r="F4342" t="str">
        <f t="shared" si="68"/>
        <v/>
      </c>
    </row>
    <row r="4343" spans="6:6">
      <c r="F4343" t="str">
        <f t="shared" si="68"/>
        <v/>
      </c>
    </row>
    <row r="4344" spans="6:6">
      <c r="F4344" t="str">
        <f t="shared" si="68"/>
        <v/>
      </c>
    </row>
    <row r="4345" spans="6:6">
      <c r="F4345" t="str">
        <f t="shared" si="68"/>
        <v/>
      </c>
    </row>
    <row r="4346" spans="6:6">
      <c r="F4346" t="str">
        <f t="shared" si="68"/>
        <v/>
      </c>
    </row>
    <row r="4347" spans="6:6">
      <c r="F4347" t="str">
        <f t="shared" si="68"/>
        <v/>
      </c>
    </row>
    <row r="4348" spans="6:6">
      <c r="F4348" t="str">
        <f t="shared" si="68"/>
        <v/>
      </c>
    </row>
    <row r="4349" spans="6:6">
      <c r="F4349" t="str">
        <f t="shared" si="68"/>
        <v/>
      </c>
    </row>
    <row r="4350" spans="6:6">
      <c r="F4350" t="str">
        <f t="shared" si="68"/>
        <v/>
      </c>
    </row>
    <row r="4351" spans="6:6">
      <c r="F4351" t="str">
        <f t="shared" si="68"/>
        <v/>
      </c>
    </row>
    <row r="4352" spans="6:6">
      <c r="F4352" t="str">
        <f t="shared" si="68"/>
        <v/>
      </c>
    </row>
    <row r="4353" spans="6:6">
      <c r="F4353" t="str">
        <f t="shared" si="68"/>
        <v/>
      </c>
    </row>
    <row r="4354" spans="6:6">
      <c r="F4354" t="str">
        <f t="shared" si="68"/>
        <v/>
      </c>
    </row>
    <row r="4355" spans="6:6">
      <c r="F4355" t="str">
        <f t="shared" si="68"/>
        <v/>
      </c>
    </row>
    <row r="4356" spans="6:6">
      <c r="F4356" t="str">
        <f t="shared" si="68"/>
        <v/>
      </c>
    </row>
    <row r="4357" spans="6:6">
      <c r="F4357" t="str">
        <f t="shared" si="68"/>
        <v/>
      </c>
    </row>
    <row r="4358" spans="6:6">
      <c r="F4358" t="str">
        <f t="shared" si="68"/>
        <v/>
      </c>
    </row>
    <row r="4359" spans="6:6">
      <c r="F4359" t="str">
        <f t="shared" si="68"/>
        <v/>
      </c>
    </row>
    <row r="4360" spans="6:6">
      <c r="F4360" t="str">
        <f t="shared" si="68"/>
        <v/>
      </c>
    </row>
    <row r="4361" spans="6:6">
      <c r="F4361" t="str">
        <f t="shared" si="68"/>
        <v/>
      </c>
    </row>
    <row r="4362" spans="6:6">
      <c r="F4362" t="str">
        <f t="shared" si="68"/>
        <v/>
      </c>
    </row>
    <row r="4363" spans="6:6">
      <c r="F4363" t="str">
        <f t="shared" si="68"/>
        <v/>
      </c>
    </row>
    <row r="4364" spans="6:6">
      <c r="F4364" t="str">
        <f t="shared" si="68"/>
        <v/>
      </c>
    </row>
    <row r="4365" spans="6:6">
      <c r="F4365" t="str">
        <f t="shared" ref="F4365:F4428" si="69">RIGHT(D4365,2)</f>
        <v/>
      </c>
    </row>
    <row r="4366" spans="6:6">
      <c r="F4366" t="str">
        <f t="shared" si="69"/>
        <v/>
      </c>
    </row>
    <row r="4367" spans="6:6">
      <c r="F4367" t="str">
        <f t="shared" si="69"/>
        <v/>
      </c>
    </row>
    <row r="4368" spans="6:6">
      <c r="F4368" t="str">
        <f t="shared" si="69"/>
        <v/>
      </c>
    </row>
    <row r="4369" spans="6:6">
      <c r="F4369" t="str">
        <f t="shared" si="69"/>
        <v/>
      </c>
    </row>
    <row r="4370" spans="6:6">
      <c r="F4370" t="str">
        <f t="shared" si="69"/>
        <v/>
      </c>
    </row>
    <row r="4371" spans="6:6">
      <c r="F4371" t="str">
        <f t="shared" si="69"/>
        <v/>
      </c>
    </row>
    <row r="4372" spans="6:6">
      <c r="F4372" t="str">
        <f t="shared" si="69"/>
        <v/>
      </c>
    </row>
    <row r="4373" spans="6:6">
      <c r="F4373" t="str">
        <f t="shared" si="69"/>
        <v/>
      </c>
    </row>
    <row r="4374" spans="6:6">
      <c r="F4374" t="str">
        <f t="shared" si="69"/>
        <v/>
      </c>
    </row>
    <row r="4375" spans="6:6">
      <c r="F4375" t="str">
        <f t="shared" si="69"/>
        <v/>
      </c>
    </row>
    <row r="4376" spans="6:6">
      <c r="F4376" t="str">
        <f t="shared" si="69"/>
        <v/>
      </c>
    </row>
    <row r="4377" spans="6:6">
      <c r="F4377" t="str">
        <f t="shared" si="69"/>
        <v/>
      </c>
    </row>
    <row r="4378" spans="6:6">
      <c r="F4378" t="str">
        <f t="shared" si="69"/>
        <v/>
      </c>
    </row>
    <row r="4379" spans="6:6">
      <c r="F4379" t="str">
        <f t="shared" si="69"/>
        <v/>
      </c>
    </row>
    <row r="4380" spans="6:6">
      <c r="F4380" t="str">
        <f t="shared" si="69"/>
        <v/>
      </c>
    </row>
    <row r="4381" spans="6:6">
      <c r="F4381" t="str">
        <f t="shared" si="69"/>
        <v/>
      </c>
    </row>
    <row r="4382" spans="6:6">
      <c r="F4382" t="str">
        <f t="shared" si="69"/>
        <v/>
      </c>
    </row>
    <row r="4383" spans="6:6">
      <c r="F4383" t="str">
        <f t="shared" si="69"/>
        <v/>
      </c>
    </row>
    <row r="4384" spans="6:6">
      <c r="F4384" t="str">
        <f t="shared" si="69"/>
        <v/>
      </c>
    </row>
    <row r="4385" spans="6:6">
      <c r="F4385" t="str">
        <f t="shared" si="69"/>
        <v/>
      </c>
    </row>
    <row r="4386" spans="6:6">
      <c r="F4386" t="str">
        <f t="shared" si="69"/>
        <v/>
      </c>
    </row>
    <row r="4387" spans="6:6">
      <c r="F4387" t="str">
        <f t="shared" si="69"/>
        <v/>
      </c>
    </row>
    <row r="4388" spans="6:6">
      <c r="F4388" t="str">
        <f t="shared" si="69"/>
        <v/>
      </c>
    </row>
    <row r="4389" spans="6:6">
      <c r="F4389" t="str">
        <f t="shared" si="69"/>
        <v/>
      </c>
    </row>
    <row r="4390" spans="6:6">
      <c r="F4390" t="str">
        <f t="shared" si="69"/>
        <v/>
      </c>
    </row>
    <row r="4391" spans="6:6">
      <c r="F4391" t="str">
        <f t="shared" si="69"/>
        <v/>
      </c>
    </row>
    <row r="4392" spans="6:6">
      <c r="F4392" t="str">
        <f t="shared" si="69"/>
        <v/>
      </c>
    </row>
    <row r="4393" spans="6:6">
      <c r="F4393" t="str">
        <f t="shared" si="69"/>
        <v/>
      </c>
    </row>
    <row r="4394" spans="6:6">
      <c r="F4394" t="str">
        <f t="shared" si="69"/>
        <v/>
      </c>
    </row>
    <row r="4395" spans="6:6">
      <c r="F4395" t="str">
        <f t="shared" si="69"/>
        <v/>
      </c>
    </row>
    <row r="4396" spans="6:6">
      <c r="F4396" t="str">
        <f t="shared" si="69"/>
        <v/>
      </c>
    </row>
    <row r="4397" spans="6:6">
      <c r="F4397" t="str">
        <f t="shared" si="69"/>
        <v/>
      </c>
    </row>
    <row r="4398" spans="6:6">
      <c r="F4398" t="str">
        <f t="shared" si="69"/>
        <v/>
      </c>
    </row>
    <row r="4399" spans="6:6">
      <c r="F4399" t="str">
        <f t="shared" si="69"/>
        <v/>
      </c>
    </row>
    <row r="4400" spans="6:6">
      <c r="F4400" t="str">
        <f t="shared" si="69"/>
        <v/>
      </c>
    </row>
    <row r="4401" spans="6:6">
      <c r="F4401" t="str">
        <f t="shared" si="69"/>
        <v/>
      </c>
    </row>
    <row r="4402" spans="6:6">
      <c r="F4402" t="str">
        <f t="shared" si="69"/>
        <v/>
      </c>
    </row>
    <row r="4403" spans="6:6">
      <c r="F4403" t="str">
        <f t="shared" si="69"/>
        <v/>
      </c>
    </row>
    <row r="4404" spans="6:6">
      <c r="F4404" t="str">
        <f t="shared" si="69"/>
        <v/>
      </c>
    </row>
    <row r="4405" spans="6:6">
      <c r="F4405" t="str">
        <f t="shared" si="69"/>
        <v/>
      </c>
    </row>
    <row r="4406" spans="6:6">
      <c r="F4406" t="str">
        <f t="shared" si="69"/>
        <v/>
      </c>
    </row>
    <row r="4407" spans="6:6">
      <c r="F4407" t="str">
        <f t="shared" si="69"/>
        <v/>
      </c>
    </row>
    <row r="4408" spans="6:6">
      <c r="F4408" t="str">
        <f t="shared" si="69"/>
        <v/>
      </c>
    </row>
    <row r="4409" spans="6:6">
      <c r="F4409" t="str">
        <f t="shared" si="69"/>
        <v/>
      </c>
    </row>
    <row r="4410" spans="6:6">
      <c r="F4410" t="str">
        <f t="shared" si="69"/>
        <v/>
      </c>
    </row>
    <row r="4411" spans="6:6">
      <c r="F4411" t="str">
        <f t="shared" si="69"/>
        <v/>
      </c>
    </row>
    <row r="4412" spans="6:6">
      <c r="F4412" t="str">
        <f t="shared" si="69"/>
        <v/>
      </c>
    </row>
    <row r="4413" spans="6:6">
      <c r="F4413" t="str">
        <f t="shared" si="69"/>
        <v/>
      </c>
    </row>
    <row r="4414" spans="6:6">
      <c r="F4414" t="str">
        <f t="shared" si="69"/>
        <v/>
      </c>
    </row>
    <row r="4415" spans="6:6">
      <c r="F4415" t="str">
        <f t="shared" si="69"/>
        <v/>
      </c>
    </row>
    <row r="4416" spans="6:6">
      <c r="F4416" t="str">
        <f t="shared" si="69"/>
        <v/>
      </c>
    </row>
    <row r="4417" spans="6:6">
      <c r="F4417" t="str">
        <f t="shared" si="69"/>
        <v/>
      </c>
    </row>
    <row r="4418" spans="6:6">
      <c r="F4418" t="str">
        <f t="shared" si="69"/>
        <v/>
      </c>
    </row>
    <row r="4419" spans="6:6">
      <c r="F4419" t="str">
        <f t="shared" si="69"/>
        <v/>
      </c>
    </row>
    <row r="4420" spans="6:6">
      <c r="F4420" t="str">
        <f t="shared" si="69"/>
        <v/>
      </c>
    </row>
    <row r="4421" spans="6:6">
      <c r="F4421" t="str">
        <f t="shared" si="69"/>
        <v/>
      </c>
    </row>
    <row r="4422" spans="6:6">
      <c r="F4422" t="str">
        <f t="shared" si="69"/>
        <v/>
      </c>
    </row>
    <row r="4423" spans="6:6">
      <c r="F4423" t="str">
        <f t="shared" si="69"/>
        <v/>
      </c>
    </row>
    <row r="4424" spans="6:6">
      <c r="F4424" t="str">
        <f t="shared" si="69"/>
        <v/>
      </c>
    </row>
    <row r="4425" spans="6:6">
      <c r="F4425" t="str">
        <f t="shared" si="69"/>
        <v/>
      </c>
    </row>
    <row r="4426" spans="6:6">
      <c r="F4426" t="str">
        <f t="shared" si="69"/>
        <v/>
      </c>
    </row>
    <row r="4427" spans="6:6">
      <c r="F4427" t="str">
        <f t="shared" si="69"/>
        <v/>
      </c>
    </row>
    <row r="4428" spans="6:6">
      <c r="F4428" t="str">
        <f t="shared" si="69"/>
        <v/>
      </c>
    </row>
    <row r="4429" spans="6:6">
      <c r="F4429" t="str">
        <f t="shared" ref="F4429:F4492" si="70">RIGHT(D4429,2)</f>
        <v/>
      </c>
    </row>
    <row r="4430" spans="6:6">
      <c r="F4430" t="str">
        <f t="shared" si="70"/>
        <v/>
      </c>
    </row>
    <row r="4431" spans="6:6">
      <c r="F4431" t="str">
        <f t="shared" si="70"/>
        <v/>
      </c>
    </row>
    <row r="4432" spans="6:6">
      <c r="F4432" t="str">
        <f t="shared" si="70"/>
        <v/>
      </c>
    </row>
    <row r="4433" spans="6:6">
      <c r="F4433" t="str">
        <f t="shared" si="70"/>
        <v/>
      </c>
    </row>
    <row r="4434" spans="6:6">
      <c r="F4434" t="str">
        <f t="shared" si="70"/>
        <v/>
      </c>
    </row>
    <row r="4435" spans="6:6">
      <c r="F4435" t="str">
        <f t="shared" si="70"/>
        <v/>
      </c>
    </row>
    <row r="4436" spans="6:6">
      <c r="F4436" t="str">
        <f t="shared" si="70"/>
        <v/>
      </c>
    </row>
    <row r="4437" spans="6:6">
      <c r="F4437" t="str">
        <f t="shared" si="70"/>
        <v/>
      </c>
    </row>
    <row r="4438" spans="6:6">
      <c r="F4438" t="str">
        <f t="shared" si="70"/>
        <v/>
      </c>
    </row>
    <row r="4439" spans="6:6">
      <c r="F4439" t="str">
        <f t="shared" si="70"/>
        <v/>
      </c>
    </row>
    <row r="4440" spans="6:6">
      <c r="F4440" t="str">
        <f t="shared" si="70"/>
        <v/>
      </c>
    </row>
    <row r="4441" spans="6:6">
      <c r="F4441" t="str">
        <f t="shared" si="70"/>
        <v/>
      </c>
    </row>
    <row r="4442" spans="6:6">
      <c r="F4442" t="str">
        <f t="shared" si="70"/>
        <v/>
      </c>
    </row>
    <row r="4443" spans="6:6">
      <c r="F4443" t="str">
        <f t="shared" si="70"/>
        <v/>
      </c>
    </row>
    <row r="4444" spans="6:6">
      <c r="F4444" t="str">
        <f t="shared" si="70"/>
        <v/>
      </c>
    </row>
    <row r="4445" spans="6:6">
      <c r="F4445" t="str">
        <f t="shared" si="70"/>
        <v/>
      </c>
    </row>
    <row r="4446" spans="6:6">
      <c r="F4446" t="str">
        <f t="shared" si="70"/>
        <v/>
      </c>
    </row>
    <row r="4447" spans="6:6">
      <c r="F4447" t="str">
        <f t="shared" si="70"/>
        <v/>
      </c>
    </row>
    <row r="4448" spans="6:6">
      <c r="F4448" t="str">
        <f t="shared" si="70"/>
        <v/>
      </c>
    </row>
    <row r="4449" spans="6:6">
      <c r="F4449" t="str">
        <f t="shared" si="70"/>
        <v/>
      </c>
    </row>
    <row r="4450" spans="6:6">
      <c r="F4450" t="str">
        <f t="shared" si="70"/>
        <v/>
      </c>
    </row>
    <row r="4451" spans="6:6">
      <c r="F4451" t="str">
        <f t="shared" si="70"/>
        <v/>
      </c>
    </row>
    <row r="4452" spans="6:6">
      <c r="F4452" t="str">
        <f t="shared" si="70"/>
        <v/>
      </c>
    </row>
    <row r="4453" spans="6:6">
      <c r="F4453" t="str">
        <f t="shared" si="70"/>
        <v/>
      </c>
    </row>
    <row r="4454" spans="6:6">
      <c r="F4454" t="str">
        <f t="shared" si="70"/>
        <v/>
      </c>
    </row>
    <row r="4455" spans="6:6">
      <c r="F4455" t="str">
        <f t="shared" si="70"/>
        <v/>
      </c>
    </row>
    <row r="4456" spans="6:6">
      <c r="F4456" t="str">
        <f t="shared" si="70"/>
        <v/>
      </c>
    </row>
    <row r="4457" spans="6:6">
      <c r="F4457" t="str">
        <f t="shared" si="70"/>
        <v/>
      </c>
    </row>
    <row r="4458" spans="6:6">
      <c r="F4458" t="str">
        <f t="shared" si="70"/>
        <v/>
      </c>
    </row>
    <row r="4459" spans="6:6">
      <c r="F4459" t="str">
        <f t="shared" si="70"/>
        <v/>
      </c>
    </row>
    <row r="4460" spans="6:6">
      <c r="F4460" t="str">
        <f t="shared" si="70"/>
        <v/>
      </c>
    </row>
    <row r="4461" spans="6:6">
      <c r="F4461" t="str">
        <f t="shared" si="70"/>
        <v/>
      </c>
    </row>
    <row r="4462" spans="6:6">
      <c r="F4462" t="str">
        <f t="shared" si="70"/>
        <v/>
      </c>
    </row>
    <row r="4463" spans="6:6">
      <c r="F4463" t="str">
        <f t="shared" si="70"/>
        <v/>
      </c>
    </row>
    <row r="4464" spans="6:6">
      <c r="F4464" t="str">
        <f t="shared" si="70"/>
        <v/>
      </c>
    </row>
    <row r="4465" spans="6:6">
      <c r="F4465" t="str">
        <f t="shared" si="70"/>
        <v/>
      </c>
    </row>
    <row r="4466" spans="6:6">
      <c r="F4466" t="str">
        <f t="shared" si="70"/>
        <v/>
      </c>
    </row>
    <row r="4467" spans="6:6">
      <c r="F4467" t="str">
        <f t="shared" si="70"/>
        <v/>
      </c>
    </row>
    <row r="4468" spans="6:6">
      <c r="F4468" t="str">
        <f t="shared" si="70"/>
        <v/>
      </c>
    </row>
    <row r="4469" spans="6:6">
      <c r="F4469" t="str">
        <f t="shared" si="70"/>
        <v/>
      </c>
    </row>
    <row r="4470" spans="6:6">
      <c r="F4470" t="str">
        <f t="shared" si="70"/>
        <v/>
      </c>
    </row>
    <row r="4471" spans="6:6">
      <c r="F4471" t="str">
        <f t="shared" si="70"/>
        <v/>
      </c>
    </row>
    <row r="4472" spans="6:6">
      <c r="F4472" t="str">
        <f t="shared" si="70"/>
        <v/>
      </c>
    </row>
    <row r="4473" spans="6:6">
      <c r="F4473" t="str">
        <f t="shared" si="70"/>
        <v/>
      </c>
    </row>
    <row r="4474" spans="6:6">
      <c r="F4474" t="str">
        <f t="shared" si="70"/>
        <v/>
      </c>
    </row>
    <row r="4475" spans="6:6">
      <c r="F4475" t="str">
        <f t="shared" si="70"/>
        <v/>
      </c>
    </row>
    <row r="4476" spans="6:6">
      <c r="F4476" t="str">
        <f t="shared" si="70"/>
        <v/>
      </c>
    </row>
    <row r="4477" spans="6:6">
      <c r="F4477" t="str">
        <f t="shared" si="70"/>
        <v/>
      </c>
    </row>
    <row r="4478" spans="6:6">
      <c r="F4478" t="str">
        <f t="shared" si="70"/>
        <v/>
      </c>
    </row>
    <row r="4479" spans="6:6">
      <c r="F4479" t="str">
        <f t="shared" si="70"/>
        <v/>
      </c>
    </row>
    <row r="4480" spans="6:6">
      <c r="F4480" t="str">
        <f t="shared" si="70"/>
        <v/>
      </c>
    </row>
    <row r="4481" spans="6:6">
      <c r="F4481" t="str">
        <f t="shared" si="70"/>
        <v/>
      </c>
    </row>
    <row r="4482" spans="6:6">
      <c r="F4482" t="str">
        <f t="shared" si="70"/>
        <v/>
      </c>
    </row>
    <row r="4483" spans="6:6">
      <c r="F4483" t="str">
        <f t="shared" si="70"/>
        <v/>
      </c>
    </row>
    <row r="4484" spans="6:6">
      <c r="F4484" t="str">
        <f t="shared" si="70"/>
        <v/>
      </c>
    </row>
    <row r="4485" spans="6:6">
      <c r="F4485" t="str">
        <f t="shared" si="70"/>
        <v/>
      </c>
    </row>
    <row r="4486" spans="6:6">
      <c r="F4486" t="str">
        <f t="shared" si="70"/>
        <v/>
      </c>
    </row>
    <row r="4487" spans="6:6">
      <c r="F4487" t="str">
        <f t="shared" si="70"/>
        <v/>
      </c>
    </row>
    <row r="4488" spans="6:6">
      <c r="F4488" t="str">
        <f t="shared" si="70"/>
        <v/>
      </c>
    </row>
    <row r="4489" spans="6:6">
      <c r="F4489" t="str">
        <f t="shared" si="70"/>
        <v/>
      </c>
    </row>
    <row r="4490" spans="6:6">
      <c r="F4490" t="str">
        <f t="shared" si="70"/>
        <v/>
      </c>
    </row>
    <row r="4491" spans="6:6">
      <c r="F4491" t="str">
        <f t="shared" si="70"/>
        <v/>
      </c>
    </row>
    <row r="4492" spans="6:6">
      <c r="F4492" t="str">
        <f t="shared" si="70"/>
        <v/>
      </c>
    </row>
    <row r="4493" spans="6:6">
      <c r="F4493" t="str">
        <f t="shared" ref="F4493:F4556" si="71">RIGHT(D4493,2)</f>
        <v/>
      </c>
    </row>
    <row r="4494" spans="6:6">
      <c r="F4494" t="str">
        <f t="shared" si="71"/>
        <v/>
      </c>
    </row>
    <row r="4495" spans="6:6">
      <c r="F4495" t="str">
        <f t="shared" si="71"/>
        <v/>
      </c>
    </row>
    <row r="4496" spans="6:6">
      <c r="F4496" t="str">
        <f t="shared" si="71"/>
        <v/>
      </c>
    </row>
    <row r="4497" spans="6:6">
      <c r="F4497" t="str">
        <f t="shared" si="71"/>
        <v/>
      </c>
    </row>
    <row r="4498" spans="6:6">
      <c r="F4498" t="str">
        <f t="shared" si="71"/>
        <v/>
      </c>
    </row>
    <row r="4499" spans="6:6">
      <c r="F4499" t="str">
        <f t="shared" si="71"/>
        <v/>
      </c>
    </row>
    <row r="4500" spans="6:6">
      <c r="F4500" t="str">
        <f t="shared" si="71"/>
        <v/>
      </c>
    </row>
    <row r="4501" spans="6:6">
      <c r="F4501" t="str">
        <f t="shared" si="71"/>
        <v/>
      </c>
    </row>
    <row r="4502" spans="6:6">
      <c r="F4502" t="str">
        <f t="shared" si="71"/>
        <v/>
      </c>
    </row>
    <row r="4503" spans="6:6">
      <c r="F4503" t="str">
        <f t="shared" si="71"/>
        <v/>
      </c>
    </row>
    <row r="4504" spans="6:6">
      <c r="F4504" t="str">
        <f t="shared" si="71"/>
        <v/>
      </c>
    </row>
    <row r="4505" spans="6:6">
      <c r="F4505" t="str">
        <f t="shared" si="71"/>
        <v/>
      </c>
    </row>
    <row r="4506" spans="6:6">
      <c r="F4506" t="str">
        <f t="shared" si="71"/>
        <v/>
      </c>
    </row>
    <row r="4507" spans="6:6">
      <c r="F4507" t="str">
        <f t="shared" si="71"/>
        <v/>
      </c>
    </row>
    <row r="4508" spans="6:6">
      <c r="F4508" t="str">
        <f t="shared" si="71"/>
        <v/>
      </c>
    </row>
    <row r="4509" spans="6:6">
      <c r="F4509" t="str">
        <f t="shared" si="71"/>
        <v/>
      </c>
    </row>
    <row r="4510" spans="6:6">
      <c r="F4510" t="str">
        <f t="shared" si="71"/>
        <v/>
      </c>
    </row>
    <row r="4511" spans="6:6">
      <c r="F4511" t="str">
        <f t="shared" si="71"/>
        <v/>
      </c>
    </row>
    <row r="4512" spans="6:6">
      <c r="F4512" t="str">
        <f t="shared" si="71"/>
        <v/>
      </c>
    </row>
    <row r="4513" spans="6:6">
      <c r="F4513" t="str">
        <f t="shared" si="71"/>
        <v/>
      </c>
    </row>
    <row r="4514" spans="6:6">
      <c r="F4514" t="str">
        <f t="shared" si="71"/>
        <v/>
      </c>
    </row>
    <row r="4515" spans="6:6">
      <c r="F4515" t="str">
        <f t="shared" si="71"/>
        <v/>
      </c>
    </row>
    <row r="4516" spans="6:6">
      <c r="F4516" t="str">
        <f t="shared" si="71"/>
        <v/>
      </c>
    </row>
    <row r="4517" spans="6:6">
      <c r="F4517" t="str">
        <f t="shared" si="71"/>
        <v/>
      </c>
    </row>
    <row r="4518" spans="6:6">
      <c r="F4518" t="str">
        <f t="shared" si="71"/>
        <v/>
      </c>
    </row>
    <row r="4519" spans="6:6">
      <c r="F4519" t="str">
        <f t="shared" si="71"/>
        <v/>
      </c>
    </row>
    <row r="4520" spans="6:6">
      <c r="F4520" t="str">
        <f t="shared" si="71"/>
        <v/>
      </c>
    </row>
    <row r="4521" spans="6:6">
      <c r="F4521" t="str">
        <f t="shared" si="71"/>
        <v/>
      </c>
    </row>
    <row r="4522" spans="6:6">
      <c r="F4522" t="str">
        <f t="shared" si="71"/>
        <v/>
      </c>
    </row>
    <row r="4523" spans="6:6">
      <c r="F4523" t="str">
        <f t="shared" si="71"/>
        <v/>
      </c>
    </row>
    <row r="4524" spans="6:6">
      <c r="F4524" t="str">
        <f t="shared" si="71"/>
        <v/>
      </c>
    </row>
    <row r="4525" spans="6:6">
      <c r="F4525" t="str">
        <f t="shared" si="71"/>
        <v/>
      </c>
    </row>
    <row r="4526" spans="6:6">
      <c r="F4526" t="str">
        <f t="shared" si="71"/>
        <v/>
      </c>
    </row>
    <row r="4527" spans="6:6">
      <c r="F4527" t="str">
        <f t="shared" si="71"/>
        <v/>
      </c>
    </row>
    <row r="4528" spans="6:6">
      <c r="F4528" t="str">
        <f t="shared" si="71"/>
        <v/>
      </c>
    </row>
    <row r="4529" spans="6:6">
      <c r="F4529" t="str">
        <f t="shared" si="71"/>
        <v/>
      </c>
    </row>
    <row r="4530" spans="6:6">
      <c r="F4530" t="str">
        <f t="shared" si="71"/>
        <v/>
      </c>
    </row>
    <row r="4531" spans="6:6">
      <c r="F4531" t="str">
        <f t="shared" si="71"/>
        <v/>
      </c>
    </row>
    <row r="4532" spans="6:6">
      <c r="F4532" t="str">
        <f t="shared" si="71"/>
        <v/>
      </c>
    </row>
    <row r="4533" spans="6:6">
      <c r="F4533" t="str">
        <f t="shared" si="71"/>
        <v/>
      </c>
    </row>
    <row r="4534" spans="6:6">
      <c r="F4534" t="str">
        <f t="shared" si="71"/>
        <v/>
      </c>
    </row>
    <row r="4535" spans="6:6">
      <c r="F4535" t="str">
        <f t="shared" si="71"/>
        <v/>
      </c>
    </row>
    <row r="4536" spans="6:6">
      <c r="F4536" t="str">
        <f t="shared" si="71"/>
        <v/>
      </c>
    </row>
    <row r="4537" spans="6:6">
      <c r="F4537" t="str">
        <f t="shared" si="71"/>
        <v/>
      </c>
    </row>
    <row r="4538" spans="6:6">
      <c r="F4538" t="str">
        <f t="shared" si="71"/>
        <v/>
      </c>
    </row>
    <row r="4539" spans="6:6">
      <c r="F4539" t="str">
        <f t="shared" si="71"/>
        <v/>
      </c>
    </row>
    <row r="4540" spans="6:6">
      <c r="F4540" t="str">
        <f t="shared" si="71"/>
        <v/>
      </c>
    </row>
    <row r="4541" spans="6:6">
      <c r="F4541" t="str">
        <f t="shared" si="71"/>
        <v/>
      </c>
    </row>
    <row r="4542" spans="6:6">
      <c r="F4542" t="str">
        <f t="shared" si="71"/>
        <v/>
      </c>
    </row>
    <row r="4543" spans="6:6">
      <c r="F4543" t="str">
        <f t="shared" si="71"/>
        <v/>
      </c>
    </row>
    <row r="4544" spans="6:6">
      <c r="F4544" t="str">
        <f t="shared" si="71"/>
        <v/>
      </c>
    </row>
    <row r="4545" spans="6:6">
      <c r="F4545" t="str">
        <f t="shared" si="71"/>
        <v/>
      </c>
    </row>
    <row r="4546" spans="6:6">
      <c r="F4546" t="str">
        <f t="shared" si="71"/>
        <v/>
      </c>
    </row>
    <row r="4547" spans="6:6">
      <c r="F4547" t="str">
        <f t="shared" si="71"/>
        <v/>
      </c>
    </row>
    <row r="4548" spans="6:6">
      <c r="F4548" t="str">
        <f t="shared" si="71"/>
        <v/>
      </c>
    </row>
    <row r="4549" spans="6:6">
      <c r="F4549" t="str">
        <f t="shared" si="71"/>
        <v/>
      </c>
    </row>
    <row r="4550" spans="6:6">
      <c r="F4550" t="str">
        <f t="shared" si="71"/>
        <v/>
      </c>
    </row>
    <row r="4551" spans="6:6">
      <c r="F4551" t="str">
        <f t="shared" si="71"/>
        <v/>
      </c>
    </row>
    <row r="4552" spans="6:6">
      <c r="F4552" t="str">
        <f t="shared" si="71"/>
        <v/>
      </c>
    </row>
    <row r="4553" spans="6:6">
      <c r="F4553" t="str">
        <f t="shared" si="71"/>
        <v/>
      </c>
    </row>
    <row r="4554" spans="6:6">
      <c r="F4554" t="str">
        <f t="shared" si="71"/>
        <v/>
      </c>
    </row>
    <row r="4555" spans="6:6">
      <c r="F4555" t="str">
        <f t="shared" si="71"/>
        <v/>
      </c>
    </row>
    <row r="4556" spans="6:6">
      <c r="F4556" t="str">
        <f t="shared" si="71"/>
        <v/>
      </c>
    </row>
    <row r="4557" spans="6:6">
      <c r="F4557" t="str">
        <f t="shared" ref="F4557:F4620" si="72">RIGHT(D4557,2)</f>
        <v/>
      </c>
    </row>
    <row r="4558" spans="6:6">
      <c r="F4558" t="str">
        <f t="shared" si="72"/>
        <v/>
      </c>
    </row>
    <row r="4559" spans="6:6">
      <c r="F4559" t="str">
        <f t="shared" si="72"/>
        <v/>
      </c>
    </row>
    <row r="4560" spans="6:6">
      <c r="F4560" t="str">
        <f t="shared" si="72"/>
        <v/>
      </c>
    </row>
    <row r="4561" spans="6:6">
      <c r="F4561" t="str">
        <f t="shared" si="72"/>
        <v/>
      </c>
    </row>
    <row r="4562" spans="6:6">
      <c r="F4562" t="str">
        <f t="shared" si="72"/>
        <v/>
      </c>
    </row>
    <row r="4563" spans="6:6">
      <c r="F4563" t="str">
        <f t="shared" si="72"/>
        <v/>
      </c>
    </row>
    <row r="4564" spans="6:6">
      <c r="F4564" t="str">
        <f t="shared" si="72"/>
        <v/>
      </c>
    </row>
    <row r="4565" spans="6:6">
      <c r="F4565" t="str">
        <f t="shared" si="72"/>
        <v/>
      </c>
    </row>
    <row r="4566" spans="6:6">
      <c r="F4566" t="str">
        <f t="shared" si="72"/>
        <v/>
      </c>
    </row>
    <row r="4567" spans="6:6">
      <c r="F4567" t="str">
        <f t="shared" si="72"/>
        <v/>
      </c>
    </row>
    <row r="4568" spans="6:6">
      <c r="F4568" t="str">
        <f t="shared" si="72"/>
        <v/>
      </c>
    </row>
    <row r="4569" spans="6:6">
      <c r="F4569" t="str">
        <f t="shared" si="72"/>
        <v/>
      </c>
    </row>
    <row r="4570" spans="6:6">
      <c r="F4570" t="str">
        <f t="shared" si="72"/>
        <v/>
      </c>
    </row>
    <row r="4571" spans="6:6">
      <c r="F4571" t="str">
        <f t="shared" si="72"/>
        <v/>
      </c>
    </row>
    <row r="4572" spans="6:6">
      <c r="F4572" t="str">
        <f t="shared" si="72"/>
        <v/>
      </c>
    </row>
    <row r="4573" spans="6:6">
      <c r="F4573" t="str">
        <f t="shared" si="72"/>
        <v/>
      </c>
    </row>
    <row r="4574" spans="6:6">
      <c r="F4574" t="str">
        <f t="shared" si="72"/>
        <v/>
      </c>
    </row>
    <row r="4575" spans="6:6">
      <c r="F4575" t="str">
        <f t="shared" si="72"/>
        <v/>
      </c>
    </row>
    <row r="4576" spans="6:6">
      <c r="F4576" t="str">
        <f t="shared" si="72"/>
        <v/>
      </c>
    </row>
    <row r="4577" spans="6:6">
      <c r="F4577" t="str">
        <f t="shared" si="72"/>
        <v/>
      </c>
    </row>
    <row r="4578" spans="6:6">
      <c r="F4578" t="str">
        <f t="shared" si="72"/>
        <v/>
      </c>
    </row>
    <row r="4579" spans="6:6">
      <c r="F4579" t="str">
        <f t="shared" si="72"/>
        <v/>
      </c>
    </row>
    <row r="4580" spans="6:6">
      <c r="F4580" t="str">
        <f t="shared" si="72"/>
        <v/>
      </c>
    </row>
    <row r="4581" spans="6:6">
      <c r="F4581" t="str">
        <f t="shared" si="72"/>
        <v/>
      </c>
    </row>
    <row r="4582" spans="6:6">
      <c r="F4582" t="str">
        <f t="shared" si="72"/>
        <v/>
      </c>
    </row>
    <row r="4583" spans="6:6">
      <c r="F4583" t="str">
        <f t="shared" si="72"/>
        <v/>
      </c>
    </row>
    <row r="4584" spans="6:6">
      <c r="F4584" t="str">
        <f t="shared" si="72"/>
        <v/>
      </c>
    </row>
    <row r="4585" spans="6:6">
      <c r="F4585" t="str">
        <f t="shared" si="72"/>
        <v/>
      </c>
    </row>
    <row r="4586" spans="6:6">
      <c r="F4586" t="str">
        <f t="shared" si="72"/>
        <v/>
      </c>
    </row>
    <row r="4587" spans="6:6">
      <c r="F4587" t="str">
        <f t="shared" si="72"/>
        <v/>
      </c>
    </row>
    <row r="4588" spans="6:6">
      <c r="F4588" t="str">
        <f t="shared" si="72"/>
        <v/>
      </c>
    </row>
    <row r="4589" spans="6:6">
      <c r="F4589" t="str">
        <f t="shared" si="72"/>
        <v/>
      </c>
    </row>
    <row r="4590" spans="6:6">
      <c r="F4590" t="str">
        <f t="shared" si="72"/>
        <v/>
      </c>
    </row>
    <row r="4591" spans="6:6">
      <c r="F4591" t="str">
        <f t="shared" si="72"/>
        <v/>
      </c>
    </row>
    <row r="4592" spans="6:6">
      <c r="F4592" t="str">
        <f t="shared" si="72"/>
        <v/>
      </c>
    </row>
    <row r="4593" spans="6:6">
      <c r="F4593" t="str">
        <f t="shared" si="72"/>
        <v/>
      </c>
    </row>
    <row r="4594" spans="6:6">
      <c r="F4594" t="str">
        <f t="shared" si="72"/>
        <v/>
      </c>
    </row>
    <row r="4595" spans="6:6">
      <c r="F4595" t="str">
        <f t="shared" si="72"/>
        <v/>
      </c>
    </row>
    <row r="4596" spans="6:6">
      <c r="F4596" t="str">
        <f t="shared" si="72"/>
        <v/>
      </c>
    </row>
    <row r="4597" spans="6:6">
      <c r="F4597" t="str">
        <f t="shared" si="72"/>
        <v/>
      </c>
    </row>
    <row r="4598" spans="6:6">
      <c r="F4598" t="str">
        <f t="shared" si="72"/>
        <v/>
      </c>
    </row>
    <row r="4599" spans="6:6">
      <c r="F4599" t="str">
        <f t="shared" si="72"/>
        <v/>
      </c>
    </row>
    <row r="4600" spans="6:6">
      <c r="F4600" t="str">
        <f t="shared" si="72"/>
        <v/>
      </c>
    </row>
    <row r="4601" spans="6:6">
      <c r="F4601" t="str">
        <f t="shared" si="72"/>
        <v/>
      </c>
    </row>
    <row r="4602" spans="6:6">
      <c r="F4602" t="str">
        <f t="shared" si="72"/>
        <v/>
      </c>
    </row>
    <row r="4603" spans="6:6">
      <c r="F4603" t="str">
        <f t="shared" si="72"/>
        <v/>
      </c>
    </row>
    <row r="4604" spans="6:6">
      <c r="F4604" t="str">
        <f t="shared" si="72"/>
        <v/>
      </c>
    </row>
    <row r="4605" spans="6:6">
      <c r="F4605" t="str">
        <f t="shared" si="72"/>
        <v/>
      </c>
    </row>
    <row r="4606" spans="6:6">
      <c r="F4606" t="str">
        <f t="shared" si="72"/>
        <v/>
      </c>
    </row>
    <row r="4607" spans="6:6">
      <c r="F4607" t="str">
        <f t="shared" si="72"/>
        <v/>
      </c>
    </row>
    <row r="4608" spans="6:6">
      <c r="F4608" t="str">
        <f t="shared" si="72"/>
        <v/>
      </c>
    </row>
    <row r="4609" spans="6:6">
      <c r="F4609" t="str">
        <f t="shared" si="72"/>
        <v/>
      </c>
    </row>
    <row r="4610" spans="6:6">
      <c r="F4610" t="str">
        <f t="shared" si="72"/>
        <v/>
      </c>
    </row>
    <row r="4611" spans="6:6">
      <c r="F4611" t="str">
        <f t="shared" si="72"/>
        <v/>
      </c>
    </row>
    <row r="4612" spans="6:6">
      <c r="F4612" t="str">
        <f t="shared" si="72"/>
        <v/>
      </c>
    </row>
    <row r="4613" spans="6:6">
      <c r="F4613" t="str">
        <f t="shared" si="72"/>
        <v/>
      </c>
    </row>
    <row r="4614" spans="6:6">
      <c r="F4614" t="str">
        <f t="shared" si="72"/>
        <v/>
      </c>
    </row>
    <row r="4615" spans="6:6">
      <c r="F4615" t="str">
        <f t="shared" si="72"/>
        <v/>
      </c>
    </row>
    <row r="4616" spans="6:6">
      <c r="F4616" t="str">
        <f t="shared" si="72"/>
        <v/>
      </c>
    </row>
    <row r="4617" spans="6:6">
      <c r="F4617" t="str">
        <f t="shared" si="72"/>
        <v/>
      </c>
    </row>
    <row r="4618" spans="6:6">
      <c r="F4618" t="str">
        <f t="shared" si="72"/>
        <v/>
      </c>
    </row>
    <row r="4619" spans="6:6">
      <c r="F4619" t="str">
        <f t="shared" si="72"/>
        <v/>
      </c>
    </row>
    <row r="4620" spans="6:6">
      <c r="F4620" t="str">
        <f t="shared" si="72"/>
        <v/>
      </c>
    </row>
    <row r="4621" spans="6:6">
      <c r="F4621" t="str">
        <f t="shared" ref="F4621:F4684" si="73">RIGHT(D4621,2)</f>
        <v/>
      </c>
    </row>
    <row r="4622" spans="6:6">
      <c r="F4622" t="str">
        <f t="shared" si="73"/>
        <v/>
      </c>
    </row>
    <row r="4623" spans="6:6">
      <c r="F4623" t="str">
        <f t="shared" si="73"/>
        <v/>
      </c>
    </row>
    <row r="4624" spans="6:6">
      <c r="F4624" t="str">
        <f t="shared" si="73"/>
        <v/>
      </c>
    </row>
    <row r="4625" spans="6:6">
      <c r="F4625" t="str">
        <f t="shared" si="73"/>
        <v/>
      </c>
    </row>
    <row r="4626" spans="6:6">
      <c r="F4626" t="str">
        <f t="shared" si="73"/>
        <v/>
      </c>
    </row>
    <row r="4627" spans="6:6">
      <c r="F4627" t="str">
        <f t="shared" si="73"/>
        <v/>
      </c>
    </row>
    <row r="4628" spans="6:6">
      <c r="F4628" t="str">
        <f t="shared" si="73"/>
        <v/>
      </c>
    </row>
    <row r="4629" spans="6:6">
      <c r="F4629" t="str">
        <f t="shared" si="73"/>
        <v/>
      </c>
    </row>
    <row r="4630" spans="6:6">
      <c r="F4630" t="str">
        <f t="shared" si="73"/>
        <v/>
      </c>
    </row>
    <row r="4631" spans="6:6">
      <c r="F4631" t="str">
        <f t="shared" si="73"/>
        <v/>
      </c>
    </row>
    <row r="4632" spans="6:6">
      <c r="F4632" t="str">
        <f t="shared" si="73"/>
        <v/>
      </c>
    </row>
    <row r="4633" spans="6:6">
      <c r="F4633" t="str">
        <f t="shared" si="73"/>
        <v/>
      </c>
    </row>
    <row r="4634" spans="6:6">
      <c r="F4634" t="str">
        <f t="shared" si="73"/>
        <v/>
      </c>
    </row>
    <row r="4635" spans="6:6">
      <c r="F4635" t="str">
        <f t="shared" si="73"/>
        <v/>
      </c>
    </row>
    <row r="4636" spans="6:6">
      <c r="F4636" t="str">
        <f t="shared" si="73"/>
        <v/>
      </c>
    </row>
    <row r="4637" spans="6:6">
      <c r="F4637" t="str">
        <f t="shared" si="73"/>
        <v/>
      </c>
    </row>
    <row r="4638" spans="6:6">
      <c r="F4638" t="str">
        <f t="shared" si="73"/>
        <v/>
      </c>
    </row>
    <row r="4639" spans="6:6">
      <c r="F4639" t="str">
        <f t="shared" si="73"/>
        <v/>
      </c>
    </row>
    <row r="4640" spans="6:6">
      <c r="F4640" t="str">
        <f t="shared" si="73"/>
        <v/>
      </c>
    </row>
    <row r="4641" spans="6:6">
      <c r="F4641" t="str">
        <f t="shared" si="73"/>
        <v/>
      </c>
    </row>
    <row r="4642" spans="6:6">
      <c r="F4642" t="str">
        <f t="shared" si="73"/>
        <v/>
      </c>
    </row>
    <row r="4643" spans="6:6">
      <c r="F4643" t="str">
        <f t="shared" si="73"/>
        <v/>
      </c>
    </row>
    <row r="4644" spans="6:6">
      <c r="F4644" t="str">
        <f t="shared" si="73"/>
        <v/>
      </c>
    </row>
    <row r="4645" spans="6:6">
      <c r="F4645" t="str">
        <f t="shared" si="73"/>
        <v/>
      </c>
    </row>
    <row r="4646" spans="6:6">
      <c r="F4646" t="str">
        <f t="shared" si="73"/>
        <v/>
      </c>
    </row>
    <row r="4647" spans="6:6">
      <c r="F4647" t="str">
        <f t="shared" si="73"/>
        <v/>
      </c>
    </row>
    <row r="4648" spans="6:6">
      <c r="F4648" t="str">
        <f t="shared" si="73"/>
        <v/>
      </c>
    </row>
    <row r="4649" spans="6:6">
      <c r="F4649" t="str">
        <f t="shared" si="73"/>
        <v/>
      </c>
    </row>
    <row r="4650" spans="6:6">
      <c r="F4650" t="str">
        <f t="shared" si="73"/>
        <v/>
      </c>
    </row>
    <row r="4651" spans="6:6">
      <c r="F4651" t="str">
        <f t="shared" si="73"/>
        <v/>
      </c>
    </row>
    <row r="4652" spans="6:6">
      <c r="F4652" t="str">
        <f t="shared" si="73"/>
        <v/>
      </c>
    </row>
    <row r="4653" spans="6:6">
      <c r="F4653" t="str">
        <f t="shared" si="73"/>
        <v/>
      </c>
    </row>
    <row r="4654" spans="6:6">
      <c r="F4654" t="str">
        <f t="shared" si="73"/>
        <v/>
      </c>
    </row>
    <row r="4655" spans="6:6">
      <c r="F4655" t="str">
        <f t="shared" si="73"/>
        <v/>
      </c>
    </row>
    <row r="4656" spans="6:6">
      <c r="F4656" t="str">
        <f t="shared" si="73"/>
        <v/>
      </c>
    </row>
    <row r="4657" spans="6:6">
      <c r="F4657" t="str">
        <f t="shared" si="73"/>
        <v/>
      </c>
    </row>
    <row r="4658" spans="6:6">
      <c r="F4658" t="str">
        <f t="shared" si="73"/>
        <v/>
      </c>
    </row>
    <row r="4659" spans="6:6">
      <c r="F4659" t="str">
        <f t="shared" si="73"/>
        <v/>
      </c>
    </row>
    <row r="4660" spans="6:6">
      <c r="F4660" t="str">
        <f t="shared" si="73"/>
        <v/>
      </c>
    </row>
    <row r="4661" spans="6:6">
      <c r="F4661" t="str">
        <f t="shared" si="73"/>
        <v/>
      </c>
    </row>
    <row r="4662" spans="6:6">
      <c r="F4662" t="str">
        <f t="shared" si="73"/>
        <v/>
      </c>
    </row>
    <row r="4663" spans="6:6">
      <c r="F4663" t="str">
        <f t="shared" si="73"/>
        <v/>
      </c>
    </row>
    <row r="4664" spans="6:6">
      <c r="F4664" t="str">
        <f t="shared" si="73"/>
        <v/>
      </c>
    </row>
    <row r="4665" spans="6:6">
      <c r="F4665" t="str">
        <f t="shared" si="73"/>
        <v/>
      </c>
    </row>
    <row r="4666" spans="6:6">
      <c r="F4666" t="str">
        <f t="shared" si="73"/>
        <v/>
      </c>
    </row>
    <row r="4667" spans="6:6">
      <c r="F4667" t="str">
        <f t="shared" si="73"/>
        <v/>
      </c>
    </row>
    <row r="4668" spans="6:6">
      <c r="F4668" t="str">
        <f t="shared" si="73"/>
        <v/>
      </c>
    </row>
    <row r="4669" spans="6:6">
      <c r="F4669" t="str">
        <f t="shared" si="73"/>
        <v/>
      </c>
    </row>
    <row r="4670" spans="6:6">
      <c r="F4670" t="str">
        <f t="shared" si="73"/>
        <v/>
      </c>
    </row>
    <row r="4671" spans="6:6">
      <c r="F4671" t="str">
        <f t="shared" si="73"/>
        <v/>
      </c>
    </row>
    <row r="4672" spans="6:6">
      <c r="F4672" t="str">
        <f t="shared" si="73"/>
        <v/>
      </c>
    </row>
    <row r="4673" spans="6:6">
      <c r="F4673" t="str">
        <f t="shared" si="73"/>
        <v/>
      </c>
    </row>
    <row r="4674" spans="6:6">
      <c r="F4674" t="str">
        <f t="shared" si="73"/>
        <v/>
      </c>
    </row>
    <row r="4675" spans="6:6">
      <c r="F4675" t="str">
        <f t="shared" si="73"/>
        <v/>
      </c>
    </row>
    <row r="4676" spans="6:6">
      <c r="F4676" t="str">
        <f t="shared" si="73"/>
        <v/>
      </c>
    </row>
    <row r="4677" spans="6:6">
      <c r="F4677" t="str">
        <f t="shared" si="73"/>
        <v/>
      </c>
    </row>
    <row r="4678" spans="6:6">
      <c r="F4678" t="str">
        <f t="shared" si="73"/>
        <v/>
      </c>
    </row>
    <row r="4679" spans="6:6">
      <c r="F4679" t="str">
        <f t="shared" si="73"/>
        <v/>
      </c>
    </row>
    <row r="4680" spans="6:6">
      <c r="F4680" t="str">
        <f t="shared" si="73"/>
        <v/>
      </c>
    </row>
    <row r="4681" spans="6:6">
      <c r="F4681" t="str">
        <f t="shared" si="73"/>
        <v/>
      </c>
    </row>
    <row r="4682" spans="6:6">
      <c r="F4682" t="str">
        <f t="shared" si="73"/>
        <v/>
      </c>
    </row>
    <row r="4683" spans="6:6">
      <c r="F4683" t="str">
        <f t="shared" si="73"/>
        <v/>
      </c>
    </row>
    <row r="4684" spans="6:6">
      <c r="F4684" t="str">
        <f t="shared" si="73"/>
        <v/>
      </c>
    </row>
    <row r="4685" spans="6:6">
      <c r="F4685" t="str">
        <f t="shared" ref="F4685:F4748" si="74">RIGHT(D4685,2)</f>
        <v/>
      </c>
    </row>
    <row r="4686" spans="6:6">
      <c r="F4686" t="str">
        <f t="shared" si="74"/>
        <v/>
      </c>
    </row>
    <row r="4687" spans="6:6">
      <c r="F4687" t="str">
        <f t="shared" si="74"/>
        <v/>
      </c>
    </row>
    <row r="4688" spans="6:6">
      <c r="F4688" t="str">
        <f t="shared" si="74"/>
        <v/>
      </c>
    </row>
    <row r="4689" spans="6:6">
      <c r="F4689" t="str">
        <f t="shared" si="74"/>
        <v/>
      </c>
    </row>
    <row r="4690" spans="6:6">
      <c r="F4690" t="str">
        <f t="shared" si="74"/>
        <v/>
      </c>
    </row>
    <row r="4691" spans="6:6">
      <c r="F4691" t="str">
        <f t="shared" si="74"/>
        <v/>
      </c>
    </row>
    <row r="4692" spans="6:6">
      <c r="F4692" t="str">
        <f t="shared" si="74"/>
        <v/>
      </c>
    </row>
    <row r="4693" spans="6:6">
      <c r="F4693" t="str">
        <f t="shared" si="74"/>
        <v/>
      </c>
    </row>
    <row r="4694" spans="6:6">
      <c r="F4694" t="str">
        <f t="shared" si="74"/>
        <v/>
      </c>
    </row>
    <row r="4695" spans="6:6">
      <c r="F4695" t="str">
        <f t="shared" si="74"/>
        <v/>
      </c>
    </row>
    <row r="4696" spans="6:6">
      <c r="F4696" t="str">
        <f t="shared" si="74"/>
        <v/>
      </c>
    </row>
    <row r="4697" spans="6:6">
      <c r="F4697" t="str">
        <f t="shared" si="74"/>
        <v/>
      </c>
    </row>
    <row r="4698" spans="6:6">
      <c r="F4698" t="str">
        <f t="shared" si="74"/>
        <v/>
      </c>
    </row>
    <row r="4699" spans="6:6">
      <c r="F4699" t="str">
        <f t="shared" si="74"/>
        <v/>
      </c>
    </row>
    <row r="4700" spans="6:6">
      <c r="F4700" t="str">
        <f t="shared" si="74"/>
        <v/>
      </c>
    </row>
    <row r="4701" spans="6:6">
      <c r="F4701" t="str">
        <f t="shared" si="74"/>
        <v/>
      </c>
    </row>
    <row r="4702" spans="6:6">
      <c r="F4702" t="str">
        <f t="shared" si="74"/>
        <v/>
      </c>
    </row>
    <row r="4703" spans="6:6">
      <c r="F4703" t="str">
        <f t="shared" si="74"/>
        <v/>
      </c>
    </row>
    <row r="4704" spans="6:6">
      <c r="F4704" t="str">
        <f t="shared" si="74"/>
        <v/>
      </c>
    </row>
    <row r="4705" spans="6:6">
      <c r="F4705" t="str">
        <f t="shared" si="74"/>
        <v/>
      </c>
    </row>
    <row r="4706" spans="6:6">
      <c r="F4706" t="str">
        <f t="shared" si="74"/>
        <v/>
      </c>
    </row>
    <row r="4707" spans="6:6">
      <c r="F4707" t="str">
        <f t="shared" si="74"/>
        <v/>
      </c>
    </row>
    <row r="4708" spans="6:6">
      <c r="F4708" t="str">
        <f t="shared" si="74"/>
        <v/>
      </c>
    </row>
    <row r="4709" spans="6:6">
      <c r="F4709" t="str">
        <f t="shared" si="74"/>
        <v/>
      </c>
    </row>
    <row r="4710" spans="6:6">
      <c r="F4710" t="str">
        <f t="shared" si="74"/>
        <v/>
      </c>
    </row>
    <row r="4711" spans="6:6">
      <c r="F4711" t="str">
        <f t="shared" si="74"/>
        <v/>
      </c>
    </row>
    <row r="4712" spans="6:6">
      <c r="F4712" t="str">
        <f t="shared" si="74"/>
        <v/>
      </c>
    </row>
    <row r="4713" spans="6:6">
      <c r="F4713" t="str">
        <f t="shared" si="74"/>
        <v/>
      </c>
    </row>
    <row r="4714" spans="6:6">
      <c r="F4714" t="str">
        <f t="shared" si="74"/>
        <v/>
      </c>
    </row>
    <row r="4715" spans="6:6">
      <c r="F4715" t="str">
        <f t="shared" si="74"/>
        <v/>
      </c>
    </row>
    <row r="4716" spans="6:6">
      <c r="F4716" t="str">
        <f t="shared" si="74"/>
        <v/>
      </c>
    </row>
    <row r="4717" spans="6:6">
      <c r="F4717" t="str">
        <f t="shared" si="74"/>
        <v/>
      </c>
    </row>
    <row r="4718" spans="6:6">
      <c r="F4718" t="str">
        <f t="shared" si="74"/>
        <v/>
      </c>
    </row>
    <row r="4719" spans="6:6">
      <c r="F4719" t="str">
        <f t="shared" si="74"/>
        <v/>
      </c>
    </row>
    <row r="4720" spans="6:6">
      <c r="F4720" t="str">
        <f t="shared" si="74"/>
        <v/>
      </c>
    </row>
    <row r="4721" spans="6:6">
      <c r="F4721" t="str">
        <f t="shared" si="74"/>
        <v/>
      </c>
    </row>
    <row r="4722" spans="6:6">
      <c r="F4722" t="str">
        <f t="shared" si="74"/>
        <v/>
      </c>
    </row>
    <row r="4723" spans="6:6">
      <c r="F4723" t="str">
        <f t="shared" si="74"/>
        <v/>
      </c>
    </row>
    <row r="4724" spans="6:6">
      <c r="F4724" t="str">
        <f t="shared" si="74"/>
        <v/>
      </c>
    </row>
    <row r="4725" spans="6:6">
      <c r="F4725" t="str">
        <f t="shared" si="74"/>
        <v/>
      </c>
    </row>
    <row r="4726" spans="6:6">
      <c r="F4726" t="str">
        <f t="shared" si="74"/>
        <v/>
      </c>
    </row>
    <row r="4727" spans="6:6">
      <c r="F4727" t="str">
        <f t="shared" si="74"/>
        <v/>
      </c>
    </row>
    <row r="4728" spans="6:6">
      <c r="F4728" t="str">
        <f t="shared" si="74"/>
        <v/>
      </c>
    </row>
    <row r="4729" spans="6:6">
      <c r="F4729" t="str">
        <f t="shared" si="74"/>
        <v/>
      </c>
    </row>
    <row r="4730" spans="6:6">
      <c r="F4730" t="str">
        <f t="shared" si="74"/>
        <v/>
      </c>
    </row>
    <row r="4731" spans="6:6">
      <c r="F4731" t="str">
        <f t="shared" si="74"/>
        <v/>
      </c>
    </row>
    <row r="4732" spans="6:6">
      <c r="F4732" t="str">
        <f t="shared" si="74"/>
        <v/>
      </c>
    </row>
    <row r="4733" spans="6:6">
      <c r="F4733" t="str">
        <f t="shared" si="74"/>
        <v/>
      </c>
    </row>
    <row r="4734" spans="6:6">
      <c r="F4734" t="str">
        <f t="shared" si="74"/>
        <v/>
      </c>
    </row>
    <row r="4735" spans="6:6">
      <c r="F4735" t="str">
        <f t="shared" si="74"/>
        <v/>
      </c>
    </row>
    <row r="4736" spans="6:6">
      <c r="F4736" t="str">
        <f t="shared" si="74"/>
        <v/>
      </c>
    </row>
    <row r="4737" spans="6:6">
      <c r="F4737" t="str">
        <f t="shared" si="74"/>
        <v/>
      </c>
    </row>
    <row r="4738" spans="6:6">
      <c r="F4738" t="str">
        <f t="shared" si="74"/>
        <v/>
      </c>
    </row>
    <row r="4739" spans="6:6">
      <c r="F4739" t="str">
        <f t="shared" si="74"/>
        <v/>
      </c>
    </row>
    <row r="4740" spans="6:6">
      <c r="F4740" t="str">
        <f t="shared" si="74"/>
        <v/>
      </c>
    </row>
    <row r="4741" spans="6:6">
      <c r="F4741" t="str">
        <f t="shared" si="74"/>
        <v/>
      </c>
    </row>
    <row r="4742" spans="6:6">
      <c r="F4742" t="str">
        <f t="shared" si="74"/>
        <v/>
      </c>
    </row>
    <row r="4743" spans="6:6">
      <c r="F4743" t="str">
        <f t="shared" si="74"/>
        <v/>
      </c>
    </row>
    <row r="4744" spans="6:6">
      <c r="F4744" t="str">
        <f t="shared" si="74"/>
        <v/>
      </c>
    </row>
    <row r="4745" spans="6:6">
      <c r="F4745" t="str">
        <f t="shared" si="74"/>
        <v/>
      </c>
    </row>
    <row r="4746" spans="6:6">
      <c r="F4746" t="str">
        <f t="shared" si="74"/>
        <v/>
      </c>
    </row>
    <row r="4747" spans="6:6">
      <c r="F4747" t="str">
        <f t="shared" si="74"/>
        <v/>
      </c>
    </row>
    <row r="4748" spans="6:6">
      <c r="F4748" t="str">
        <f t="shared" si="74"/>
        <v/>
      </c>
    </row>
    <row r="4749" spans="6:6">
      <c r="F4749" t="str">
        <f t="shared" ref="F4749:F4812" si="75">RIGHT(D4749,2)</f>
        <v/>
      </c>
    </row>
    <row r="4750" spans="6:6">
      <c r="F4750" t="str">
        <f t="shared" si="75"/>
        <v/>
      </c>
    </row>
    <row r="4751" spans="6:6">
      <c r="F4751" t="str">
        <f t="shared" si="75"/>
        <v/>
      </c>
    </row>
    <row r="4752" spans="6:6">
      <c r="F4752" t="str">
        <f t="shared" si="75"/>
        <v/>
      </c>
    </row>
    <row r="4753" spans="6:6">
      <c r="F4753" t="str">
        <f t="shared" si="75"/>
        <v/>
      </c>
    </row>
    <row r="4754" spans="6:6">
      <c r="F4754" t="str">
        <f t="shared" si="75"/>
        <v/>
      </c>
    </row>
    <row r="4755" spans="6:6">
      <c r="F4755" t="str">
        <f t="shared" si="75"/>
        <v/>
      </c>
    </row>
    <row r="4756" spans="6:6">
      <c r="F4756" t="str">
        <f t="shared" si="75"/>
        <v/>
      </c>
    </row>
    <row r="4757" spans="6:6">
      <c r="F4757" t="str">
        <f t="shared" si="75"/>
        <v/>
      </c>
    </row>
    <row r="4758" spans="6:6">
      <c r="F4758" t="str">
        <f t="shared" si="75"/>
        <v/>
      </c>
    </row>
    <row r="4759" spans="6:6">
      <c r="F4759" t="str">
        <f t="shared" si="75"/>
        <v/>
      </c>
    </row>
    <row r="4760" spans="6:6">
      <c r="F4760" t="str">
        <f t="shared" si="75"/>
        <v/>
      </c>
    </row>
    <row r="4761" spans="6:6">
      <c r="F4761" t="str">
        <f t="shared" si="75"/>
        <v/>
      </c>
    </row>
    <row r="4762" spans="6:6">
      <c r="F4762" t="str">
        <f t="shared" si="75"/>
        <v/>
      </c>
    </row>
    <row r="4763" spans="6:6">
      <c r="F4763" t="str">
        <f t="shared" si="75"/>
        <v/>
      </c>
    </row>
    <row r="4764" spans="6:6">
      <c r="F4764" t="str">
        <f t="shared" si="75"/>
        <v/>
      </c>
    </row>
    <row r="4765" spans="6:6">
      <c r="F4765" t="str">
        <f t="shared" si="75"/>
        <v/>
      </c>
    </row>
    <row r="4766" spans="6:6">
      <c r="F4766" t="str">
        <f t="shared" si="75"/>
        <v/>
      </c>
    </row>
    <row r="4767" spans="6:6">
      <c r="F4767" t="str">
        <f t="shared" si="75"/>
        <v/>
      </c>
    </row>
    <row r="4768" spans="6:6">
      <c r="F4768" t="str">
        <f t="shared" si="75"/>
        <v/>
      </c>
    </row>
    <row r="4769" spans="6:6">
      <c r="F4769" t="str">
        <f t="shared" si="75"/>
        <v/>
      </c>
    </row>
    <row r="4770" spans="6:6">
      <c r="F4770" t="str">
        <f t="shared" si="75"/>
        <v/>
      </c>
    </row>
    <row r="4771" spans="6:6">
      <c r="F4771" t="str">
        <f t="shared" si="75"/>
        <v/>
      </c>
    </row>
    <row r="4772" spans="6:6">
      <c r="F4772" t="str">
        <f t="shared" si="75"/>
        <v/>
      </c>
    </row>
    <row r="4773" spans="6:6">
      <c r="F4773" t="str">
        <f t="shared" si="75"/>
        <v/>
      </c>
    </row>
    <row r="4774" spans="6:6">
      <c r="F4774" t="str">
        <f t="shared" si="75"/>
        <v/>
      </c>
    </row>
    <row r="4775" spans="6:6">
      <c r="F4775" t="str">
        <f t="shared" si="75"/>
        <v/>
      </c>
    </row>
    <row r="4776" spans="6:6">
      <c r="F4776" t="str">
        <f t="shared" si="75"/>
        <v/>
      </c>
    </row>
    <row r="4777" spans="6:6">
      <c r="F4777" t="str">
        <f t="shared" si="75"/>
        <v/>
      </c>
    </row>
    <row r="4778" spans="6:6">
      <c r="F4778" t="str">
        <f t="shared" si="75"/>
        <v/>
      </c>
    </row>
    <row r="4779" spans="6:6">
      <c r="F4779" t="str">
        <f t="shared" si="75"/>
        <v/>
      </c>
    </row>
    <row r="4780" spans="6:6">
      <c r="F4780" t="str">
        <f t="shared" si="75"/>
        <v/>
      </c>
    </row>
    <row r="4781" spans="6:6">
      <c r="F4781" t="str">
        <f t="shared" si="75"/>
        <v/>
      </c>
    </row>
    <row r="4782" spans="6:6">
      <c r="F4782" t="str">
        <f t="shared" si="75"/>
        <v/>
      </c>
    </row>
    <row r="4783" spans="6:6">
      <c r="F4783" t="str">
        <f t="shared" si="75"/>
        <v/>
      </c>
    </row>
    <row r="4784" spans="6:6">
      <c r="F4784" t="str">
        <f t="shared" si="75"/>
        <v/>
      </c>
    </row>
    <row r="4785" spans="6:6">
      <c r="F4785" t="str">
        <f t="shared" si="75"/>
        <v/>
      </c>
    </row>
    <row r="4786" spans="6:6">
      <c r="F4786" t="str">
        <f t="shared" si="75"/>
        <v/>
      </c>
    </row>
    <row r="4787" spans="6:6">
      <c r="F4787" t="str">
        <f t="shared" si="75"/>
        <v/>
      </c>
    </row>
    <row r="4788" spans="6:6">
      <c r="F4788" t="str">
        <f t="shared" si="75"/>
        <v/>
      </c>
    </row>
    <row r="4789" spans="6:6">
      <c r="F4789" t="str">
        <f t="shared" si="75"/>
        <v/>
      </c>
    </row>
    <row r="4790" spans="6:6">
      <c r="F4790" t="str">
        <f t="shared" si="75"/>
        <v/>
      </c>
    </row>
    <row r="4791" spans="6:6">
      <c r="F4791" t="str">
        <f t="shared" si="75"/>
        <v/>
      </c>
    </row>
    <row r="4792" spans="6:6">
      <c r="F4792" t="str">
        <f t="shared" si="75"/>
        <v/>
      </c>
    </row>
    <row r="4793" spans="6:6">
      <c r="F4793" t="str">
        <f t="shared" si="75"/>
        <v/>
      </c>
    </row>
    <row r="4794" spans="6:6">
      <c r="F4794" t="str">
        <f t="shared" si="75"/>
        <v/>
      </c>
    </row>
    <row r="4795" spans="6:6">
      <c r="F4795" t="str">
        <f t="shared" si="75"/>
        <v/>
      </c>
    </row>
    <row r="4796" spans="6:6">
      <c r="F4796" t="str">
        <f t="shared" si="75"/>
        <v/>
      </c>
    </row>
    <row r="4797" spans="6:6">
      <c r="F4797" t="str">
        <f t="shared" si="75"/>
        <v/>
      </c>
    </row>
    <row r="4798" spans="6:6">
      <c r="F4798" t="str">
        <f t="shared" si="75"/>
        <v/>
      </c>
    </row>
    <row r="4799" spans="6:6">
      <c r="F4799" t="str">
        <f t="shared" si="75"/>
        <v/>
      </c>
    </row>
    <row r="4800" spans="6:6">
      <c r="F4800" t="str">
        <f t="shared" si="75"/>
        <v/>
      </c>
    </row>
    <row r="4801" spans="6:6">
      <c r="F4801" t="str">
        <f t="shared" si="75"/>
        <v/>
      </c>
    </row>
    <row r="4802" spans="6:6">
      <c r="F4802" t="str">
        <f t="shared" si="75"/>
        <v/>
      </c>
    </row>
    <row r="4803" spans="6:6">
      <c r="F4803" t="str">
        <f t="shared" si="75"/>
        <v/>
      </c>
    </row>
    <row r="4804" spans="6:6">
      <c r="F4804" t="str">
        <f t="shared" si="75"/>
        <v/>
      </c>
    </row>
    <row r="4805" spans="6:6">
      <c r="F4805" t="str">
        <f t="shared" si="75"/>
        <v/>
      </c>
    </row>
    <row r="4806" spans="6:6">
      <c r="F4806" t="str">
        <f t="shared" si="75"/>
        <v/>
      </c>
    </row>
    <row r="4807" spans="6:6">
      <c r="F4807" t="str">
        <f t="shared" si="75"/>
        <v/>
      </c>
    </row>
    <row r="4808" spans="6:6">
      <c r="F4808" t="str">
        <f t="shared" si="75"/>
        <v/>
      </c>
    </row>
    <row r="4809" spans="6:6">
      <c r="F4809" t="str">
        <f t="shared" si="75"/>
        <v/>
      </c>
    </row>
    <row r="4810" spans="6:6">
      <c r="F4810" t="str">
        <f t="shared" si="75"/>
        <v/>
      </c>
    </row>
    <row r="4811" spans="6:6">
      <c r="F4811" t="str">
        <f t="shared" si="75"/>
        <v/>
      </c>
    </row>
    <row r="4812" spans="6:6">
      <c r="F4812" t="str">
        <f t="shared" si="75"/>
        <v/>
      </c>
    </row>
    <row r="4813" spans="6:6">
      <c r="F4813" t="str">
        <f t="shared" ref="F4813:F4876" si="76">RIGHT(D4813,2)</f>
        <v/>
      </c>
    </row>
    <row r="4814" spans="6:6">
      <c r="F4814" t="str">
        <f t="shared" si="76"/>
        <v/>
      </c>
    </row>
    <row r="4815" spans="6:6">
      <c r="F4815" t="str">
        <f t="shared" si="76"/>
        <v/>
      </c>
    </row>
    <row r="4816" spans="6:6">
      <c r="F4816" t="str">
        <f t="shared" si="76"/>
        <v/>
      </c>
    </row>
    <row r="4817" spans="6:6">
      <c r="F4817" t="str">
        <f t="shared" si="76"/>
        <v/>
      </c>
    </row>
    <row r="4818" spans="6:6">
      <c r="F4818" t="str">
        <f t="shared" si="76"/>
        <v/>
      </c>
    </row>
    <row r="4819" spans="6:6">
      <c r="F4819" t="str">
        <f t="shared" si="76"/>
        <v/>
      </c>
    </row>
    <row r="4820" spans="6:6">
      <c r="F4820" t="str">
        <f t="shared" si="76"/>
        <v/>
      </c>
    </row>
    <row r="4821" spans="6:6">
      <c r="F4821" t="str">
        <f t="shared" si="76"/>
        <v/>
      </c>
    </row>
    <row r="4822" spans="6:6">
      <c r="F4822" t="str">
        <f t="shared" si="76"/>
        <v/>
      </c>
    </row>
    <row r="4823" spans="6:6">
      <c r="F4823" t="str">
        <f t="shared" si="76"/>
        <v/>
      </c>
    </row>
    <row r="4824" spans="6:6">
      <c r="F4824" t="str">
        <f t="shared" si="76"/>
        <v/>
      </c>
    </row>
    <row r="4825" spans="6:6">
      <c r="F4825" t="str">
        <f t="shared" si="76"/>
        <v/>
      </c>
    </row>
    <row r="4826" spans="6:6">
      <c r="F4826" t="str">
        <f t="shared" si="76"/>
        <v/>
      </c>
    </row>
    <row r="4827" spans="6:6">
      <c r="F4827" t="str">
        <f t="shared" si="76"/>
        <v/>
      </c>
    </row>
    <row r="4828" spans="6:6">
      <c r="F4828" t="str">
        <f t="shared" si="76"/>
        <v/>
      </c>
    </row>
    <row r="4829" spans="6:6">
      <c r="F4829" t="str">
        <f t="shared" si="76"/>
        <v/>
      </c>
    </row>
    <row r="4830" spans="6:6">
      <c r="F4830" t="str">
        <f t="shared" si="76"/>
        <v/>
      </c>
    </row>
    <row r="4831" spans="6:6">
      <c r="F4831" t="str">
        <f t="shared" si="76"/>
        <v/>
      </c>
    </row>
    <row r="4832" spans="6:6">
      <c r="F4832" t="str">
        <f t="shared" si="76"/>
        <v/>
      </c>
    </row>
    <row r="4833" spans="6:6">
      <c r="F4833" t="str">
        <f t="shared" si="76"/>
        <v/>
      </c>
    </row>
    <row r="4834" spans="6:6">
      <c r="F4834" t="str">
        <f t="shared" si="76"/>
        <v/>
      </c>
    </row>
    <row r="4835" spans="6:6">
      <c r="F4835" t="str">
        <f t="shared" si="76"/>
        <v/>
      </c>
    </row>
    <row r="4836" spans="6:6">
      <c r="F4836" t="str">
        <f t="shared" si="76"/>
        <v/>
      </c>
    </row>
    <row r="4837" spans="6:6">
      <c r="F4837" t="str">
        <f t="shared" si="76"/>
        <v/>
      </c>
    </row>
    <row r="4838" spans="6:6">
      <c r="F4838" t="str">
        <f t="shared" si="76"/>
        <v/>
      </c>
    </row>
    <row r="4839" spans="6:6">
      <c r="F4839" t="str">
        <f t="shared" si="76"/>
        <v/>
      </c>
    </row>
    <row r="4840" spans="6:6">
      <c r="F4840" t="str">
        <f t="shared" si="76"/>
        <v/>
      </c>
    </row>
    <row r="4841" spans="6:6">
      <c r="F4841" t="str">
        <f t="shared" si="76"/>
        <v/>
      </c>
    </row>
    <row r="4842" spans="6:6">
      <c r="F4842" t="str">
        <f t="shared" si="76"/>
        <v/>
      </c>
    </row>
    <row r="4843" spans="6:6">
      <c r="F4843" t="str">
        <f t="shared" si="76"/>
        <v/>
      </c>
    </row>
    <row r="4844" spans="6:6">
      <c r="F4844" t="str">
        <f t="shared" si="76"/>
        <v/>
      </c>
    </row>
    <row r="4845" spans="6:6">
      <c r="F4845" t="str">
        <f t="shared" si="76"/>
        <v/>
      </c>
    </row>
    <row r="4846" spans="6:6">
      <c r="F4846" t="str">
        <f t="shared" si="76"/>
        <v/>
      </c>
    </row>
    <row r="4847" spans="6:6">
      <c r="F4847" t="str">
        <f t="shared" si="76"/>
        <v/>
      </c>
    </row>
    <row r="4848" spans="6:6">
      <c r="F4848" t="str">
        <f t="shared" si="76"/>
        <v/>
      </c>
    </row>
    <row r="4849" spans="6:6">
      <c r="F4849" t="str">
        <f t="shared" si="76"/>
        <v/>
      </c>
    </row>
    <row r="4850" spans="6:6">
      <c r="F4850" t="str">
        <f t="shared" si="76"/>
        <v/>
      </c>
    </row>
    <row r="4851" spans="6:6">
      <c r="F4851" t="str">
        <f t="shared" si="76"/>
        <v/>
      </c>
    </row>
    <row r="4852" spans="6:6">
      <c r="F4852" t="str">
        <f t="shared" si="76"/>
        <v/>
      </c>
    </row>
    <row r="4853" spans="6:6">
      <c r="F4853" t="str">
        <f t="shared" si="76"/>
        <v/>
      </c>
    </row>
    <row r="4854" spans="6:6">
      <c r="F4854" t="str">
        <f t="shared" si="76"/>
        <v/>
      </c>
    </row>
    <row r="4855" spans="6:6">
      <c r="F4855" t="str">
        <f t="shared" si="76"/>
        <v/>
      </c>
    </row>
    <row r="4856" spans="6:6">
      <c r="F4856" t="str">
        <f t="shared" si="76"/>
        <v/>
      </c>
    </row>
    <row r="4857" spans="6:6">
      <c r="F4857" t="str">
        <f t="shared" si="76"/>
        <v/>
      </c>
    </row>
    <row r="4858" spans="6:6">
      <c r="F4858" t="str">
        <f t="shared" si="76"/>
        <v/>
      </c>
    </row>
    <row r="4859" spans="6:6">
      <c r="F4859" t="str">
        <f t="shared" si="76"/>
        <v/>
      </c>
    </row>
    <row r="4860" spans="6:6">
      <c r="F4860" t="str">
        <f t="shared" si="76"/>
        <v/>
      </c>
    </row>
    <row r="4861" spans="6:6">
      <c r="F4861" t="str">
        <f t="shared" si="76"/>
        <v/>
      </c>
    </row>
    <row r="4862" spans="6:6">
      <c r="F4862" t="str">
        <f t="shared" si="76"/>
        <v/>
      </c>
    </row>
    <row r="4863" spans="6:6">
      <c r="F4863" t="str">
        <f t="shared" si="76"/>
        <v/>
      </c>
    </row>
    <row r="4864" spans="6:6">
      <c r="F4864" t="str">
        <f t="shared" si="76"/>
        <v/>
      </c>
    </row>
    <row r="4865" spans="6:6">
      <c r="F4865" t="str">
        <f t="shared" si="76"/>
        <v/>
      </c>
    </row>
    <row r="4866" spans="6:6">
      <c r="F4866" t="str">
        <f t="shared" si="76"/>
        <v/>
      </c>
    </row>
    <row r="4867" spans="6:6">
      <c r="F4867" t="str">
        <f t="shared" si="76"/>
        <v/>
      </c>
    </row>
    <row r="4868" spans="6:6">
      <c r="F4868" t="str">
        <f t="shared" si="76"/>
        <v/>
      </c>
    </row>
    <row r="4869" spans="6:6">
      <c r="F4869" t="str">
        <f t="shared" si="76"/>
        <v/>
      </c>
    </row>
    <row r="4870" spans="6:6">
      <c r="F4870" t="str">
        <f t="shared" si="76"/>
        <v/>
      </c>
    </row>
    <row r="4871" spans="6:6">
      <c r="F4871" t="str">
        <f t="shared" si="76"/>
        <v/>
      </c>
    </row>
    <row r="4872" spans="6:6">
      <c r="F4872" t="str">
        <f t="shared" si="76"/>
        <v/>
      </c>
    </row>
    <row r="4873" spans="6:6">
      <c r="F4873" t="str">
        <f t="shared" si="76"/>
        <v/>
      </c>
    </row>
    <row r="4874" spans="6:6">
      <c r="F4874" t="str">
        <f t="shared" si="76"/>
        <v/>
      </c>
    </row>
    <row r="4875" spans="6:6">
      <c r="F4875" t="str">
        <f t="shared" si="76"/>
        <v/>
      </c>
    </row>
    <row r="4876" spans="6:6">
      <c r="F4876" t="str">
        <f t="shared" si="76"/>
        <v/>
      </c>
    </row>
    <row r="4877" spans="6:6">
      <c r="F4877" t="str">
        <f t="shared" ref="F4877:F4940" si="77">RIGHT(D4877,2)</f>
        <v/>
      </c>
    </row>
    <row r="4878" spans="6:6">
      <c r="F4878" t="str">
        <f t="shared" si="77"/>
        <v/>
      </c>
    </row>
    <row r="4879" spans="6:6">
      <c r="F4879" t="str">
        <f t="shared" si="77"/>
        <v/>
      </c>
    </row>
    <row r="4880" spans="6:6">
      <c r="F4880" t="str">
        <f t="shared" si="77"/>
        <v/>
      </c>
    </row>
    <row r="4881" spans="6:6">
      <c r="F4881" t="str">
        <f t="shared" si="77"/>
        <v/>
      </c>
    </row>
    <row r="4882" spans="6:6">
      <c r="F4882" t="str">
        <f t="shared" si="77"/>
        <v/>
      </c>
    </row>
    <row r="4883" spans="6:6">
      <c r="F4883" t="str">
        <f t="shared" si="77"/>
        <v/>
      </c>
    </row>
    <row r="4884" spans="6:6">
      <c r="F4884" t="str">
        <f t="shared" si="77"/>
        <v/>
      </c>
    </row>
    <row r="4885" spans="6:6">
      <c r="F4885" t="str">
        <f t="shared" si="77"/>
        <v/>
      </c>
    </row>
    <row r="4886" spans="6:6">
      <c r="F4886" t="str">
        <f t="shared" si="77"/>
        <v/>
      </c>
    </row>
    <row r="4887" spans="6:6">
      <c r="F4887" t="str">
        <f t="shared" si="77"/>
        <v/>
      </c>
    </row>
    <row r="4888" spans="6:6">
      <c r="F4888" t="str">
        <f t="shared" si="77"/>
        <v/>
      </c>
    </row>
    <row r="4889" spans="6:6">
      <c r="F4889" t="str">
        <f t="shared" si="77"/>
        <v/>
      </c>
    </row>
    <row r="4890" spans="6:6">
      <c r="F4890" t="str">
        <f t="shared" si="77"/>
        <v/>
      </c>
    </row>
    <row r="4891" spans="6:6">
      <c r="F4891" t="str">
        <f t="shared" si="77"/>
        <v/>
      </c>
    </row>
    <row r="4892" spans="6:6">
      <c r="F4892" t="str">
        <f t="shared" si="77"/>
        <v/>
      </c>
    </row>
    <row r="4893" spans="6:6">
      <c r="F4893" t="str">
        <f t="shared" si="77"/>
        <v/>
      </c>
    </row>
    <row r="4894" spans="6:6">
      <c r="F4894" t="str">
        <f t="shared" si="77"/>
        <v/>
      </c>
    </row>
    <row r="4895" spans="6:6">
      <c r="F4895" t="str">
        <f t="shared" si="77"/>
        <v/>
      </c>
    </row>
    <row r="4896" spans="6:6">
      <c r="F4896" t="str">
        <f t="shared" si="77"/>
        <v/>
      </c>
    </row>
    <row r="4897" spans="6:6">
      <c r="F4897" t="str">
        <f t="shared" si="77"/>
        <v/>
      </c>
    </row>
    <row r="4898" spans="6:6">
      <c r="F4898" t="str">
        <f t="shared" si="77"/>
        <v/>
      </c>
    </row>
    <row r="4899" spans="6:6">
      <c r="F4899" t="str">
        <f t="shared" si="77"/>
        <v/>
      </c>
    </row>
    <row r="4900" spans="6:6">
      <c r="F4900" t="str">
        <f t="shared" si="77"/>
        <v/>
      </c>
    </row>
    <row r="4901" spans="6:6">
      <c r="F4901" t="str">
        <f t="shared" si="77"/>
        <v/>
      </c>
    </row>
    <row r="4902" spans="6:6">
      <c r="F4902" t="str">
        <f t="shared" si="77"/>
        <v/>
      </c>
    </row>
    <row r="4903" spans="6:6">
      <c r="F4903" t="str">
        <f t="shared" si="77"/>
        <v/>
      </c>
    </row>
    <row r="4904" spans="6:6">
      <c r="F4904" t="str">
        <f t="shared" si="77"/>
        <v/>
      </c>
    </row>
    <row r="4905" spans="6:6">
      <c r="F4905" t="str">
        <f t="shared" si="77"/>
        <v/>
      </c>
    </row>
    <row r="4906" spans="6:6">
      <c r="F4906" t="str">
        <f t="shared" si="77"/>
        <v/>
      </c>
    </row>
    <row r="4907" spans="6:6">
      <c r="F4907" t="str">
        <f t="shared" si="77"/>
        <v/>
      </c>
    </row>
    <row r="4908" spans="6:6">
      <c r="F4908" t="str">
        <f t="shared" si="77"/>
        <v/>
      </c>
    </row>
    <row r="4909" spans="6:6">
      <c r="F4909" t="str">
        <f t="shared" si="77"/>
        <v/>
      </c>
    </row>
    <row r="4910" spans="6:6">
      <c r="F4910" t="str">
        <f t="shared" si="77"/>
        <v/>
      </c>
    </row>
    <row r="4911" spans="6:6">
      <c r="F4911" t="str">
        <f t="shared" si="77"/>
        <v/>
      </c>
    </row>
    <row r="4912" spans="6:6">
      <c r="F4912" t="str">
        <f t="shared" si="77"/>
        <v/>
      </c>
    </row>
    <row r="4913" spans="6:6">
      <c r="F4913" t="str">
        <f t="shared" si="77"/>
        <v/>
      </c>
    </row>
    <row r="4914" spans="6:6">
      <c r="F4914" t="str">
        <f t="shared" si="77"/>
        <v/>
      </c>
    </row>
    <row r="4915" spans="6:6">
      <c r="F4915" t="str">
        <f t="shared" si="77"/>
        <v/>
      </c>
    </row>
    <row r="4916" spans="6:6">
      <c r="F4916" t="str">
        <f t="shared" si="77"/>
        <v/>
      </c>
    </row>
    <row r="4917" spans="6:6">
      <c r="F4917" t="str">
        <f t="shared" si="77"/>
        <v/>
      </c>
    </row>
    <row r="4918" spans="6:6">
      <c r="F4918" t="str">
        <f t="shared" si="77"/>
        <v/>
      </c>
    </row>
    <row r="4919" spans="6:6">
      <c r="F4919" t="str">
        <f t="shared" si="77"/>
        <v/>
      </c>
    </row>
    <row r="4920" spans="6:6">
      <c r="F4920" t="str">
        <f t="shared" si="77"/>
        <v/>
      </c>
    </row>
    <row r="4921" spans="6:6">
      <c r="F4921" t="str">
        <f t="shared" si="77"/>
        <v/>
      </c>
    </row>
    <row r="4922" spans="6:6">
      <c r="F4922" t="str">
        <f t="shared" si="77"/>
        <v/>
      </c>
    </row>
    <row r="4923" spans="6:6">
      <c r="F4923" t="str">
        <f t="shared" si="77"/>
        <v/>
      </c>
    </row>
    <row r="4924" spans="6:6">
      <c r="F4924" t="str">
        <f t="shared" si="77"/>
        <v/>
      </c>
    </row>
    <row r="4925" spans="6:6">
      <c r="F4925" t="str">
        <f t="shared" si="77"/>
        <v/>
      </c>
    </row>
    <row r="4926" spans="6:6">
      <c r="F4926" t="str">
        <f t="shared" si="77"/>
        <v/>
      </c>
    </row>
    <row r="4927" spans="6:6">
      <c r="F4927" t="str">
        <f t="shared" si="77"/>
        <v/>
      </c>
    </row>
    <row r="4928" spans="6:6">
      <c r="F4928" t="str">
        <f t="shared" si="77"/>
        <v/>
      </c>
    </row>
    <row r="4929" spans="6:6">
      <c r="F4929" t="str">
        <f t="shared" si="77"/>
        <v/>
      </c>
    </row>
    <row r="4930" spans="6:6">
      <c r="F4930" t="str">
        <f t="shared" si="77"/>
        <v/>
      </c>
    </row>
    <row r="4931" spans="6:6">
      <c r="F4931" t="str">
        <f t="shared" si="77"/>
        <v/>
      </c>
    </row>
    <row r="4932" spans="6:6">
      <c r="F4932" t="str">
        <f t="shared" si="77"/>
        <v/>
      </c>
    </row>
    <row r="4933" spans="6:6">
      <c r="F4933" t="str">
        <f t="shared" si="77"/>
        <v/>
      </c>
    </row>
    <row r="4934" spans="6:6">
      <c r="F4934" t="str">
        <f t="shared" si="77"/>
        <v/>
      </c>
    </row>
    <row r="4935" spans="6:6">
      <c r="F4935" t="str">
        <f t="shared" si="77"/>
        <v/>
      </c>
    </row>
    <row r="4936" spans="6:6">
      <c r="F4936" t="str">
        <f t="shared" si="77"/>
        <v/>
      </c>
    </row>
    <row r="4937" spans="6:6">
      <c r="F4937" t="str">
        <f t="shared" si="77"/>
        <v/>
      </c>
    </row>
    <row r="4938" spans="6:6">
      <c r="F4938" t="str">
        <f t="shared" si="77"/>
        <v/>
      </c>
    </row>
    <row r="4939" spans="6:6">
      <c r="F4939" t="str">
        <f t="shared" si="77"/>
        <v/>
      </c>
    </row>
    <row r="4940" spans="6:6">
      <c r="F4940" t="str">
        <f t="shared" si="77"/>
        <v/>
      </c>
    </row>
    <row r="4941" spans="6:6">
      <c r="F4941" t="str">
        <f t="shared" ref="F4941:F5004" si="78">RIGHT(D4941,2)</f>
        <v/>
      </c>
    </row>
    <row r="4942" spans="6:6">
      <c r="F4942" t="str">
        <f t="shared" si="78"/>
        <v/>
      </c>
    </row>
    <row r="4943" spans="6:6">
      <c r="F4943" t="str">
        <f t="shared" si="78"/>
        <v/>
      </c>
    </row>
    <row r="4944" spans="6:6">
      <c r="F4944" t="str">
        <f t="shared" si="78"/>
        <v/>
      </c>
    </row>
    <row r="4945" spans="6:6">
      <c r="F4945" t="str">
        <f t="shared" si="78"/>
        <v/>
      </c>
    </row>
    <row r="4946" spans="6:6">
      <c r="F4946" t="str">
        <f t="shared" si="78"/>
        <v/>
      </c>
    </row>
    <row r="4947" spans="6:6">
      <c r="F4947" t="str">
        <f t="shared" si="78"/>
        <v/>
      </c>
    </row>
    <row r="4948" spans="6:6">
      <c r="F4948" t="str">
        <f t="shared" si="78"/>
        <v/>
      </c>
    </row>
    <row r="4949" spans="6:6">
      <c r="F4949" t="str">
        <f t="shared" si="78"/>
        <v/>
      </c>
    </row>
    <row r="4950" spans="6:6">
      <c r="F4950" t="str">
        <f t="shared" si="78"/>
        <v/>
      </c>
    </row>
    <row r="4951" spans="6:6">
      <c r="F4951" t="str">
        <f t="shared" si="78"/>
        <v/>
      </c>
    </row>
    <row r="4952" spans="6:6">
      <c r="F4952" t="str">
        <f t="shared" si="78"/>
        <v/>
      </c>
    </row>
    <row r="4953" spans="6:6">
      <c r="F4953" t="str">
        <f t="shared" si="78"/>
        <v/>
      </c>
    </row>
    <row r="4954" spans="6:6">
      <c r="F4954" t="str">
        <f t="shared" si="78"/>
        <v/>
      </c>
    </row>
    <row r="4955" spans="6:6">
      <c r="F4955" t="str">
        <f t="shared" si="78"/>
        <v/>
      </c>
    </row>
    <row r="4956" spans="6:6">
      <c r="F4956" t="str">
        <f t="shared" si="78"/>
        <v/>
      </c>
    </row>
    <row r="4957" spans="6:6">
      <c r="F4957" t="str">
        <f t="shared" si="78"/>
        <v/>
      </c>
    </row>
    <row r="4958" spans="6:6">
      <c r="F4958" t="str">
        <f t="shared" si="78"/>
        <v/>
      </c>
    </row>
    <row r="4959" spans="6:6">
      <c r="F4959" t="str">
        <f t="shared" si="78"/>
        <v/>
      </c>
    </row>
    <row r="4960" spans="6:6">
      <c r="F4960" t="str">
        <f t="shared" si="78"/>
        <v/>
      </c>
    </row>
    <row r="4961" spans="6:6">
      <c r="F4961" t="str">
        <f t="shared" si="78"/>
        <v/>
      </c>
    </row>
    <row r="4962" spans="6:6">
      <c r="F4962" t="str">
        <f t="shared" si="78"/>
        <v/>
      </c>
    </row>
    <row r="4963" spans="6:6">
      <c r="F4963" t="str">
        <f t="shared" si="78"/>
        <v/>
      </c>
    </row>
    <row r="4964" spans="6:6">
      <c r="F4964" t="str">
        <f t="shared" si="78"/>
        <v/>
      </c>
    </row>
    <row r="4965" spans="6:6">
      <c r="F4965" t="str">
        <f t="shared" si="78"/>
        <v/>
      </c>
    </row>
    <row r="4966" spans="6:6">
      <c r="F4966" t="str">
        <f t="shared" si="78"/>
        <v/>
      </c>
    </row>
    <row r="4967" spans="6:6">
      <c r="F4967" t="str">
        <f t="shared" si="78"/>
        <v/>
      </c>
    </row>
    <row r="4968" spans="6:6">
      <c r="F4968" t="str">
        <f t="shared" si="78"/>
        <v/>
      </c>
    </row>
    <row r="4969" spans="6:6">
      <c r="F4969" t="str">
        <f t="shared" si="78"/>
        <v/>
      </c>
    </row>
    <row r="4970" spans="6:6">
      <c r="F4970" t="str">
        <f t="shared" si="78"/>
        <v/>
      </c>
    </row>
    <row r="4971" spans="6:6">
      <c r="F4971" t="str">
        <f t="shared" si="78"/>
        <v/>
      </c>
    </row>
    <row r="4972" spans="6:6">
      <c r="F4972" t="str">
        <f t="shared" si="78"/>
        <v/>
      </c>
    </row>
    <row r="4973" spans="6:6">
      <c r="F4973" t="str">
        <f t="shared" si="78"/>
        <v/>
      </c>
    </row>
    <row r="4974" spans="6:6">
      <c r="F4974" t="str">
        <f t="shared" si="78"/>
        <v/>
      </c>
    </row>
    <row r="4975" spans="6:6">
      <c r="F4975" t="str">
        <f t="shared" si="78"/>
        <v/>
      </c>
    </row>
    <row r="4976" spans="6:6">
      <c r="F4976" t="str">
        <f t="shared" si="78"/>
        <v/>
      </c>
    </row>
    <row r="4977" spans="6:6">
      <c r="F4977" t="str">
        <f t="shared" si="78"/>
        <v/>
      </c>
    </row>
    <row r="4978" spans="6:6">
      <c r="F4978" t="str">
        <f t="shared" si="78"/>
        <v/>
      </c>
    </row>
    <row r="4979" spans="6:6">
      <c r="F4979" t="str">
        <f t="shared" si="78"/>
        <v/>
      </c>
    </row>
    <row r="4980" spans="6:6">
      <c r="F4980" t="str">
        <f t="shared" si="78"/>
        <v/>
      </c>
    </row>
    <row r="4981" spans="6:6">
      <c r="F4981" t="str">
        <f t="shared" si="78"/>
        <v/>
      </c>
    </row>
    <row r="4982" spans="6:6">
      <c r="F4982" t="str">
        <f t="shared" si="78"/>
        <v/>
      </c>
    </row>
    <row r="4983" spans="6:6">
      <c r="F4983" t="str">
        <f t="shared" si="78"/>
        <v/>
      </c>
    </row>
    <row r="4984" spans="6:6">
      <c r="F4984" t="str">
        <f t="shared" si="78"/>
        <v/>
      </c>
    </row>
    <row r="4985" spans="6:6">
      <c r="F4985" t="str">
        <f t="shared" si="78"/>
        <v/>
      </c>
    </row>
    <row r="4986" spans="6:6">
      <c r="F4986" t="str">
        <f t="shared" si="78"/>
        <v/>
      </c>
    </row>
    <row r="4987" spans="6:6">
      <c r="F4987" t="str">
        <f t="shared" si="78"/>
        <v/>
      </c>
    </row>
    <row r="4988" spans="6:6">
      <c r="F4988" t="str">
        <f t="shared" si="78"/>
        <v/>
      </c>
    </row>
    <row r="4989" spans="6:6">
      <c r="F4989" t="str">
        <f t="shared" si="78"/>
        <v/>
      </c>
    </row>
    <row r="4990" spans="6:6">
      <c r="F4990" t="str">
        <f t="shared" si="78"/>
        <v/>
      </c>
    </row>
    <row r="4991" spans="6:6">
      <c r="F4991" t="str">
        <f t="shared" si="78"/>
        <v/>
      </c>
    </row>
    <row r="4992" spans="6:6">
      <c r="F4992" t="str">
        <f t="shared" si="78"/>
        <v/>
      </c>
    </row>
    <row r="4993" spans="6:6">
      <c r="F4993" t="str">
        <f t="shared" si="78"/>
        <v/>
      </c>
    </row>
    <row r="4994" spans="6:6">
      <c r="F4994" t="str">
        <f t="shared" si="78"/>
        <v/>
      </c>
    </row>
    <row r="4995" spans="6:6">
      <c r="F4995" t="str">
        <f t="shared" si="78"/>
        <v/>
      </c>
    </row>
    <row r="4996" spans="6:6">
      <c r="F4996" t="str">
        <f t="shared" si="78"/>
        <v/>
      </c>
    </row>
    <row r="4997" spans="6:6">
      <c r="F4997" t="str">
        <f t="shared" si="78"/>
        <v/>
      </c>
    </row>
    <row r="4998" spans="6:6">
      <c r="F4998" t="str">
        <f t="shared" si="78"/>
        <v/>
      </c>
    </row>
    <row r="4999" spans="6:6">
      <c r="F4999" t="str">
        <f t="shared" si="78"/>
        <v/>
      </c>
    </row>
    <row r="5000" spans="6:6">
      <c r="F5000" t="str">
        <f t="shared" si="78"/>
        <v/>
      </c>
    </row>
    <row r="5001" spans="6:6">
      <c r="F5001" t="str">
        <f t="shared" si="78"/>
        <v/>
      </c>
    </row>
    <row r="5002" spans="6:6">
      <c r="F5002" t="str">
        <f t="shared" si="78"/>
        <v/>
      </c>
    </row>
    <row r="5003" spans="6:6">
      <c r="F5003" t="str">
        <f t="shared" si="78"/>
        <v/>
      </c>
    </row>
    <row r="5004" spans="6:6">
      <c r="F5004" t="str">
        <f t="shared" si="78"/>
        <v/>
      </c>
    </row>
    <row r="5005" spans="6:6">
      <c r="F5005" t="str">
        <f t="shared" ref="F5005:F5068" si="79">RIGHT(D5005,2)</f>
        <v/>
      </c>
    </row>
    <row r="5006" spans="6:6">
      <c r="F5006" t="str">
        <f t="shared" si="79"/>
        <v/>
      </c>
    </row>
    <row r="5007" spans="6:6">
      <c r="F5007" t="str">
        <f t="shared" si="79"/>
        <v/>
      </c>
    </row>
    <row r="5008" spans="6:6">
      <c r="F5008" t="str">
        <f t="shared" si="79"/>
        <v/>
      </c>
    </row>
    <row r="5009" spans="6:6">
      <c r="F5009" t="str">
        <f t="shared" si="79"/>
        <v/>
      </c>
    </row>
    <row r="5010" spans="6:6">
      <c r="F5010" t="str">
        <f t="shared" si="79"/>
        <v/>
      </c>
    </row>
    <row r="5011" spans="6:6">
      <c r="F5011" t="str">
        <f t="shared" si="79"/>
        <v/>
      </c>
    </row>
    <row r="5012" spans="6:6">
      <c r="F5012" t="str">
        <f t="shared" si="79"/>
        <v/>
      </c>
    </row>
    <row r="5013" spans="6:6">
      <c r="F5013" t="str">
        <f t="shared" si="79"/>
        <v/>
      </c>
    </row>
    <row r="5014" spans="6:6">
      <c r="F5014" t="str">
        <f t="shared" si="79"/>
        <v/>
      </c>
    </row>
    <row r="5015" spans="6:6">
      <c r="F5015" t="str">
        <f t="shared" si="79"/>
        <v/>
      </c>
    </row>
    <row r="5016" spans="6:6">
      <c r="F5016" t="str">
        <f t="shared" si="79"/>
        <v/>
      </c>
    </row>
    <row r="5017" spans="6:6">
      <c r="F5017" t="str">
        <f t="shared" si="79"/>
        <v/>
      </c>
    </row>
    <row r="5018" spans="6:6">
      <c r="F5018" t="str">
        <f t="shared" si="79"/>
        <v/>
      </c>
    </row>
    <row r="5019" spans="6:6">
      <c r="F5019" t="str">
        <f t="shared" si="79"/>
        <v/>
      </c>
    </row>
    <row r="5020" spans="6:6">
      <c r="F5020" t="str">
        <f t="shared" si="79"/>
        <v/>
      </c>
    </row>
    <row r="5021" spans="6:6">
      <c r="F5021" t="str">
        <f t="shared" si="79"/>
        <v/>
      </c>
    </row>
    <row r="5022" spans="6:6">
      <c r="F5022" t="str">
        <f t="shared" si="79"/>
        <v/>
      </c>
    </row>
    <row r="5023" spans="6:6">
      <c r="F5023" t="str">
        <f t="shared" si="79"/>
        <v/>
      </c>
    </row>
    <row r="5024" spans="6:6">
      <c r="F5024" t="str">
        <f t="shared" si="79"/>
        <v/>
      </c>
    </row>
    <row r="5025" spans="6:6">
      <c r="F5025" t="str">
        <f t="shared" si="79"/>
        <v/>
      </c>
    </row>
    <row r="5026" spans="6:6">
      <c r="F5026" t="str">
        <f t="shared" si="79"/>
        <v/>
      </c>
    </row>
    <row r="5027" spans="6:6">
      <c r="F5027" t="str">
        <f t="shared" si="79"/>
        <v/>
      </c>
    </row>
    <row r="5028" spans="6:6">
      <c r="F5028" t="str">
        <f t="shared" si="79"/>
        <v/>
      </c>
    </row>
    <row r="5029" spans="6:6">
      <c r="F5029" t="str">
        <f t="shared" si="79"/>
        <v/>
      </c>
    </row>
    <row r="5030" spans="6:6">
      <c r="F5030" t="str">
        <f t="shared" si="79"/>
        <v/>
      </c>
    </row>
    <row r="5031" spans="6:6">
      <c r="F5031" t="str">
        <f t="shared" si="79"/>
        <v/>
      </c>
    </row>
    <row r="5032" spans="6:6">
      <c r="F5032" t="str">
        <f t="shared" si="79"/>
        <v/>
      </c>
    </row>
    <row r="5033" spans="6:6">
      <c r="F5033" t="str">
        <f t="shared" si="79"/>
        <v/>
      </c>
    </row>
    <row r="5034" spans="6:6">
      <c r="F5034" t="str">
        <f t="shared" si="79"/>
        <v/>
      </c>
    </row>
    <row r="5035" spans="6:6">
      <c r="F5035" t="str">
        <f t="shared" si="79"/>
        <v/>
      </c>
    </row>
    <row r="5036" spans="6:6">
      <c r="F5036" t="str">
        <f t="shared" si="79"/>
        <v/>
      </c>
    </row>
    <row r="5037" spans="6:6">
      <c r="F5037" t="str">
        <f t="shared" si="79"/>
        <v/>
      </c>
    </row>
    <row r="5038" spans="6:6">
      <c r="F5038" t="str">
        <f t="shared" si="79"/>
        <v/>
      </c>
    </row>
    <row r="5039" spans="6:6">
      <c r="F5039" t="str">
        <f t="shared" si="79"/>
        <v/>
      </c>
    </row>
    <row r="5040" spans="6:6">
      <c r="F5040" t="str">
        <f t="shared" si="79"/>
        <v/>
      </c>
    </row>
    <row r="5041" spans="6:6">
      <c r="F5041" t="str">
        <f t="shared" si="79"/>
        <v/>
      </c>
    </row>
    <row r="5042" spans="6:6">
      <c r="F5042" t="str">
        <f t="shared" si="79"/>
        <v/>
      </c>
    </row>
    <row r="5043" spans="6:6">
      <c r="F5043" t="str">
        <f t="shared" si="79"/>
        <v/>
      </c>
    </row>
    <row r="5044" spans="6:6">
      <c r="F5044" t="str">
        <f t="shared" si="79"/>
        <v/>
      </c>
    </row>
    <row r="5045" spans="6:6">
      <c r="F5045" t="str">
        <f t="shared" si="79"/>
        <v/>
      </c>
    </row>
    <row r="5046" spans="6:6">
      <c r="F5046" t="str">
        <f t="shared" si="79"/>
        <v/>
      </c>
    </row>
    <row r="5047" spans="6:6">
      <c r="F5047" t="str">
        <f t="shared" si="79"/>
        <v/>
      </c>
    </row>
    <row r="5048" spans="6:6">
      <c r="F5048" t="str">
        <f t="shared" si="79"/>
        <v/>
      </c>
    </row>
    <row r="5049" spans="6:6">
      <c r="F5049" t="str">
        <f t="shared" si="79"/>
        <v/>
      </c>
    </row>
    <row r="5050" spans="6:6">
      <c r="F5050" t="str">
        <f t="shared" si="79"/>
        <v/>
      </c>
    </row>
    <row r="5051" spans="6:6">
      <c r="F5051" t="str">
        <f t="shared" si="79"/>
        <v/>
      </c>
    </row>
    <row r="5052" spans="6:6">
      <c r="F5052" t="str">
        <f t="shared" si="79"/>
        <v/>
      </c>
    </row>
    <row r="5053" spans="6:6">
      <c r="F5053" t="str">
        <f t="shared" si="79"/>
        <v/>
      </c>
    </row>
    <row r="5054" spans="6:6">
      <c r="F5054" t="str">
        <f t="shared" si="79"/>
        <v/>
      </c>
    </row>
    <row r="5055" spans="6:6">
      <c r="F5055" t="str">
        <f t="shared" si="79"/>
        <v/>
      </c>
    </row>
    <row r="5056" spans="6:6">
      <c r="F5056" t="str">
        <f t="shared" si="79"/>
        <v/>
      </c>
    </row>
    <row r="5057" spans="6:6">
      <c r="F5057" t="str">
        <f t="shared" si="79"/>
        <v/>
      </c>
    </row>
    <row r="5058" spans="6:6">
      <c r="F5058" t="str">
        <f t="shared" si="79"/>
        <v/>
      </c>
    </row>
    <row r="5059" spans="6:6">
      <c r="F5059" t="str">
        <f t="shared" si="79"/>
        <v/>
      </c>
    </row>
    <row r="5060" spans="6:6">
      <c r="F5060" t="str">
        <f t="shared" si="79"/>
        <v/>
      </c>
    </row>
    <row r="5061" spans="6:6">
      <c r="F5061" t="str">
        <f t="shared" si="79"/>
        <v/>
      </c>
    </row>
    <row r="5062" spans="6:6">
      <c r="F5062" t="str">
        <f t="shared" si="79"/>
        <v/>
      </c>
    </row>
    <row r="5063" spans="6:6">
      <c r="F5063" t="str">
        <f t="shared" si="79"/>
        <v/>
      </c>
    </row>
    <row r="5064" spans="6:6">
      <c r="F5064" t="str">
        <f t="shared" si="79"/>
        <v/>
      </c>
    </row>
    <row r="5065" spans="6:6">
      <c r="F5065" t="str">
        <f t="shared" si="79"/>
        <v/>
      </c>
    </row>
    <row r="5066" spans="6:6">
      <c r="F5066" t="str">
        <f t="shared" si="79"/>
        <v/>
      </c>
    </row>
    <row r="5067" spans="6:6">
      <c r="F5067" t="str">
        <f t="shared" si="79"/>
        <v/>
      </c>
    </row>
    <row r="5068" spans="6:6">
      <c r="F5068" t="str">
        <f t="shared" si="79"/>
        <v/>
      </c>
    </row>
    <row r="5069" spans="6:6">
      <c r="F5069" t="str">
        <f t="shared" ref="F5069:F5132" si="80">RIGHT(D5069,2)</f>
        <v/>
      </c>
    </row>
    <row r="5070" spans="6:6">
      <c r="F5070" t="str">
        <f t="shared" si="80"/>
        <v/>
      </c>
    </row>
    <row r="5071" spans="6:6">
      <c r="F5071" t="str">
        <f t="shared" si="80"/>
        <v/>
      </c>
    </row>
    <row r="5072" spans="6:6">
      <c r="F5072" t="str">
        <f t="shared" si="80"/>
        <v/>
      </c>
    </row>
    <row r="5073" spans="6:6">
      <c r="F5073" t="str">
        <f t="shared" si="80"/>
        <v/>
      </c>
    </row>
    <row r="5074" spans="6:6">
      <c r="F5074" t="str">
        <f t="shared" si="80"/>
        <v/>
      </c>
    </row>
    <row r="5075" spans="6:6">
      <c r="F5075" t="str">
        <f t="shared" si="80"/>
        <v/>
      </c>
    </row>
    <row r="5076" spans="6:6">
      <c r="F5076" t="str">
        <f t="shared" si="80"/>
        <v/>
      </c>
    </row>
    <row r="5077" spans="6:6">
      <c r="F5077" t="str">
        <f t="shared" si="80"/>
        <v/>
      </c>
    </row>
    <row r="5078" spans="6:6">
      <c r="F5078" t="str">
        <f t="shared" si="80"/>
        <v/>
      </c>
    </row>
    <row r="5079" spans="6:6">
      <c r="F5079" t="str">
        <f t="shared" si="80"/>
        <v/>
      </c>
    </row>
    <row r="5080" spans="6:6">
      <c r="F5080" t="str">
        <f t="shared" si="80"/>
        <v/>
      </c>
    </row>
    <row r="5081" spans="6:6">
      <c r="F5081" t="str">
        <f t="shared" si="80"/>
        <v/>
      </c>
    </row>
    <row r="5082" spans="6:6">
      <c r="F5082" t="str">
        <f t="shared" si="80"/>
        <v/>
      </c>
    </row>
    <row r="5083" spans="6:6">
      <c r="F5083" t="str">
        <f t="shared" si="80"/>
        <v/>
      </c>
    </row>
    <row r="5084" spans="6:6">
      <c r="F5084" t="str">
        <f t="shared" si="80"/>
        <v/>
      </c>
    </row>
    <row r="5085" spans="6:6">
      <c r="F5085" t="str">
        <f t="shared" si="80"/>
        <v/>
      </c>
    </row>
    <row r="5086" spans="6:6">
      <c r="F5086" t="str">
        <f t="shared" si="80"/>
        <v/>
      </c>
    </row>
    <row r="5087" spans="6:6">
      <c r="F5087" t="str">
        <f t="shared" si="80"/>
        <v/>
      </c>
    </row>
    <row r="5088" spans="6:6">
      <c r="F5088" t="str">
        <f t="shared" si="80"/>
        <v/>
      </c>
    </row>
    <row r="5089" spans="6:6">
      <c r="F5089" t="str">
        <f t="shared" si="80"/>
        <v/>
      </c>
    </row>
    <row r="5090" spans="6:6">
      <c r="F5090" t="str">
        <f t="shared" si="80"/>
        <v/>
      </c>
    </row>
    <row r="5091" spans="6:6">
      <c r="F5091" t="str">
        <f t="shared" si="80"/>
        <v/>
      </c>
    </row>
    <row r="5092" spans="6:6">
      <c r="F5092" t="str">
        <f t="shared" si="80"/>
        <v/>
      </c>
    </row>
    <row r="5093" spans="6:6">
      <c r="F5093" t="str">
        <f t="shared" si="80"/>
        <v/>
      </c>
    </row>
    <row r="5094" spans="6:6">
      <c r="F5094" t="str">
        <f t="shared" si="80"/>
        <v/>
      </c>
    </row>
    <row r="5095" spans="6:6">
      <c r="F5095" t="str">
        <f t="shared" si="80"/>
        <v/>
      </c>
    </row>
    <row r="5096" spans="6:6">
      <c r="F5096" t="str">
        <f t="shared" si="80"/>
        <v/>
      </c>
    </row>
    <row r="5097" spans="6:6">
      <c r="F5097" t="str">
        <f t="shared" si="80"/>
        <v/>
      </c>
    </row>
    <row r="5098" spans="6:6">
      <c r="F5098" t="str">
        <f t="shared" si="80"/>
        <v/>
      </c>
    </row>
    <row r="5099" spans="6:6">
      <c r="F5099" t="str">
        <f t="shared" si="80"/>
        <v/>
      </c>
    </row>
    <row r="5100" spans="6:6">
      <c r="F5100" t="str">
        <f t="shared" si="80"/>
        <v/>
      </c>
    </row>
    <row r="5101" spans="6:6">
      <c r="F5101" t="str">
        <f t="shared" si="80"/>
        <v/>
      </c>
    </row>
    <row r="5102" spans="6:6">
      <c r="F5102" t="str">
        <f t="shared" si="80"/>
        <v/>
      </c>
    </row>
    <row r="5103" spans="6:6">
      <c r="F5103" t="str">
        <f t="shared" si="80"/>
        <v/>
      </c>
    </row>
    <row r="5104" spans="6:6">
      <c r="F5104" t="str">
        <f t="shared" si="80"/>
        <v/>
      </c>
    </row>
    <row r="5105" spans="6:6">
      <c r="F5105" t="str">
        <f t="shared" si="80"/>
        <v/>
      </c>
    </row>
    <row r="5106" spans="6:6">
      <c r="F5106" t="str">
        <f t="shared" si="80"/>
        <v/>
      </c>
    </row>
    <row r="5107" spans="6:6">
      <c r="F5107" t="str">
        <f t="shared" si="80"/>
        <v/>
      </c>
    </row>
    <row r="5108" spans="6:6">
      <c r="F5108" t="str">
        <f t="shared" si="80"/>
        <v/>
      </c>
    </row>
    <row r="5109" spans="6:6">
      <c r="F5109" t="str">
        <f t="shared" si="80"/>
        <v/>
      </c>
    </row>
    <row r="5110" spans="6:6">
      <c r="F5110" t="str">
        <f t="shared" si="80"/>
        <v/>
      </c>
    </row>
    <row r="5111" spans="6:6">
      <c r="F5111" t="str">
        <f t="shared" si="80"/>
        <v/>
      </c>
    </row>
    <row r="5112" spans="6:6">
      <c r="F5112" t="str">
        <f t="shared" si="80"/>
        <v/>
      </c>
    </row>
    <row r="5113" spans="6:6">
      <c r="F5113" t="str">
        <f t="shared" si="80"/>
        <v/>
      </c>
    </row>
    <row r="5114" spans="6:6">
      <c r="F5114" t="str">
        <f t="shared" si="80"/>
        <v/>
      </c>
    </row>
    <row r="5115" spans="6:6">
      <c r="F5115" t="str">
        <f t="shared" si="80"/>
        <v/>
      </c>
    </row>
    <row r="5116" spans="6:6">
      <c r="F5116" t="str">
        <f t="shared" si="80"/>
        <v/>
      </c>
    </row>
    <row r="5117" spans="6:6">
      <c r="F5117" t="str">
        <f t="shared" si="80"/>
        <v/>
      </c>
    </row>
    <row r="5118" spans="6:6">
      <c r="F5118" t="str">
        <f t="shared" si="80"/>
        <v/>
      </c>
    </row>
    <row r="5119" spans="6:6">
      <c r="F5119" t="str">
        <f t="shared" si="80"/>
        <v/>
      </c>
    </row>
    <row r="5120" spans="6:6">
      <c r="F5120" t="str">
        <f t="shared" si="80"/>
        <v/>
      </c>
    </row>
    <row r="5121" spans="6:6">
      <c r="F5121" t="str">
        <f t="shared" si="80"/>
        <v/>
      </c>
    </row>
    <row r="5122" spans="6:6">
      <c r="F5122" t="str">
        <f t="shared" si="80"/>
        <v/>
      </c>
    </row>
    <row r="5123" spans="6:6">
      <c r="F5123" t="str">
        <f t="shared" si="80"/>
        <v/>
      </c>
    </row>
    <row r="5124" spans="6:6">
      <c r="F5124" t="str">
        <f t="shared" si="80"/>
        <v/>
      </c>
    </row>
    <row r="5125" spans="6:6">
      <c r="F5125" t="str">
        <f t="shared" si="80"/>
        <v/>
      </c>
    </row>
    <row r="5126" spans="6:6">
      <c r="F5126" t="str">
        <f t="shared" si="80"/>
        <v/>
      </c>
    </row>
    <row r="5127" spans="6:6">
      <c r="F5127" t="str">
        <f t="shared" si="80"/>
        <v/>
      </c>
    </row>
    <row r="5128" spans="6:6">
      <c r="F5128" t="str">
        <f t="shared" si="80"/>
        <v/>
      </c>
    </row>
    <row r="5129" spans="6:6">
      <c r="F5129" t="str">
        <f t="shared" si="80"/>
        <v/>
      </c>
    </row>
    <row r="5130" spans="6:6">
      <c r="F5130" t="str">
        <f t="shared" si="80"/>
        <v/>
      </c>
    </row>
    <row r="5131" spans="6:6">
      <c r="F5131" t="str">
        <f t="shared" si="80"/>
        <v/>
      </c>
    </row>
    <row r="5132" spans="6:6">
      <c r="F5132" t="str">
        <f t="shared" si="80"/>
        <v/>
      </c>
    </row>
    <row r="5133" spans="6:6">
      <c r="F5133" t="str">
        <f t="shared" ref="F5133:F5196" si="81">RIGHT(D5133,2)</f>
        <v/>
      </c>
    </row>
    <row r="5134" spans="6:6">
      <c r="F5134" t="str">
        <f t="shared" si="81"/>
        <v/>
      </c>
    </row>
    <row r="5135" spans="6:6">
      <c r="F5135" t="str">
        <f t="shared" si="81"/>
        <v/>
      </c>
    </row>
    <row r="5136" spans="6:6">
      <c r="F5136" t="str">
        <f t="shared" si="81"/>
        <v/>
      </c>
    </row>
    <row r="5137" spans="6:6">
      <c r="F5137" t="str">
        <f t="shared" si="81"/>
        <v/>
      </c>
    </row>
    <row r="5138" spans="6:6">
      <c r="F5138" t="str">
        <f t="shared" si="81"/>
        <v/>
      </c>
    </row>
    <row r="5139" spans="6:6">
      <c r="F5139" t="str">
        <f t="shared" si="81"/>
        <v/>
      </c>
    </row>
    <row r="5140" spans="6:6">
      <c r="F5140" t="str">
        <f t="shared" si="81"/>
        <v/>
      </c>
    </row>
    <row r="5141" spans="6:6">
      <c r="F5141" t="str">
        <f t="shared" si="81"/>
        <v/>
      </c>
    </row>
    <row r="5142" spans="6:6">
      <c r="F5142" t="str">
        <f t="shared" si="81"/>
        <v/>
      </c>
    </row>
    <row r="5143" spans="6:6">
      <c r="F5143" t="str">
        <f t="shared" si="81"/>
        <v/>
      </c>
    </row>
    <row r="5144" spans="6:6">
      <c r="F5144" t="str">
        <f t="shared" si="81"/>
        <v/>
      </c>
    </row>
    <row r="5145" spans="6:6">
      <c r="F5145" t="str">
        <f t="shared" si="81"/>
        <v/>
      </c>
    </row>
    <row r="5146" spans="6:6">
      <c r="F5146" t="str">
        <f t="shared" si="81"/>
        <v/>
      </c>
    </row>
    <row r="5147" spans="6:6">
      <c r="F5147" t="str">
        <f t="shared" si="81"/>
        <v/>
      </c>
    </row>
    <row r="5148" spans="6:6">
      <c r="F5148" t="str">
        <f t="shared" si="81"/>
        <v/>
      </c>
    </row>
    <row r="5149" spans="6:6">
      <c r="F5149" t="str">
        <f t="shared" si="81"/>
        <v/>
      </c>
    </row>
    <row r="5150" spans="6:6">
      <c r="F5150" t="str">
        <f t="shared" si="81"/>
        <v/>
      </c>
    </row>
    <row r="5151" spans="6:6">
      <c r="F5151" t="str">
        <f t="shared" si="81"/>
        <v/>
      </c>
    </row>
    <row r="5152" spans="6:6">
      <c r="F5152" t="str">
        <f t="shared" si="81"/>
        <v/>
      </c>
    </row>
    <row r="5153" spans="6:6">
      <c r="F5153" t="str">
        <f t="shared" si="81"/>
        <v/>
      </c>
    </row>
    <row r="5154" spans="6:6">
      <c r="F5154" t="str">
        <f t="shared" si="81"/>
        <v/>
      </c>
    </row>
    <row r="5155" spans="6:6">
      <c r="F5155" t="str">
        <f t="shared" si="81"/>
        <v/>
      </c>
    </row>
    <row r="5156" spans="6:6">
      <c r="F5156" t="str">
        <f t="shared" si="81"/>
        <v/>
      </c>
    </row>
    <row r="5157" spans="6:6">
      <c r="F5157" t="str">
        <f t="shared" si="81"/>
        <v/>
      </c>
    </row>
    <row r="5158" spans="6:6">
      <c r="F5158" t="str">
        <f t="shared" si="81"/>
        <v/>
      </c>
    </row>
    <row r="5159" spans="6:6">
      <c r="F5159" t="str">
        <f t="shared" si="81"/>
        <v/>
      </c>
    </row>
    <row r="5160" spans="6:6">
      <c r="F5160" t="str">
        <f t="shared" si="81"/>
        <v/>
      </c>
    </row>
    <row r="5161" spans="6:6">
      <c r="F5161" t="str">
        <f t="shared" si="81"/>
        <v/>
      </c>
    </row>
    <row r="5162" spans="6:6">
      <c r="F5162" t="str">
        <f t="shared" si="81"/>
        <v/>
      </c>
    </row>
    <row r="5163" spans="6:6">
      <c r="F5163" t="str">
        <f t="shared" si="81"/>
        <v/>
      </c>
    </row>
    <row r="5164" spans="6:6">
      <c r="F5164" t="str">
        <f t="shared" si="81"/>
        <v/>
      </c>
    </row>
    <row r="5165" spans="6:6">
      <c r="F5165" t="str">
        <f t="shared" si="81"/>
        <v/>
      </c>
    </row>
    <row r="5166" spans="6:6">
      <c r="F5166" t="str">
        <f t="shared" si="81"/>
        <v/>
      </c>
    </row>
    <row r="5167" spans="6:6">
      <c r="F5167" t="str">
        <f t="shared" si="81"/>
        <v/>
      </c>
    </row>
    <row r="5168" spans="6:6">
      <c r="F5168" t="str">
        <f t="shared" si="81"/>
        <v/>
      </c>
    </row>
    <row r="5169" spans="6:6">
      <c r="F5169" t="str">
        <f t="shared" si="81"/>
        <v/>
      </c>
    </row>
    <row r="5170" spans="6:6">
      <c r="F5170" t="str">
        <f t="shared" si="81"/>
        <v/>
      </c>
    </row>
    <row r="5171" spans="6:6">
      <c r="F5171" t="str">
        <f t="shared" si="81"/>
        <v/>
      </c>
    </row>
    <row r="5172" spans="6:6">
      <c r="F5172" t="str">
        <f t="shared" si="81"/>
        <v/>
      </c>
    </row>
    <row r="5173" spans="6:6">
      <c r="F5173" t="str">
        <f t="shared" si="81"/>
        <v/>
      </c>
    </row>
    <row r="5174" spans="6:6">
      <c r="F5174" t="str">
        <f t="shared" si="81"/>
        <v/>
      </c>
    </row>
    <row r="5175" spans="6:6">
      <c r="F5175" t="str">
        <f t="shared" si="81"/>
        <v/>
      </c>
    </row>
    <row r="5176" spans="6:6">
      <c r="F5176" t="str">
        <f t="shared" si="81"/>
        <v/>
      </c>
    </row>
    <row r="5177" spans="6:6">
      <c r="F5177" t="str">
        <f t="shared" si="81"/>
        <v/>
      </c>
    </row>
    <row r="5178" spans="6:6">
      <c r="F5178" t="str">
        <f t="shared" si="81"/>
        <v/>
      </c>
    </row>
    <row r="5179" spans="6:6">
      <c r="F5179" t="str">
        <f t="shared" si="81"/>
        <v/>
      </c>
    </row>
    <row r="5180" spans="6:6">
      <c r="F5180" t="str">
        <f t="shared" si="81"/>
        <v/>
      </c>
    </row>
    <row r="5181" spans="6:6">
      <c r="F5181" t="str">
        <f t="shared" si="81"/>
        <v/>
      </c>
    </row>
    <row r="5182" spans="6:6">
      <c r="F5182" t="str">
        <f t="shared" si="81"/>
        <v/>
      </c>
    </row>
    <row r="5183" spans="6:6">
      <c r="F5183" t="str">
        <f t="shared" si="81"/>
        <v/>
      </c>
    </row>
    <row r="5184" spans="6:6">
      <c r="F5184" t="str">
        <f t="shared" si="81"/>
        <v/>
      </c>
    </row>
    <row r="5185" spans="6:6">
      <c r="F5185" t="str">
        <f t="shared" si="81"/>
        <v/>
      </c>
    </row>
    <row r="5186" spans="6:6">
      <c r="F5186" t="str">
        <f t="shared" si="81"/>
        <v/>
      </c>
    </row>
    <row r="5187" spans="6:6">
      <c r="F5187" t="str">
        <f t="shared" si="81"/>
        <v/>
      </c>
    </row>
    <row r="5188" spans="6:6">
      <c r="F5188" t="str">
        <f t="shared" si="81"/>
        <v/>
      </c>
    </row>
    <row r="5189" spans="6:6">
      <c r="F5189" t="str">
        <f t="shared" si="81"/>
        <v/>
      </c>
    </row>
    <row r="5190" spans="6:6">
      <c r="F5190" t="str">
        <f t="shared" si="81"/>
        <v/>
      </c>
    </row>
    <row r="5191" spans="6:6">
      <c r="F5191" t="str">
        <f t="shared" si="81"/>
        <v/>
      </c>
    </row>
    <row r="5192" spans="6:6">
      <c r="F5192" t="str">
        <f t="shared" si="81"/>
        <v/>
      </c>
    </row>
    <row r="5193" spans="6:6">
      <c r="F5193" t="str">
        <f t="shared" si="81"/>
        <v/>
      </c>
    </row>
    <row r="5194" spans="6:6">
      <c r="F5194" t="str">
        <f t="shared" si="81"/>
        <v/>
      </c>
    </row>
    <row r="5195" spans="6:6">
      <c r="F5195" t="str">
        <f t="shared" si="81"/>
        <v/>
      </c>
    </row>
    <row r="5196" spans="6:6">
      <c r="F5196" t="str">
        <f t="shared" si="81"/>
        <v/>
      </c>
    </row>
    <row r="5197" spans="6:6">
      <c r="F5197" t="str">
        <f t="shared" ref="F5197:F5260" si="82">RIGHT(D5197,2)</f>
        <v/>
      </c>
    </row>
    <row r="5198" spans="6:6">
      <c r="F5198" t="str">
        <f t="shared" si="82"/>
        <v/>
      </c>
    </row>
    <row r="5199" spans="6:6">
      <c r="F5199" t="str">
        <f t="shared" si="82"/>
        <v/>
      </c>
    </row>
    <row r="5200" spans="6:6">
      <c r="F5200" t="str">
        <f t="shared" si="82"/>
        <v/>
      </c>
    </row>
    <row r="5201" spans="6:6">
      <c r="F5201" t="str">
        <f t="shared" si="82"/>
        <v/>
      </c>
    </row>
    <row r="5202" spans="6:6">
      <c r="F5202" t="str">
        <f t="shared" si="82"/>
        <v/>
      </c>
    </row>
    <row r="5203" spans="6:6">
      <c r="F5203" t="str">
        <f t="shared" si="82"/>
        <v/>
      </c>
    </row>
    <row r="5204" spans="6:6">
      <c r="F5204" t="str">
        <f t="shared" si="82"/>
        <v/>
      </c>
    </row>
    <row r="5205" spans="6:6">
      <c r="F5205" t="str">
        <f t="shared" si="82"/>
        <v/>
      </c>
    </row>
    <row r="5206" spans="6:6">
      <c r="F5206" t="str">
        <f t="shared" si="82"/>
        <v/>
      </c>
    </row>
    <row r="5207" spans="6:6">
      <c r="F5207" t="str">
        <f t="shared" si="82"/>
        <v/>
      </c>
    </row>
    <row r="5208" spans="6:6">
      <c r="F5208" t="str">
        <f t="shared" si="82"/>
        <v/>
      </c>
    </row>
    <row r="5209" spans="6:6">
      <c r="F5209" t="str">
        <f t="shared" si="82"/>
        <v/>
      </c>
    </row>
    <row r="5210" spans="6:6">
      <c r="F5210" t="str">
        <f t="shared" si="82"/>
        <v/>
      </c>
    </row>
    <row r="5211" spans="6:6">
      <c r="F5211" t="str">
        <f t="shared" si="82"/>
        <v/>
      </c>
    </row>
    <row r="5212" spans="6:6">
      <c r="F5212" t="str">
        <f t="shared" si="82"/>
        <v/>
      </c>
    </row>
    <row r="5213" spans="6:6">
      <c r="F5213" t="str">
        <f t="shared" si="82"/>
        <v/>
      </c>
    </row>
    <row r="5214" spans="6:6">
      <c r="F5214" t="str">
        <f t="shared" si="82"/>
        <v/>
      </c>
    </row>
    <row r="5215" spans="6:6">
      <c r="F5215" t="str">
        <f t="shared" si="82"/>
        <v/>
      </c>
    </row>
    <row r="5216" spans="6:6">
      <c r="F5216" t="str">
        <f t="shared" si="82"/>
        <v/>
      </c>
    </row>
    <row r="5217" spans="6:6">
      <c r="F5217" t="str">
        <f t="shared" si="82"/>
        <v/>
      </c>
    </row>
    <row r="5218" spans="6:6">
      <c r="F5218" t="str">
        <f t="shared" si="82"/>
        <v/>
      </c>
    </row>
    <row r="5219" spans="6:6">
      <c r="F5219" t="str">
        <f t="shared" si="82"/>
        <v/>
      </c>
    </row>
    <row r="5220" spans="6:6">
      <c r="F5220" t="str">
        <f t="shared" si="82"/>
        <v/>
      </c>
    </row>
    <row r="5221" spans="6:6">
      <c r="F5221" t="str">
        <f t="shared" si="82"/>
        <v/>
      </c>
    </row>
    <row r="5222" spans="6:6">
      <c r="F5222" t="str">
        <f t="shared" si="82"/>
        <v/>
      </c>
    </row>
    <row r="5223" spans="6:6">
      <c r="F5223" t="str">
        <f t="shared" si="82"/>
        <v/>
      </c>
    </row>
    <row r="5224" spans="6:6">
      <c r="F5224" t="str">
        <f t="shared" si="82"/>
        <v/>
      </c>
    </row>
    <row r="5225" spans="6:6">
      <c r="F5225" t="str">
        <f t="shared" si="82"/>
        <v/>
      </c>
    </row>
    <row r="5226" spans="6:6">
      <c r="F5226" t="str">
        <f t="shared" si="82"/>
        <v/>
      </c>
    </row>
    <row r="5227" spans="6:6">
      <c r="F5227" t="str">
        <f t="shared" si="82"/>
        <v/>
      </c>
    </row>
    <row r="5228" spans="6:6">
      <c r="F5228" t="str">
        <f t="shared" si="82"/>
        <v/>
      </c>
    </row>
    <row r="5229" spans="6:6">
      <c r="F5229" t="str">
        <f t="shared" si="82"/>
        <v/>
      </c>
    </row>
    <row r="5230" spans="6:6">
      <c r="F5230" t="str">
        <f t="shared" si="82"/>
        <v/>
      </c>
    </row>
    <row r="5231" spans="6:6">
      <c r="F5231" t="str">
        <f t="shared" si="82"/>
        <v/>
      </c>
    </row>
    <row r="5232" spans="6:6">
      <c r="F5232" t="str">
        <f t="shared" si="82"/>
        <v/>
      </c>
    </row>
    <row r="5233" spans="6:6">
      <c r="F5233" t="str">
        <f t="shared" si="82"/>
        <v/>
      </c>
    </row>
    <row r="5234" spans="6:6">
      <c r="F5234" t="str">
        <f t="shared" si="82"/>
        <v/>
      </c>
    </row>
    <row r="5235" spans="6:6">
      <c r="F5235" t="str">
        <f t="shared" si="82"/>
        <v/>
      </c>
    </row>
    <row r="5236" spans="6:6">
      <c r="F5236" t="str">
        <f t="shared" si="82"/>
        <v/>
      </c>
    </row>
    <row r="5237" spans="6:6">
      <c r="F5237" t="str">
        <f t="shared" si="82"/>
        <v/>
      </c>
    </row>
    <row r="5238" spans="6:6">
      <c r="F5238" t="str">
        <f t="shared" si="82"/>
        <v/>
      </c>
    </row>
    <row r="5239" spans="6:6">
      <c r="F5239" t="str">
        <f t="shared" si="82"/>
        <v/>
      </c>
    </row>
    <row r="5240" spans="6:6">
      <c r="F5240" t="str">
        <f t="shared" si="82"/>
        <v/>
      </c>
    </row>
    <row r="5241" spans="6:6">
      <c r="F5241" t="str">
        <f t="shared" si="82"/>
        <v/>
      </c>
    </row>
    <row r="5242" spans="6:6">
      <c r="F5242" t="str">
        <f t="shared" si="82"/>
        <v/>
      </c>
    </row>
    <row r="5243" spans="6:6">
      <c r="F5243" t="str">
        <f t="shared" si="82"/>
        <v/>
      </c>
    </row>
    <row r="5244" spans="6:6">
      <c r="F5244" t="str">
        <f t="shared" si="82"/>
        <v/>
      </c>
    </row>
    <row r="5245" spans="6:6">
      <c r="F5245" t="str">
        <f t="shared" si="82"/>
        <v/>
      </c>
    </row>
    <row r="5246" spans="6:6">
      <c r="F5246" t="str">
        <f t="shared" si="82"/>
        <v/>
      </c>
    </row>
    <row r="5247" spans="6:6">
      <c r="F5247" t="str">
        <f t="shared" si="82"/>
        <v/>
      </c>
    </row>
    <row r="5248" spans="6:6">
      <c r="F5248" t="str">
        <f t="shared" si="82"/>
        <v/>
      </c>
    </row>
    <row r="5249" spans="6:6">
      <c r="F5249" t="str">
        <f t="shared" si="82"/>
        <v/>
      </c>
    </row>
    <row r="5250" spans="6:6">
      <c r="F5250" t="str">
        <f t="shared" si="82"/>
        <v/>
      </c>
    </row>
    <row r="5251" spans="6:6">
      <c r="F5251" t="str">
        <f t="shared" si="82"/>
        <v/>
      </c>
    </row>
    <row r="5252" spans="6:6">
      <c r="F5252" t="str">
        <f t="shared" si="82"/>
        <v/>
      </c>
    </row>
    <row r="5253" spans="6:6">
      <c r="F5253" t="str">
        <f t="shared" si="82"/>
        <v/>
      </c>
    </row>
    <row r="5254" spans="6:6">
      <c r="F5254" t="str">
        <f t="shared" si="82"/>
        <v/>
      </c>
    </row>
    <row r="5255" spans="6:6">
      <c r="F5255" t="str">
        <f t="shared" si="82"/>
        <v/>
      </c>
    </row>
    <row r="5256" spans="6:6">
      <c r="F5256" t="str">
        <f t="shared" si="82"/>
        <v/>
      </c>
    </row>
    <row r="5257" spans="6:6">
      <c r="F5257" t="str">
        <f t="shared" si="82"/>
        <v/>
      </c>
    </row>
    <row r="5258" spans="6:6">
      <c r="F5258" t="str">
        <f t="shared" si="82"/>
        <v/>
      </c>
    </row>
    <row r="5259" spans="6:6">
      <c r="F5259" t="str">
        <f t="shared" si="82"/>
        <v/>
      </c>
    </row>
    <row r="5260" spans="6:6">
      <c r="F5260" t="str">
        <f t="shared" si="82"/>
        <v/>
      </c>
    </row>
    <row r="5261" spans="6:6">
      <c r="F5261" t="str">
        <f t="shared" ref="F5261:F5324" si="83">RIGHT(D5261,2)</f>
        <v/>
      </c>
    </row>
    <row r="5262" spans="6:6">
      <c r="F5262" t="str">
        <f t="shared" si="83"/>
        <v/>
      </c>
    </row>
    <row r="5263" spans="6:6">
      <c r="F5263" t="str">
        <f t="shared" si="83"/>
        <v/>
      </c>
    </row>
    <row r="5264" spans="6:6">
      <c r="F5264" t="str">
        <f t="shared" si="83"/>
        <v/>
      </c>
    </row>
    <row r="5265" spans="6:6">
      <c r="F5265" t="str">
        <f t="shared" si="83"/>
        <v/>
      </c>
    </row>
    <row r="5266" spans="6:6">
      <c r="F5266" t="str">
        <f t="shared" si="83"/>
        <v/>
      </c>
    </row>
    <row r="5267" spans="6:6">
      <c r="F5267" t="str">
        <f t="shared" si="83"/>
        <v/>
      </c>
    </row>
    <row r="5268" spans="6:6">
      <c r="F5268" t="str">
        <f t="shared" si="83"/>
        <v/>
      </c>
    </row>
    <row r="5269" spans="6:6">
      <c r="F5269" t="str">
        <f t="shared" si="83"/>
        <v/>
      </c>
    </row>
    <row r="5270" spans="6:6">
      <c r="F5270" t="str">
        <f t="shared" si="83"/>
        <v/>
      </c>
    </row>
    <row r="5271" spans="6:6">
      <c r="F5271" t="str">
        <f t="shared" si="83"/>
        <v/>
      </c>
    </row>
    <row r="5272" spans="6:6">
      <c r="F5272" t="str">
        <f t="shared" si="83"/>
        <v/>
      </c>
    </row>
    <row r="5273" spans="6:6">
      <c r="F5273" t="str">
        <f t="shared" si="83"/>
        <v/>
      </c>
    </row>
    <row r="5274" spans="6:6">
      <c r="F5274" t="str">
        <f t="shared" si="83"/>
        <v/>
      </c>
    </row>
    <row r="5275" spans="6:6">
      <c r="F5275" t="str">
        <f t="shared" si="83"/>
        <v/>
      </c>
    </row>
    <row r="5276" spans="6:6">
      <c r="F5276" t="str">
        <f t="shared" si="83"/>
        <v/>
      </c>
    </row>
    <row r="5277" spans="6:6">
      <c r="F5277" t="str">
        <f t="shared" si="83"/>
        <v/>
      </c>
    </row>
    <row r="5278" spans="6:6">
      <c r="F5278" t="str">
        <f t="shared" si="83"/>
        <v/>
      </c>
    </row>
    <row r="5279" spans="6:6">
      <c r="F5279" t="str">
        <f t="shared" si="83"/>
        <v/>
      </c>
    </row>
    <row r="5280" spans="6:6">
      <c r="F5280" t="str">
        <f t="shared" si="83"/>
        <v/>
      </c>
    </row>
    <row r="5281" spans="6:6">
      <c r="F5281" t="str">
        <f t="shared" si="83"/>
        <v/>
      </c>
    </row>
    <row r="5282" spans="6:6">
      <c r="F5282" t="str">
        <f t="shared" si="83"/>
        <v/>
      </c>
    </row>
    <row r="5283" spans="6:6">
      <c r="F5283" t="str">
        <f t="shared" si="83"/>
        <v/>
      </c>
    </row>
    <row r="5284" spans="6:6">
      <c r="F5284" t="str">
        <f t="shared" si="83"/>
        <v/>
      </c>
    </row>
    <row r="5285" spans="6:6">
      <c r="F5285" t="str">
        <f t="shared" si="83"/>
        <v/>
      </c>
    </row>
    <row r="5286" spans="6:6">
      <c r="F5286" t="str">
        <f t="shared" si="83"/>
        <v/>
      </c>
    </row>
    <row r="5287" spans="6:6">
      <c r="F5287" t="str">
        <f t="shared" si="83"/>
        <v/>
      </c>
    </row>
    <row r="5288" spans="6:6">
      <c r="F5288" t="str">
        <f t="shared" si="83"/>
        <v/>
      </c>
    </row>
    <row r="5289" spans="6:6">
      <c r="F5289" t="str">
        <f t="shared" si="83"/>
        <v/>
      </c>
    </row>
    <row r="5290" spans="6:6">
      <c r="F5290" t="str">
        <f t="shared" si="83"/>
        <v/>
      </c>
    </row>
    <row r="5291" spans="6:6">
      <c r="F5291" t="str">
        <f t="shared" si="83"/>
        <v/>
      </c>
    </row>
    <row r="5292" spans="6:6">
      <c r="F5292" t="str">
        <f t="shared" si="83"/>
        <v/>
      </c>
    </row>
    <row r="5293" spans="6:6">
      <c r="F5293" t="str">
        <f t="shared" si="83"/>
        <v/>
      </c>
    </row>
    <row r="5294" spans="6:6">
      <c r="F5294" t="str">
        <f t="shared" si="83"/>
        <v/>
      </c>
    </row>
    <row r="5295" spans="6:6">
      <c r="F5295" t="str">
        <f t="shared" si="83"/>
        <v/>
      </c>
    </row>
    <row r="5296" spans="6:6">
      <c r="F5296" t="str">
        <f t="shared" si="83"/>
        <v/>
      </c>
    </row>
    <row r="5297" spans="6:6">
      <c r="F5297" t="str">
        <f t="shared" si="83"/>
        <v/>
      </c>
    </row>
    <row r="5298" spans="6:6">
      <c r="F5298" t="str">
        <f t="shared" si="83"/>
        <v/>
      </c>
    </row>
    <row r="5299" spans="6:6">
      <c r="F5299" t="str">
        <f t="shared" si="83"/>
        <v/>
      </c>
    </row>
    <row r="5300" spans="6:6">
      <c r="F5300" t="str">
        <f t="shared" si="83"/>
        <v/>
      </c>
    </row>
    <row r="5301" spans="6:6">
      <c r="F5301" t="str">
        <f t="shared" si="83"/>
        <v/>
      </c>
    </row>
    <row r="5302" spans="6:6">
      <c r="F5302" t="str">
        <f t="shared" si="83"/>
        <v/>
      </c>
    </row>
    <row r="5303" spans="6:6">
      <c r="F5303" t="str">
        <f t="shared" si="83"/>
        <v/>
      </c>
    </row>
    <row r="5304" spans="6:6">
      <c r="F5304" t="str">
        <f t="shared" si="83"/>
        <v/>
      </c>
    </row>
    <row r="5305" spans="6:6">
      <c r="F5305" t="str">
        <f t="shared" si="83"/>
        <v/>
      </c>
    </row>
    <row r="5306" spans="6:6">
      <c r="F5306" t="str">
        <f t="shared" si="83"/>
        <v/>
      </c>
    </row>
    <row r="5307" spans="6:6">
      <c r="F5307" t="str">
        <f t="shared" si="83"/>
        <v/>
      </c>
    </row>
    <row r="5308" spans="6:6">
      <c r="F5308" t="str">
        <f t="shared" si="83"/>
        <v/>
      </c>
    </row>
    <row r="5309" spans="6:6">
      <c r="F5309" t="str">
        <f t="shared" si="83"/>
        <v/>
      </c>
    </row>
    <row r="5310" spans="6:6">
      <c r="F5310" t="str">
        <f t="shared" si="83"/>
        <v/>
      </c>
    </row>
    <row r="5311" spans="6:6">
      <c r="F5311" t="str">
        <f t="shared" si="83"/>
        <v/>
      </c>
    </row>
    <row r="5312" spans="6:6">
      <c r="F5312" t="str">
        <f t="shared" si="83"/>
        <v/>
      </c>
    </row>
    <row r="5313" spans="6:6">
      <c r="F5313" t="str">
        <f t="shared" si="83"/>
        <v/>
      </c>
    </row>
    <row r="5314" spans="6:6">
      <c r="F5314" t="str">
        <f t="shared" si="83"/>
        <v/>
      </c>
    </row>
    <row r="5315" spans="6:6">
      <c r="F5315" t="str">
        <f t="shared" si="83"/>
        <v/>
      </c>
    </row>
    <row r="5316" spans="6:6">
      <c r="F5316" t="str">
        <f t="shared" si="83"/>
        <v/>
      </c>
    </row>
    <row r="5317" spans="6:6">
      <c r="F5317" t="str">
        <f t="shared" si="83"/>
        <v/>
      </c>
    </row>
    <row r="5318" spans="6:6">
      <c r="F5318" t="str">
        <f t="shared" si="83"/>
        <v/>
      </c>
    </row>
    <row r="5319" spans="6:6">
      <c r="F5319" t="str">
        <f t="shared" si="83"/>
        <v/>
      </c>
    </row>
    <row r="5320" spans="6:6">
      <c r="F5320" t="str">
        <f t="shared" si="83"/>
        <v/>
      </c>
    </row>
    <row r="5321" spans="6:6">
      <c r="F5321" t="str">
        <f t="shared" si="83"/>
        <v/>
      </c>
    </row>
    <row r="5322" spans="6:6">
      <c r="F5322" t="str">
        <f t="shared" si="83"/>
        <v/>
      </c>
    </row>
    <row r="5323" spans="6:6">
      <c r="F5323" t="str">
        <f t="shared" si="83"/>
        <v/>
      </c>
    </row>
    <row r="5324" spans="6:6">
      <c r="F5324" t="str">
        <f t="shared" si="83"/>
        <v/>
      </c>
    </row>
    <row r="5325" spans="6:6">
      <c r="F5325" t="str">
        <f t="shared" ref="F5325:F5388" si="84">RIGHT(D5325,2)</f>
        <v/>
      </c>
    </row>
    <row r="5326" spans="6:6">
      <c r="F5326" t="str">
        <f t="shared" si="84"/>
        <v/>
      </c>
    </row>
    <row r="5327" spans="6:6">
      <c r="F5327" t="str">
        <f t="shared" si="84"/>
        <v/>
      </c>
    </row>
    <row r="5328" spans="6:6">
      <c r="F5328" t="str">
        <f t="shared" si="84"/>
        <v/>
      </c>
    </row>
    <row r="5329" spans="6:6">
      <c r="F5329" t="str">
        <f t="shared" si="84"/>
        <v/>
      </c>
    </row>
    <row r="5330" spans="6:6">
      <c r="F5330" t="str">
        <f t="shared" si="84"/>
        <v/>
      </c>
    </row>
    <row r="5331" spans="6:6">
      <c r="F5331" t="str">
        <f t="shared" si="84"/>
        <v/>
      </c>
    </row>
    <row r="5332" spans="6:6">
      <c r="F5332" t="str">
        <f t="shared" si="84"/>
        <v/>
      </c>
    </row>
    <row r="5333" spans="6:6">
      <c r="F5333" t="str">
        <f t="shared" si="84"/>
        <v/>
      </c>
    </row>
    <row r="5334" spans="6:6">
      <c r="F5334" t="str">
        <f t="shared" si="84"/>
        <v/>
      </c>
    </row>
    <row r="5335" spans="6:6">
      <c r="F5335" t="str">
        <f t="shared" si="84"/>
        <v/>
      </c>
    </row>
    <row r="5336" spans="6:6">
      <c r="F5336" t="str">
        <f t="shared" si="84"/>
        <v/>
      </c>
    </row>
    <row r="5337" spans="6:6">
      <c r="F5337" t="str">
        <f t="shared" si="84"/>
        <v/>
      </c>
    </row>
    <row r="5338" spans="6:6">
      <c r="F5338" t="str">
        <f t="shared" si="84"/>
        <v/>
      </c>
    </row>
    <row r="5339" spans="6:6">
      <c r="F5339" t="str">
        <f t="shared" si="84"/>
        <v/>
      </c>
    </row>
    <row r="5340" spans="6:6">
      <c r="F5340" t="str">
        <f t="shared" si="84"/>
        <v/>
      </c>
    </row>
    <row r="5341" spans="6:6">
      <c r="F5341" t="str">
        <f t="shared" si="84"/>
        <v/>
      </c>
    </row>
    <row r="5342" spans="6:6">
      <c r="F5342" t="str">
        <f t="shared" si="84"/>
        <v/>
      </c>
    </row>
    <row r="5343" spans="6:6">
      <c r="F5343" t="str">
        <f t="shared" si="84"/>
        <v/>
      </c>
    </row>
    <row r="5344" spans="6:6">
      <c r="F5344" t="str">
        <f t="shared" si="84"/>
        <v/>
      </c>
    </row>
    <row r="5345" spans="6:6">
      <c r="F5345" t="str">
        <f t="shared" si="84"/>
        <v/>
      </c>
    </row>
    <row r="5346" spans="6:6">
      <c r="F5346" t="str">
        <f t="shared" si="84"/>
        <v/>
      </c>
    </row>
    <row r="5347" spans="6:6">
      <c r="F5347" t="str">
        <f t="shared" si="84"/>
        <v/>
      </c>
    </row>
    <row r="5348" spans="6:6">
      <c r="F5348" t="str">
        <f t="shared" si="84"/>
        <v/>
      </c>
    </row>
    <row r="5349" spans="6:6">
      <c r="F5349" t="str">
        <f t="shared" si="84"/>
        <v/>
      </c>
    </row>
    <row r="5350" spans="6:6">
      <c r="F5350" t="str">
        <f t="shared" si="84"/>
        <v/>
      </c>
    </row>
    <row r="5351" spans="6:6">
      <c r="F5351" t="str">
        <f t="shared" si="84"/>
        <v/>
      </c>
    </row>
    <row r="5352" spans="6:6">
      <c r="F5352" t="str">
        <f t="shared" si="84"/>
        <v/>
      </c>
    </row>
    <row r="5353" spans="6:6">
      <c r="F5353" t="str">
        <f t="shared" si="84"/>
        <v/>
      </c>
    </row>
    <row r="5354" spans="6:6">
      <c r="F5354" t="str">
        <f t="shared" si="84"/>
        <v/>
      </c>
    </row>
    <row r="5355" spans="6:6">
      <c r="F5355" t="str">
        <f t="shared" si="84"/>
        <v/>
      </c>
    </row>
    <row r="5356" spans="6:6">
      <c r="F5356" t="str">
        <f t="shared" si="84"/>
        <v/>
      </c>
    </row>
    <row r="5357" spans="6:6">
      <c r="F5357" t="str">
        <f t="shared" si="84"/>
        <v/>
      </c>
    </row>
    <row r="5358" spans="6:6">
      <c r="F5358" t="str">
        <f t="shared" si="84"/>
        <v/>
      </c>
    </row>
    <row r="5359" spans="6:6">
      <c r="F5359" t="str">
        <f t="shared" si="84"/>
        <v/>
      </c>
    </row>
    <row r="5360" spans="6:6">
      <c r="F5360" t="str">
        <f t="shared" si="84"/>
        <v/>
      </c>
    </row>
    <row r="5361" spans="6:6">
      <c r="F5361" t="str">
        <f t="shared" si="84"/>
        <v/>
      </c>
    </row>
    <row r="5362" spans="6:6">
      <c r="F5362" t="str">
        <f t="shared" si="84"/>
        <v/>
      </c>
    </row>
    <row r="5363" spans="6:6">
      <c r="F5363" t="str">
        <f t="shared" si="84"/>
        <v/>
      </c>
    </row>
    <row r="5364" spans="6:6">
      <c r="F5364" t="str">
        <f t="shared" si="84"/>
        <v/>
      </c>
    </row>
    <row r="5365" spans="6:6">
      <c r="F5365" t="str">
        <f t="shared" si="84"/>
        <v/>
      </c>
    </row>
    <row r="5366" spans="6:6">
      <c r="F5366" t="str">
        <f t="shared" si="84"/>
        <v/>
      </c>
    </row>
    <row r="5367" spans="6:6">
      <c r="F5367" t="str">
        <f t="shared" si="84"/>
        <v/>
      </c>
    </row>
    <row r="5368" spans="6:6">
      <c r="F5368" t="str">
        <f t="shared" si="84"/>
        <v/>
      </c>
    </row>
    <row r="5369" spans="6:6">
      <c r="F5369" t="str">
        <f t="shared" si="84"/>
        <v/>
      </c>
    </row>
    <row r="5370" spans="6:6">
      <c r="F5370" t="str">
        <f t="shared" si="84"/>
        <v/>
      </c>
    </row>
    <row r="5371" spans="6:6">
      <c r="F5371" t="str">
        <f t="shared" si="84"/>
        <v/>
      </c>
    </row>
    <row r="5372" spans="6:6">
      <c r="F5372" t="str">
        <f t="shared" si="84"/>
        <v/>
      </c>
    </row>
    <row r="5373" spans="6:6">
      <c r="F5373" t="str">
        <f t="shared" si="84"/>
        <v/>
      </c>
    </row>
    <row r="5374" spans="6:6">
      <c r="F5374" t="str">
        <f t="shared" si="84"/>
        <v/>
      </c>
    </row>
    <row r="5375" spans="6:6">
      <c r="F5375" t="str">
        <f t="shared" si="84"/>
        <v/>
      </c>
    </row>
    <row r="5376" spans="6:6">
      <c r="F5376" t="str">
        <f t="shared" si="84"/>
        <v/>
      </c>
    </row>
    <row r="5377" spans="6:6">
      <c r="F5377" t="str">
        <f t="shared" si="84"/>
        <v/>
      </c>
    </row>
    <row r="5378" spans="6:6">
      <c r="F5378" t="str">
        <f t="shared" si="84"/>
        <v/>
      </c>
    </row>
    <row r="5379" spans="6:6">
      <c r="F5379" t="str">
        <f t="shared" si="84"/>
        <v/>
      </c>
    </row>
    <row r="5380" spans="6:6">
      <c r="F5380" t="str">
        <f t="shared" si="84"/>
        <v/>
      </c>
    </row>
    <row r="5381" spans="6:6">
      <c r="F5381" t="str">
        <f t="shared" si="84"/>
        <v/>
      </c>
    </row>
    <row r="5382" spans="6:6">
      <c r="F5382" t="str">
        <f t="shared" si="84"/>
        <v/>
      </c>
    </row>
    <row r="5383" spans="6:6">
      <c r="F5383" t="str">
        <f t="shared" si="84"/>
        <v/>
      </c>
    </row>
    <row r="5384" spans="6:6">
      <c r="F5384" t="str">
        <f t="shared" si="84"/>
        <v/>
      </c>
    </row>
    <row r="5385" spans="6:6">
      <c r="F5385" t="str">
        <f t="shared" si="84"/>
        <v/>
      </c>
    </row>
    <row r="5386" spans="6:6">
      <c r="F5386" t="str">
        <f t="shared" si="84"/>
        <v/>
      </c>
    </row>
    <row r="5387" spans="6:6">
      <c r="F5387" t="str">
        <f t="shared" si="84"/>
        <v/>
      </c>
    </row>
    <row r="5388" spans="6:6">
      <c r="F5388" t="str">
        <f t="shared" si="84"/>
        <v/>
      </c>
    </row>
    <row r="5389" spans="6:6">
      <c r="F5389" t="str">
        <f t="shared" ref="F5389:F5452" si="85">RIGHT(D5389,2)</f>
        <v/>
      </c>
    </row>
    <row r="5390" spans="6:6">
      <c r="F5390" t="str">
        <f t="shared" si="85"/>
        <v/>
      </c>
    </row>
    <row r="5391" spans="6:6">
      <c r="F5391" t="str">
        <f t="shared" si="85"/>
        <v/>
      </c>
    </row>
    <row r="5392" spans="6:6">
      <c r="F5392" t="str">
        <f t="shared" si="85"/>
        <v/>
      </c>
    </row>
    <row r="5393" spans="6:6">
      <c r="F5393" t="str">
        <f t="shared" si="85"/>
        <v/>
      </c>
    </row>
    <row r="5394" spans="6:6">
      <c r="F5394" t="str">
        <f t="shared" si="85"/>
        <v/>
      </c>
    </row>
    <row r="5395" spans="6:6">
      <c r="F5395" t="str">
        <f t="shared" si="85"/>
        <v/>
      </c>
    </row>
    <row r="5396" spans="6:6">
      <c r="F5396" t="str">
        <f t="shared" si="85"/>
        <v/>
      </c>
    </row>
    <row r="5397" spans="6:6">
      <c r="F5397" t="str">
        <f t="shared" si="85"/>
        <v/>
      </c>
    </row>
    <row r="5398" spans="6:6">
      <c r="F5398" t="str">
        <f t="shared" si="85"/>
        <v/>
      </c>
    </row>
    <row r="5399" spans="6:6">
      <c r="F5399" t="str">
        <f t="shared" si="85"/>
        <v/>
      </c>
    </row>
    <row r="5400" spans="6:6">
      <c r="F5400" t="str">
        <f t="shared" si="85"/>
        <v/>
      </c>
    </row>
    <row r="5401" spans="6:6">
      <c r="F5401" t="str">
        <f t="shared" si="85"/>
        <v/>
      </c>
    </row>
    <row r="5402" spans="6:6">
      <c r="F5402" t="str">
        <f t="shared" si="85"/>
        <v/>
      </c>
    </row>
    <row r="5403" spans="6:6">
      <c r="F5403" t="str">
        <f t="shared" si="85"/>
        <v/>
      </c>
    </row>
    <row r="5404" spans="6:6">
      <c r="F5404" t="str">
        <f t="shared" si="85"/>
        <v/>
      </c>
    </row>
    <row r="5405" spans="6:6">
      <c r="F5405" t="str">
        <f t="shared" si="85"/>
        <v/>
      </c>
    </row>
    <row r="5406" spans="6:6">
      <c r="F5406" t="str">
        <f t="shared" si="85"/>
        <v/>
      </c>
    </row>
    <row r="5407" spans="6:6">
      <c r="F5407" t="str">
        <f t="shared" si="85"/>
        <v/>
      </c>
    </row>
    <row r="5408" spans="6:6">
      <c r="F5408" t="str">
        <f t="shared" si="85"/>
        <v/>
      </c>
    </row>
    <row r="5409" spans="6:6">
      <c r="F5409" t="str">
        <f t="shared" si="85"/>
        <v/>
      </c>
    </row>
    <row r="5410" spans="6:6">
      <c r="F5410" t="str">
        <f t="shared" si="85"/>
        <v/>
      </c>
    </row>
    <row r="5411" spans="6:6">
      <c r="F5411" t="str">
        <f t="shared" si="85"/>
        <v/>
      </c>
    </row>
    <row r="5412" spans="6:6">
      <c r="F5412" t="str">
        <f t="shared" si="85"/>
        <v/>
      </c>
    </row>
    <row r="5413" spans="6:6">
      <c r="F5413" t="str">
        <f t="shared" si="85"/>
        <v/>
      </c>
    </row>
    <row r="5414" spans="6:6">
      <c r="F5414" t="str">
        <f t="shared" si="85"/>
        <v/>
      </c>
    </row>
    <row r="5415" spans="6:6">
      <c r="F5415" t="str">
        <f t="shared" si="85"/>
        <v/>
      </c>
    </row>
    <row r="5416" spans="6:6">
      <c r="F5416" t="str">
        <f t="shared" si="85"/>
        <v/>
      </c>
    </row>
    <row r="5417" spans="6:6">
      <c r="F5417" t="str">
        <f t="shared" si="85"/>
        <v/>
      </c>
    </row>
    <row r="5418" spans="6:6">
      <c r="F5418" t="str">
        <f t="shared" si="85"/>
        <v/>
      </c>
    </row>
    <row r="5419" spans="6:6">
      <c r="F5419" t="str">
        <f t="shared" si="85"/>
        <v/>
      </c>
    </row>
    <row r="5420" spans="6:6">
      <c r="F5420" t="str">
        <f t="shared" si="85"/>
        <v/>
      </c>
    </row>
    <row r="5421" spans="6:6">
      <c r="F5421" t="str">
        <f t="shared" si="85"/>
        <v/>
      </c>
    </row>
    <row r="5422" spans="6:6">
      <c r="F5422" t="str">
        <f t="shared" si="85"/>
        <v/>
      </c>
    </row>
    <row r="5423" spans="6:6">
      <c r="F5423" t="str">
        <f t="shared" si="85"/>
        <v/>
      </c>
    </row>
    <row r="5424" spans="6:6">
      <c r="F5424" t="str">
        <f t="shared" si="85"/>
        <v/>
      </c>
    </row>
    <row r="5425" spans="6:6">
      <c r="F5425" t="str">
        <f t="shared" si="85"/>
        <v/>
      </c>
    </row>
    <row r="5426" spans="6:6">
      <c r="F5426" t="str">
        <f t="shared" si="85"/>
        <v/>
      </c>
    </row>
    <row r="5427" spans="6:6">
      <c r="F5427" t="str">
        <f t="shared" si="85"/>
        <v/>
      </c>
    </row>
    <row r="5428" spans="6:6">
      <c r="F5428" t="str">
        <f t="shared" si="85"/>
        <v/>
      </c>
    </row>
    <row r="5429" spans="6:6">
      <c r="F5429" t="str">
        <f t="shared" si="85"/>
        <v/>
      </c>
    </row>
    <row r="5430" spans="6:6">
      <c r="F5430" t="str">
        <f t="shared" si="85"/>
        <v/>
      </c>
    </row>
    <row r="5431" spans="6:6">
      <c r="F5431" t="str">
        <f t="shared" si="85"/>
        <v/>
      </c>
    </row>
    <row r="5432" spans="6:6">
      <c r="F5432" t="str">
        <f t="shared" si="85"/>
        <v/>
      </c>
    </row>
    <row r="5433" spans="6:6">
      <c r="F5433" t="str">
        <f t="shared" si="85"/>
        <v/>
      </c>
    </row>
    <row r="5434" spans="6:6">
      <c r="F5434" t="str">
        <f t="shared" si="85"/>
        <v/>
      </c>
    </row>
    <row r="5435" spans="6:6">
      <c r="F5435" t="str">
        <f t="shared" si="85"/>
        <v/>
      </c>
    </row>
    <row r="5436" spans="6:6">
      <c r="F5436" t="str">
        <f t="shared" si="85"/>
        <v/>
      </c>
    </row>
    <row r="5437" spans="6:6">
      <c r="F5437" t="str">
        <f t="shared" si="85"/>
        <v/>
      </c>
    </row>
    <row r="5438" spans="6:6">
      <c r="F5438" t="str">
        <f t="shared" si="85"/>
        <v/>
      </c>
    </row>
    <row r="5439" spans="6:6">
      <c r="F5439" t="str">
        <f t="shared" si="85"/>
        <v/>
      </c>
    </row>
    <row r="5440" spans="6:6">
      <c r="F5440" t="str">
        <f t="shared" si="85"/>
        <v/>
      </c>
    </row>
    <row r="5441" spans="6:6">
      <c r="F5441" t="str">
        <f t="shared" si="85"/>
        <v/>
      </c>
    </row>
    <row r="5442" spans="6:6">
      <c r="F5442" t="str">
        <f t="shared" si="85"/>
        <v/>
      </c>
    </row>
    <row r="5443" spans="6:6">
      <c r="F5443" t="str">
        <f t="shared" si="85"/>
        <v/>
      </c>
    </row>
    <row r="5444" spans="6:6">
      <c r="F5444" t="str">
        <f t="shared" si="85"/>
        <v/>
      </c>
    </row>
    <row r="5445" spans="6:6">
      <c r="F5445" t="str">
        <f t="shared" si="85"/>
        <v/>
      </c>
    </row>
    <row r="5446" spans="6:6">
      <c r="F5446" t="str">
        <f t="shared" si="85"/>
        <v/>
      </c>
    </row>
    <row r="5447" spans="6:6">
      <c r="F5447" t="str">
        <f t="shared" si="85"/>
        <v/>
      </c>
    </row>
    <row r="5448" spans="6:6">
      <c r="F5448" t="str">
        <f t="shared" si="85"/>
        <v/>
      </c>
    </row>
    <row r="5449" spans="6:6">
      <c r="F5449" t="str">
        <f t="shared" si="85"/>
        <v/>
      </c>
    </row>
    <row r="5450" spans="6:6">
      <c r="F5450" t="str">
        <f t="shared" si="85"/>
        <v/>
      </c>
    </row>
    <row r="5451" spans="6:6">
      <c r="F5451" t="str">
        <f t="shared" si="85"/>
        <v/>
      </c>
    </row>
    <row r="5452" spans="6:6">
      <c r="F5452" t="str">
        <f t="shared" si="85"/>
        <v/>
      </c>
    </row>
    <row r="5453" spans="6:6">
      <c r="F5453" t="str">
        <f t="shared" ref="F5453:F5516" si="86">RIGHT(D5453,2)</f>
        <v/>
      </c>
    </row>
    <row r="5454" spans="6:6">
      <c r="F5454" t="str">
        <f t="shared" si="86"/>
        <v/>
      </c>
    </row>
    <row r="5455" spans="6:6">
      <c r="F5455" t="str">
        <f t="shared" si="86"/>
        <v/>
      </c>
    </row>
    <row r="5456" spans="6:6">
      <c r="F5456" t="str">
        <f t="shared" si="86"/>
        <v/>
      </c>
    </row>
    <row r="5457" spans="6:6">
      <c r="F5457" t="str">
        <f t="shared" si="86"/>
        <v/>
      </c>
    </row>
    <row r="5458" spans="6:6">
      <c r="F5458" t="str">
        <f t="shared" si="86"/>
        <v/>
      </c>
    </row>
    <row r="5459" spans="6:6">
      <c r="F5459" t="str">
        <f t="shared" si="86"/>
        <v/>
      </c>
    </row>
    <row r="5460" spans="6:6">
      <c r="F5460" t="str">
        <f t="shared" si="86"/>
        <v/>
      </c>
    </row>
    <row r="5461" spans="6:6">
      <c r="F5461" t="str">
        <f t="shared" si="86"/>
        <v/>
      </c>
    </row>
    <row r="5462" spans="6:6">
      <c r="F5462" t="str">
        <f t="shared" si="86"/>
        <v/>
      </c>
    </row>
    <row r="5463" spans="6:6">
      <c r="F5463" t="str">
        <f t="shared" si="86"/>
        <v/>
      </c>
    </row>
    <row r="5464" spans="6:6">
      <c r="F5464" t="str">
        <f t="shared" si="86"/>
        <v/>
      </c>
    </row>
    <row r="5465" spans="6:6">
      <c r="F5465" t="str">
        <f t="shared" si="86"/>
        <v/>
      </c>
    </row>
    <row r="5466" spans="6:6">
      <c r="F5466" t="str">
        <f t="shared" si="86"/>
        <v/>
      </c>
    </row>
    <row r="5467" spans="6:6">
      <c r="F5467" t="str">
        <f t="shared" si="86"/>
        <v/>
      </c>
    </row>
    <row r="5468" spans="6:6">
      <c r="F5468" t="str">
        <f t="shared" si="86"/>
        <v/>
      </c>
    </row>
    <row r="5469" spans="6:6">
      <c r="F5469" t="str">
        <f t="shared" si="86"/>
        <v/>
      </c>
    </row>
    <row r="5470" spans="6:6">
      <c r="F5470" t="str">
        <f t="shared" si="86"/>
        <v/>
      </c>
    </row>
    <row r="5471" spans="6:6">
      <c r="F5471" t="str">
        <f t="shared" si="86"/>
        <v/>
      </c>
    </row>
    <row r="5472" spans="6:6">
      <c r="F5472" t="str">
        <f t="shared" si="86"/>
        <v/>
      </c>
    </row>
    <row r="5473" spans="6:6">
      <c r="F5473" t="str">
        <f t="shared" si="86"/>
        <v/>
      </c>
    </row>
    <row r="5474" spans="6:6">
      <c r="F5474" t="str">
        <f t="shared" si="86"/>
        <v/>
      </c>
    </row>
    <row r="5475" spans="6:6">
      <c r="F5475" t="str">
        <f t="shared" si="86"/>
        <v/>
      </c>
    </row>
    <row r="5476" spans="6:6">
      <c r="F5476" t="str">
        <f t="shared" si="86"/>
        <v/>
      </c>
    </row>
    <row r="5477" spans="6:6">
      <c r="F5477" t="str">
        <f t="shared" si="86"/>
        <v/>
      </c>
    </row>
    <row r="5478" spans="6:6">
      <c r="F5478" t="str">
        <f t="shared" si="86"/>
        <v/>
      </c>
    </row>
    <row r="5479" spans="6:6">
      <c r="F5479" t="str">
        <f t="shared" si="86"/>
        <v/>
      </c>
    </row>
    <row r="5480" spans="6:6">
      <c r="F5480" t="str">
        <f t="shared" si="86"/>
        <v/>
      </c>
    </row>
    <row r="5481" spans="6:6">
      <c r="F5481" t="str">
        <f t="shared" si="86"/>
        <v/>
      </c>
    </row>
    <row r="5482" spans="6:6">
      <c r="F5482" t="str">
        <f t="shared" si="86"/>
        <v/>
      </c>
    </row>
    <row r="5483" spans="6:6">
      <c r="F5483" t="str">
        <f t="shared" si="86"/>
        <v/>
      </c>
    </row>
    <row r="5484" spans="6:6">
      <c r="F5484" t="str">
        <f t="shared" si="86"/>
        <v/>
      </c>
    </row>
    <row r="5485" spans="6:6">
      <c r="F5485" t="str">
        <f t="shared" si="86"/>
        <v/>
      </c>
    </row>
    <row r="5486" spans="6:6">
      <c r="F5486" t="str">
        <f t="shared" si="86"/>
        <v/>
      </c>
    </row>
    <row r="5487" spans="6:6">
      <c r="F5487" t="str">
        <f t="shared" si="86"/>
        <v/>
      </c>
    </row>
    <row r="5488" spans="6:6">
      <c r="F5488" t="str">
        <f t="shared" si="86"/>
        <v/>
      </c>
    </row>
    <row r="5489" spans="6:6">
      <c r="F5489" t="str">
        <f t="shared" si="86"/>
        <v/>
      </c>
    </row>
    <row r="5490" spans="6:6">
      <c r="F5490" t="str">
        <f t="shared" si="86"/>
        <v/>
      </c>
    </row>
    <row r="5491" spans="6:6">
      <c r="F5491" t="str">
        <f t="shared" si="86"/>
        <v/>
      </c>
    </row>
    <row r="5492" spans="6:6">
      <c r="F5492" t="str">
        <f t="shared" si="86"/>
        <v/>
      </c>
    </row>
    <row r="5493" spans="6:6">
      <c r="F5493" t="str">
        <f t="shared" si="86"/>
        <v/>
      </c>
    </row>
    <row r="5494" spans="6:6">
      <c r="F5494" t="str">
        <f t="shared" si="86"/>
        <v/>
      </c>
    </row>
    <row r="5495" spans="6:6">
      <c r="F5495" t="str">
        <f t="shared" si="86"/>
        <v/>
      </c>
    </row>
    <row r="5496" spans="6:6">
      <c r="F5496" t="str">
        <f t="shared" si="86"/>
        <v/>
      </c>
    </row>
    <row r="5497" spans="6:6">
      <c r="F5497" t="str">
        <f t="shared" si="86"/>
        <v/>
      </c>
    </row>
    <row r="5498" spans="6:6">
      <c r="F5498" t="str">
        <f t="shared" si="86"/>
        <v/>
      </c>
    </row>
    <row r="5499" spans="6:6">
      <c r="F5499" t="str">
        <f t="shared" si="86"/>
        <v/>
      </c>
    </row>
    <row r="5500" spans="6:6">
      <c r="F5500" t="str">
        <f t="shared" si="86"/>
        <v/>
      </c>
    </row>
    <row r="5501" spans="6:6">
      <c r="F5501" t="str">
        <f t="shared" si="86"/>
        <v/>
      </c>
    </row>
    <row r="5502" spans="6:6">
      <c r="F5502" t="str">
        <f t="shared" si="86"/>
        <v/>
      </c>
    </row>
    <row r="5503" spans="6:6">
      <c r="F5503" t="str">
        <f t="shared" si="86"/>
        <v/>
      </c>
    </row>
    <row r="5504" spans="6:6">
      <c r="F5504" t="str">
        <f t="shared" si="86"/>
        <v/>
      </c>
    </row>
    <row r="5505" spans="6:6">
      <c r="F5505" t="str">
        <f t="shared" si="86"/>
        <v/>
      </c>
    </row>
    <row r="5506" spans="6:6">
      <c r="F5506" t="str">
        <f t="shared" si="86"/>
        <v/>
      </c>
    </row>
    <row r="5507" spans="6:6">
      <c r="F5507" t="str">
        <f t="shared" si="86"/>
        <v/>
      </c>
    </row>
    <row r="5508" spans="6:6">
      <c r="F5508" t="str">
        <f t="shared" si="86"/>
        <v/>
      </c>
    </row>
    <row r="5509" spans="6:6">
      <c r="F5509" t="str">
        <f t="shared" si="86"/>
        <v/>
      </c>
    </row>
    <row r="5510" spans="6:6">
      <c r="F5510" t="str">
        <f t="shared" si="86"/>
        <v/>
      </c>
    </row>
    <row r="5511" spans="6:6">
      <c r="F5511" t="str">
        <f t="shared" si="86"/>
        <v/>
      </c>
    </row>
    <row r="5512" spans="6:6">
      <c r="F5512" t="str">
        <f t="shared" si="86"/>
        <v/>
      </c>
    </row>
    <row r="5513" spans="6:6">
      <c r="F5513" t="str">
        <f t="shared" si="86"/>
        <v/>
      </c>
    </row>
    <row r="5514" spans="6:6">
      <c r="F5514" t="str">
        <f t="shared" si="86"/>
        <v/>
      </c>
    </row>
    <row r="5515" spans="6:6">
      <c r="F5515" t="str">
        <f t="shared" si="86"/>
        <v/>
      </c>
    </row>
    <row r="5516" spans="6:6">
      <c r="F5516" t="str">
        <f t="shared" si="86"/>
        <v/>
      </c>
    </row>
    <row r="5517" spans="6:6">
      <c r="F5517" t="str">
        <f t="shared" ref="F5517:F5580" si="87">RIGHT(D5517,2)</f>
        <v/>
      </c>
    </row>
    <row r="5518" spans="6:6">
      <c r="F5518" t="str">
        <f t="shared" si="87"/>
        <v/>
      </c>
    </row>
    <row r="5519" spans="6:6">
      <c r="F5519" t="str">
        <f t="shared" si="87"/>
        <v/>
      </c>
    </row>
    <row r="5520" spans="6:6">
      <c r="F5520" t="str">
        <f t="shared" si="87"/>
        <v/>
      </c>
    </row>
    <row r="5521" spans="6:6">
      <c r="F5521" t="str">
        <f t="shared" si="87"/>
        <v/>
      </c>
    </row>
    <row r="5522" spans="6:6">
      <c r="F5522" t="str">
        <f t="shared" si="87"/>
        <v/>
      </c>
    </row>
    <row r="5523" spans="6:6">
      <c r="F5523" t="str">
        <f t="shared" si="87"/>
        <v/>
      </c>
    </row>
    <row r="5524" spans="6:6">
      <c r="F5524" t="str">
        <f t="shared" si="87"/>
        <v/>
      </c>
    </row>
    <row r="5525" spans="6:6">
      <c r="F5525" t="str">
        <f t="shared" si="87"/>
        <v/>
      </c>
    </row>
    <row r="5526" spans="6:6">
      <c r="F5526" t="str">
        <f t="shared" si="87"/>
        <v/>
      </c>
    </row>
    <row r="5527" spans="6:6">
      <c r="F5527" t="str">
        <f t="shared" si="87"/>
        <v/>
      </c>
    </row>
    <row r="5528" spans="6:6">
      <c r="F5528" t="str">
        <f t="shared" si="87"/>
        <v/>
      </c>
    </row>
    <row r="5529" spans="6:6">
      <c r="F5529" t="str">
        <f t="shared" si="87"/>
        <v/>
      </c>
    </row>
    <row r="5530" spans="6:6">
      <c r="F5530" t="str">
        <f t="shared" si="87"/>
        <v/>
      </c>
    </row>
    <row r="5531" spans="6:6">
      <c r="F5531" t="str">
        <f t="shared" si="87"/>
        <v/>
      </c>
    </row>
    <row r="5532" spans="6:6">
      <c r="F5532" t="str">
        <f t="shared" si="87"/>
        <v/>
      </c>
    </row>
    <row r="5533" spans="6:6">
      <c r="F5533" t="str">
        <f t="shared" si="87"/>
        <v/>
      </c>
    </row>
    <row r="5534" spans="6:6">
      <c r="F5534" t="str">
        <f t="shared" si="87"/>
        <v/>
      </c>
    </row>
    <row r="5535" spans="6:6">
      <c r="F5535" t="str">
        <f t="shared" si="87"/>
        <v/>
      </c>
    </row>
    <row r="5536" spans="6:6">
      <c r="F5536" t="str">
        <f t="shared" si="87"/>
        <v/>
      </c>
    </row>
    <row r="5537" spans="6:6">
      <c r="F5537" t="str">
        <f t="shared" si="87"/>
        <v/>
      </c>
    </row>
    <row r="5538" spans="6:6">
      <c r="F5538" t="str">
        <f t="shared" si="87"/>
        <v/>
      </c>
    </row>
    <row r="5539" spans="6:6">
      <c r="F5539" t="str">
        <f t="shared" si="87"/>
        <v/>
      </c>
    </row>
    <row r="5540" spans="6:6">
      <c r="F5540" t="str">
        <f t="shared" si="87"/>
        <v/>
      </c>
    </row>
    <row r="5541" spans="6:6">
      <c r="F5541" t="str">
        <f t="shared" si="87"/>
        <v/>
      </c>
    </row>
    <row r="5542" spans="6:6">
      <c r="F5542" t="str">
        <f t="shared" si="87"/>
        <v/>
      </c>
    </row>
    <row r="5543" spans="6:6">
      <c r="F5543" t="str">
        <f t="shared" si="87"/>
        <v/>
      </c>
    </row>
    <row r="5544" spans="6:6">
      <c r="F5544" t="str">
        <f t="shared" si="87"/>
        <v/>
      </c>
    </row>
    <row r="5545" spans="6:6">
      <c r="F5545" t="str">
        <f t="shared" si="87"/>
        <v/>
      </c>
    </row>
    <row r="5546" spans="6:6">
      <c r="F5546" t="str">
        <f t="shared" si="87"/>
        <v/>
      </c>
    </row>
    <row r="5547" spans="6:6">
      <c r="F5547" t="str">
        <f t="shared" si="87"/>
        <v/>
      </c>
    </row>
    <row r="5548" spans="6:6">
      <c r="F5548" t="str">
        <f t="shared" si="87"/>
        <v/>
      </c>
    </row>
    <row r="5549" spans="6:6">
      <c r="F5549" t="str">
        <f t="shared" si="87"/>
        <v/>
      </c>
    </row>
    <row r="5550" spans="6:6">
      <c r="F5550" t="str">
        <f t="shared" si="87"/>
        <v/>
      </c>
    </row>
    <row r="5551" spans="6:6">
      <c r="F5551" t="str">
        <f t="shared" si="87"/>
        <v/>
      </c>
    </row>
    <row r="5552" spans="6:6">
      <c r="F5552" t="str">
        <f t="shared" si="87"/>
        <v/>
      </c>
    </row>
    <row r="5553" spans="6:6">
      <c r="F5553" t="str">
        <f t="shared" si="87"/>
        <v/>
      </c>
    </row>
    <row r="5554" spans="6:6">
      <c r="F5554" t="str">
        <f t="shared" si="87"/>
        <v/>
      </c>
    </row>
    <row r="5555" spans="6:6">
      <c r="F5555" t="str">
        <f t="shared" si="87"/>
        <v/>
      </c>
    </row>
    <row r="5556" spans="6:6">
      <c r="F5556" t="str">
        <f t="shared" si="87"/>
        <v/>
      </c>
    </row>
    <row r="5557" spans="6:6">
      <c r="F5557" t="str">
        <f t="shared" si="87"/>
        <v/>
      </c>
    </row>
    <row r="5558" spans="6:6">
      <c r="F5558" t="str">
        <f t="shared" si="87"/>
        <v/>
      </c>
    </row>
    <row r="5559" spans="6:6">
      <c r="F5559" t="str">
        <f t="shared" si="87"/>
        <v/>
      </c>
    </row>
    <row r="5560" spans="6:6">
      <c r="F5560" t="str">
        <f t="shared" si="87"/>
        <v/>
      </c>
    </row>
    <row r="5561" spans="6:6">
      <c r="F5561" t="str">
        <f t="shared" si="87"/>
        <v/>
      </c>
    </row>
    <row r="5562" spans="6:6">
      <c r="F5562" t="str">
        <f t="shared" si="87"/>
        <v/>
      </c>
    </row>
    <row r="5563" spans="6:6">
      <c r="F5563" t="str">
        <f t="shared" si="87"/>
        <v/>
      </c>
    </row>
    <row r="5564" spans="6:6">
      <c r="F5564" t="str">
        <f t="shared" si="87"/>
        <v/>
      </c>
    </row>
    <row r="5565" spans="6:6">
      <c r="F5565" t="str">
        <f t="shared" si="87"/>
        <v/>
      </c>
    </row>
    <row r="5566" spans="6:6">
      <c r="F5566" t="str">
        <f t="shared" si="87"/>
        <v/>
      </c>
    </row>
    <row r="5567" spans="6:6">
      <c r="F5567" t="str">
        <f t="shared" si="87"/>
        <v/>
      </c>
    </row>
    <row r="5568" spans="6:6">
      <c r="F5568" t="str">
        <f t="shared" si="87"/>
        <v/>
      </c>
    </row>
    <row r="5569" spans="6:6">
      <c r="F5569" t="str">
        <f t="shared" si="87"/>
        <v/>
      </c>
    </row>
    <row r="5570" spans="6:6">
      <c r="F5570" t="str">
        <f t="shared" si="87"/>
        <v/>
      </c>
    </row>
    <row r="5571" spans="6:6">
      <c r="F5571" t="str">
        <f t="shared" si="87"/>
        <v/>
      </c>
    </row>
    <row r="5572" spans="6:6">
      <c r="F5572" t="str">
        <f t="shared" si="87"/>
        <v/>
      </c>
    </row>
    <row r="5573" spans="6:6">
      <c r="F5573" t="str">
        <f t="shared" si="87"/>
        <v/>
      </c>
    </row>
    <row r="5574" spans="6:6">
      <c r="F5574" t="str">
        <f t="shared" si="87"/>
        <v/>
      </c>
    </row>
    <row r="5575" spans="6:6">
      <c r="F5575" t="str">
        <f t="shared" si="87"/>
        <v/>
      </c>
    </row>
    <row r="5576" spans="6:6">
      <c r="F5576" t="str">
        <f t="shared" si="87"/>
        <v/>
      </c>
    </row>
    <row r="5577" spans="6:6">
      <c r="F5577" t="str">
        <f t="shared" si="87"/>
        <v/>
      </c>
    </row>
    <row r="5578" spans="6:6">
      <c r="F5578" t="str">
        <f t="shared" si="87"/>
        <v/>
      </c>
    </row>
    <row r="5579" spans="6:6">
      <c r="F5579" t="str">
        <f t="shared" si="87"/>
        <v/>
      </c>
    </row>
    <row r="5580" spans="6:6">
      <c r="F5580" t="str">
        <f t="shared" si="87"/>
        <v/>
      </c>
    </row>
    <row r="5581" spans="6:6">
      <c r="F5581" t="str">
        <f t="shared" ref="F5581:F5644" si="88">RIGHT(D5581,2)</f>
        <v/>
      </c>
    </row>
    <row r="5582" spans="6:6">
      <c r="F5582" t="str">
        <f t="shared" si="88"/>
        <v/>
      </c>
    </row>
    <row r="5583" spans="6:6">
      <c r="F5583" t="str">
        <f t="shared" si="88"/>
        <v/>
      </c>
    </row>
    <row r="5584" spans="6:6">
      <c r="F5584" t="str">
        <f t="shared" si="88"/>
        <v/>
      </c>
    </row>
    <row r="5585" spans="6:6">
      <c r="F5585" t="str">
        <f t="shared" si="88"/>
        <v/>
      </c>
    </row>
    <row r="5586" spans="6:6">
      <c r="F5586" t="str">
        <f t="shared" si="88"/>
        <v/>
      </c>
    </row>
    <row r="5587" spans="6:6">
      <c r="F5587" t="str">
        <f t="shared" si="88"/>
        <v/>
      </c>
    </row>
    <row r="5588" spans="6:6">
      <c r="F5588" t="str">
        <f t="shared" si="88"/>
        <v/>
      </c>
    </row>
    <row r="5589" spans="6:6">
      <c r="F5589" t="str">
        <f t="shared" si="88"/>
        <v/>
      </c>
    </row>
    <row r="5590" spans="6:6">
      <c r="F5590" t="str">
        <f t="shared" si="88"/>
        <v/>
      </c>
    </row>
    <row r="5591" spans="6:6">
      <c r="F5591" t="str">
        <f t="shared" si="88"/>
        <v/>
      </c>
    </row>
    <row r="5592" spans="6:6">
      <c r="F5592" t="str">
        <f t="shared" si="88"/>
        <v/>
      </c>
    </row>
    <row r="5593" spans="6:6">
      <c r="F5593" t="str">
        <f t="shared" si="88"/>
        <v/>
      </c>
    </row>
    <row r="5594" spans="6:6">
      <c r="F5594" t="str">
        <f t="shared" si="88"/>
        <v/>
      </c>
    </row>
    <row r="5595" spans="6:6">
      <c r="F5595" t="str">
        <f t="shared" si="88"/>
        <v/>
      </c>
    </row>
    <row r="5596" spans="6:6">
      <c r="F5596" t="str">
        <f t="shared" si="88"/>
        <v/>
      </c>
    </row>
    <row r="5597" spans="6:6">
      <c r="F5597" t="str">
        <f t="shared" si="88"/>
        <v/>
      </c>
    </row>
    <row r="5598" spans="6:6">
      <c r="F5598" t="str">
        <f t="shared" si="88"/>
        <v/>
      </c>
    </row>
    <row r="5599" spans="6:6">
      <c r="F5599" t="str">
        <f t="shared" si="88"/>
        <v/>
      </c>
    </row>
    <row r="5600" spans="6:6">
      <c r="F5600" t="str">
        <f t="shared" si="88"/>
        <v/>
      </c>
    </row>
    <row r="5601" spans="6:6">
      <c r="F5601" t="str">
        <f t="shared" si="88"/>
        <v/>
      </c>
    </row>
    <row r="5602" spans="6:6">
      <c r="F5602" t="str">
        <f t="shared" si="88"/>
        <v/>
      </c>
    </row>
    <row r="5603" spans="6:6">
      <c r="F5603" t="str">
        <f t="shared" si="88"/>
        <v/>
      </c>
    </row>
    <row r="5604" spans="6:6">
      <c r="F5604" t="str">
        <f t="shared" si="88"/>
        <v/>
      </c>
    </row>
    <row r="5605" spans="6:6">
      <c r="F5605" t="str">
        <f t="shared" si="88"/>
        <v/>
      </c>
    </row>
    <row r="5606" spans="6:6">
      <c r="F5606" t="str">
        <f t="shared" si="88"/>
        <v/>
      </c>
    </row>
    <row r="5607" spans="6:6">
      <c r="F5607" t="str">
        <f t="shared" si="88"/>
        <v/>
      </c>
    </row>
    <row r="5608" spans="6:6">
      <c r="F5608" t="str">
        <f t="shared" si="88"/>
        <v/>
      </c>
    </row>
    <row r="5609" spans="6:6">
      <c r="F5609" t="str">
        <f t="shared" si="88"/>
        <v/>
      </c>
    </row>
    <row r="5610" spans="6:6">
      <c r="F5610" t="str">
        <f t="shared" si="88"/>
        <v/>
      </c>
    </row>
    <row r="5611" spans="6:6">
      <c r="F5611" t="str">
        <f t="shared" si="88"/>
        <v/>
      </c>
    </row>
    <row r="5612" spans="6:6">
      <c r="F5612" t="str">
        <f t="shared" si="88"/>
        <v/>
      </c>
    </row>
    <row r="5613" spans="6:6">
      <c r="F5613" t="str">
        <f t="shared" si="88"/>
        <v/>
      </c>
    </row>
    <row r="5614" spans="6:6">
      <c r="F5614" t="str">
        <f t="shared" si="88"/>
        <v/>
      </c>
    </row>
    <row r="5615" spans="6:6">
      <c r="F5615" t="str">
        <f t="shared" si="88"/>
        <v/>
      </c>
    </row>
    <row r="5616" spans="6:6">
      <c r="F5616" t="str">
        <f t="shared" si="88"/>
        <v/>
      </c>
    </row>
    <row r="5617" spans="6:6">
      <c r="F5617" t="str">
        <f t="shared" si="88"/>
        <v/>
      </c>
    </row>
    <row r="5618" spans="6:6">
      <c r="F5618" t="str">
        <f t="shared" si="88"/>
        <v/>
      </c>
    </row>
    <row r="5619" spans="6:6">
      <c r="F5619" t="str">
        <f t="shared" si="88"/>
        <v/>
      </c>
    </row>
    <row r="5620" spans="6:6">
      <c r="F5620" t="str">
        <f t="shared" si="88"/>
        <v/>
      </c>
    </row>
    <row r="5621" spans="6:6">
      <c r="F5621" t="str">
        <f t="shared" si="88"/>
        <v/>
      </c>
    </row>
    <row r="5622" spans="6:6">
      <c r="F5622" t="str">
        <f t="shared" si="88"/>
        <v/>
      </c>
    </row>
    <row r="5623" spans="6:6">
      <c r="F5623" t="str">
        <f t="shared" si="88"/>
        <v/>
      </c>
    </row>
    <row r="5624" spans="6:6">
      <c r="F5624" t="str">
        <f t="shared" si="88"/>
        <v/>
      </c>
    </row>
    <row r="5625" spans="6:6">
      <c r="F5625" t="str">
        <f t="shared" si="88"/>
        <v/>
      </c>
    </row>
    <row r="5626" spans="6:6">
      <c r="F5626" t="str">
        <f t="shared" si="88"/>
        <v/>
      </c>
    </row>
    <row r="5627" spans="6:6">
      <c r="F5627" t="str">
        <f t="shared" si="88"/>
        <v/>
      </c>
    </row>
    <row r="5628" spans="6:6">
      <c r="F5628" t="str">
        <f t="shared" si="88"/>
        <v/>
      </c>
    </row>
    <row r="5629" spans="6:6">
      <c r="F5629" t="str">
        <f t="shared" si="88"/>
        <v/>
      </c>
    </row>
    <row r="5630" spans="6:6">
      <c r="F5630" t="str">
        <f t="shared" si="88"/>
        <v/>
      </c>
    </row>
    <row r="5631" spans="6:6">
      <c r="F5631" t="str">
        <f t="shared" si="88"/>
        <v/>
      </c>
    </row>
    <row r="5632" spans="6:6">
      <c r="F5632" t="str">
        <f t="shared" si="88"/>
        <v/>
      </c>
    </row>
    <row r="5633" spans="6:6">
      <c r="F5633" t="str">
        <f t="shared" si="88"/>
        <v/>
      </c>
    </row>
    <row r="5634" spans="6:6">
      <c r="F5634" t="str">
        <f t="shared" si="88"/>
        <v/>
      </c>
    </row>
    <row r="5635" spans="6:6">
      <c r="F5635" t="str">
        <f t="shared" si="88"/>
        <v/>
      </c>
    </row>
    <row r="5636" spans="6:6">
      <c r="F5636" t="str">
        <f t="shared" si="88"/>
        <v/>
      </c>
    </row>
    <row r="5637" spans="6:6">
      <c r="F5637" t="str">
        <f t="shared" si="88"/>
        <v/>
      </c>
    </row>
    <row r="5638" spans="6:6">
      <c r="F5638" t="str">
        <f t="shared" si="88"/>
        <v/>
      </c>
    </row>
    <row r="5639" spans="6:6">
      <c r="F5639" t="str">
        <f t="shared" si="88"/>
        <v/>
      </c>
    </row>
    <row r="5640" spans="6:6">
      <c r="F5640" t="str">
        <f t="shared" si="88"/>
        <v/>
      </c>
    </row>
    <row r="5641" spans="6:6">
      <c r="F5641" t="str">
        <f t="shared" si="88"/>
        <v/>
      </c>
    </row>
    <row r="5642" spans="6:6">
      <c r="F5642" t="str">
        <f t="shared" si="88"/>
        <v/>
      </c>
    </row>
    <row r="5643" spans="6:6">
      <c r="F5643" t="str">
        <f t="shared" si="88"/>
        <v/>
      </c>
    </row>
    <row r="5644" spans="6:6">
      <c r="F5644" t="str">
        <f t="shared" si="88"/>
        <v/>
      </c>
    </row>
    <row r="5645" spans="6:6">
      <c r="F5645" t="str">
        <f t="shared" ref="F5645:F5708" si="89">RIGHT(D5645,2)</f>
        <v/>
      </c>
    </row>
    <row r="5646" spans="6:6">
      <c r="F5646" t="str">
        <f t="shared" si="89"/>
        <v/>
      </c>
    </row>
    <row r="5647" spans="6:6">
      <c r="F5647" t="str">
        <f t="shared" si="89"/>
        <v/>
      </c>
    </row>
    <row r="5648" spans="6:6">
      <c r="F5648" t="str">
        <f t="shared" si="89"/>
        <v/>
      </c>
    </row>
    <row r="5649" spans="6:6">
      <c r="F5649" t="str">
        <f t="shared" si="89"/>
        <v/>
      </c>
    </row>
    <row r="5650" spans="6:6">
      <c r="F5650" t="str">
        <f t="shared" si="89"/>
        <v/>
      </c>
    </row>
    <row r="5651" spans="6:6">
      <c r="F5651" t="str">
        <f t="shared" si="89"/>
        <v/>
      </c>
    </row>
    <row r="5652" spans="6:6">
      <c r="F5652" t="str">
        <f t="shared" si="89"/>
        <v/>
      </c>
    </row>
    <row r="5653" spans="6:6">
      <c r="F5653" t="str">
        <f t="shared" si="89"/>
        <v/>
      </c>
    </row>
    <row r="5654" spans="6:6">
      <c r="F5654" t="str">
        <f t="shared" si="89"/>
        <v/>
      </c>
    </row>
    <row r="5655" spans="6:6">
      <c r="F5655" t="str">
        <f t="shared" si="89"/>
        <v/>
      </c>
    </row>
    <row r="5656" spans="6:6">
      <c r="F5656" t="str">
        <f t="shared" si="89"/>
        <v/>
      </c>
    </row>
    <row r="5657" spans="6:6">
      <c r="F5657" t="str">
        <f t="shared" si="89"/>
        <v/>
      </c>
    </row>
    <row r="5658" spans="6:6">
      <c r="F5658" t="str">
        <f t="shared" si="89"/>
        <v/>
      </c>
    </row>
    <row r="5659" spans="6:6">
      <c r="F5659" t="str">
        <f t="shared" si="89"/>
        <v/>
      </c>
    </row>
    <row r="5660" spans="6:6">
      <c r="F5660" t="str">
        <f t="shared" si="89"/>
        <v/>
      </c>
    </row>
    <row r="5661" spans="6:6">
      <c r="F5661" t="str">
        <f t="shared" si="89"/>
        <v/>
      </c>
    </row>
    <row r="5662" spans="6:6">
      <c r="F5662" t="str">
        <f t="shared" si="89"/>
        <v/>
      </c>
    </row>
    <row r="5663" spans="6:6">
      <c r="F5663" t="str">
        <f t="shared" si="89"/>
        <v/>
      </c>
    </row>
    <row r="5664" spans="6:6">
      <c r="F5664" t="str">
        <f t="shared" si="89"/>
        <v/>
      </c>
    </row>
    <row r="5665" spans="6:6">
      <c r="F5665" t="str">
        <f t="shared" si="89"/>
        <v/>
      </c>
    </row>
    <row r="5666" spans="6:6">
      <c r="F5666" t="str">
        <f t="shared" si="89"/>
        <v/>
      </c>
    </row>
    <row r="5667" spans="6:6">
      <c r="F5667" t="str">
        <f t="shared" si="89"/>
        <v/>
      </c>
    </row>
    <row r="5668" spans="6:6">
      <c r="F5668" t="str">
        <f t="shared" si="89"/>
        <v/>
      </c>
    </row>
    <row r="5669" spans="6:6">
      <c r="F5669" t="str">
        <f t="shared" si="89"/>
        <v/>
      </c>
    </row>
    <row r="5670" spans="6:6">
      <c r="F5670" t="str">
        <f t="shared" si="89"/>
        <v/>
      </c>
    </row>
    <row r="5671" spans="6:6">
      <c r="F5671" t="str">
        <f t="shared" si="89"/>
        <v/>
      </c>
    </row>
    <row r="5672" spans="6:6">
      <c r="F5672" t="str">
        <f t="shared" si="89"/>
        <v/>
      </c>
    </row>
    <row r="5673" spans="6:6">
      <c r="F5673" t="str">
        <f t="shared" si="89"/>
        <v/>
      </c>
    </row>
    <row r="5674" spans="6:6">
      <c r="F5674" t="str">
        <f t="shared" si="89"/>
        <v/>
      </c>
    </row>
    <row r="5675" spans="6:6">
      <c r="F5675" t="str">
        <f t="shared" si="89"/>
        <v/>
      </c>
    </row>
    <row r="5676" spans="6:6">
      <c r="F5676" t="str">
        <f t="shared" si="89"/>
        <v/>
      </c>
    </row>
    <row r="5677" spans="6:6">
      <c r="F5677" t="str">
        <f t="shared" si="89"/>
        <v/>
      </c>
    </row>
    <row r="5678" spans="6:6">
      <c r="F5678" t="str">
        <f t="shared" si="89"/>
        <v/>
      </c>
    </row>
    <row r="5679" spans="6:6">
      <c r="F5679" t="str">
        <f t="shared" si="89"/>
        <v/>
      </c>
    </row>
    <row r="5680" spans="6:6">
      <c r="F5680" t="str">
        <f t="shared" si="89"/>
        <v/>
      </c>
    </row>
    <row r="5681" spans="6:6">
      <c r="F5681" t="str">
        <f t="shared" si="89"/>
        <v/>
      </c>
    </row>
    <row r="5682" spans="6:6">
      <c r="F5682" t="str">
        <f t="shared" si="89"/>
        <v/>
      </c>
    </row>
    <row r="5683" spans="6:6">
      <c r="F5683" t="str">
        <f t="shared" si="89"/>
        <v/>
      </c>
    </row>
    <row r="5684" spans="6:6">
      <c r="F5684" t="str">
        <f t="shared" si="89"/>
        <v/>
      </c>
    </row>
    <row r="5685" spans="6:6">
      <c r="F5685" t="str">
        <f t="shared" si="89"/>
        <v/>
      </c>
    </row>
    <row r="5686" spans="6:6">
      <c r="F5686" t="str">
        <f t="shared" si="89"/>
        <v/>
      </c>
    </row>
    <row r="5687" spans="6:6">
      <c r="F5687" t="str">
        <f t="shared" si="89"/>
        <v/>
      </c>
    </row>
    <row r="5688" spans="6:6">
      <c r="F5688" t="str">
        <f t="shared" si="89"/>
        <v/>
      </c>
    </row>
    <row r="5689" spans="6:6">
      <c r="F5689" t="str">
        <f t="shared" si="89"/>
        <v/>
      </c>
    </row>
    <row r="5690" spans="6:6">
      <c r="F5690" t="str">
        <f t="shared" si="89"/>
        <v/>
      </c>
    </row>
    <row r="5691" spans="6:6">
      <c r="F5691" t="str">
        <f t="shared" si="89"/>
        <v/>
      </c>
    </row>
    <row r="5692" spans="6:6">
      <c r="F5692" t="str">
        <f t="shared" si="89"/>
        <v/>
      </c>
    </row>
    <row r="5693" spans="6:6">
      <c r="F5693" t="str">
        <f t="shared" si="89"/>
        <v/>
      </c>
    </row>
    <row r="5694" spans="6:6">
      <c r="F5694" t="str">
        <f t="shared" si="89"/>
        <v/>
      </c>
    </row>
    <row r="5695" spans="6:6">
      <c r="F5695" t="str">
        <f t="shared" si="89"/>
        <v/>
      </c>
    </row>
    <row r="5696" spans="6:6">
      <c r="F5696" t="str">
        <f t="shared" si="89"/>
        <v/>
      </c>
    </row>
    <row r="5697" spans="6:6">
      <c r="F5697" t="str">
        <f t="shared" si="89"/>
        <v/>
      </c>
    </row>
    <row r="5698" spans="6:6">
      <c r="F5698" t="str">
        <f t="shared" si="89"/>
        <v/>
      </c>
    </row>
    <row r="5699" spans="6:6">
      <c r="F5699" t="str">
        <f t="shared" si="89"/>
        <v/>
      </c>
    </row>
    <row r="5700" spans="6:6">
      <c r="F5700" t="str">
        <f t="shared" si="89"/>
        <v/>
      </c>
    </row>
    <row r="5701" spans="6:6">
      <c r="F5701" t="str">
        <f t="shared" si="89"/>
        <v/>
      </c>
    </row>
    <row r="5702" spans="6:6">
      <c r="F5702" t="str">
        <f t="shared" si="89"/>
        <v/>
      </c>
    </row>
    <row r="5703" spans="6:6">
      <c r="F5703" t="str">
        <f t="shared" si="89"/>
        <v/>
      </c>
    </row>
    <row r="5704" spans="6:6">
      <c r="F5704" t="str">
        <f t="shared" si="89"/>
        <v/>
      </c>
    </row>
    <row r="5705" spans="6:6">
      <c r="F5705" t="str">
        <f t="shared" si="89"/>
        <v/>
      </c>
    </row>
    <row r="5706" spans="6:6">
      <c r="F5706" t="str">
        <f t="shared" si="89"/>
        <v/>
      </c>
    </row>
    <row r="5707" spans="6:6">
      <c r="F5707" t="str">
        <f t="shared" si="89"/>
        <v/>
      </c>
    </row>
    <row r="5708" spans="6:6">
      <c r="F5708" t="str">
        <f t="shared" si="89"/>
        <v/>
      </c>
    </row>
    <row r="5709" spans="6:6">
      <c r="F5709" t="str">
        <f t="shared" ref="F5709:F5772" si="90">RIGHT(D5709,2)</f>
        <v/>
      </c>
    </row>
    <row r="5710" spans="6:6">
      <c r="F5710" t="str">
        <f t="shared" si="90"/>
        <v/>
      </c>
    </row>
    <row r="5711" spans="6:6">
      <c r="F5711" t="str">
        <f t="shared" si="90"/>
        <v/>
      </c>
    </row>
    <row r="5712" spans="6:6">
      <c r="F5712" t="str">
        <f t="shared" si="90"/>
        <v/>
      </c>
    </row>
    <row r="5713" spans="6:6">
      <c r="F5713" t="str">
        <f t="shared" si="90"/>
        <v/>
      </c>
    </row>
    <row r="5714" spans="6:6">
      <c r="F5714" t="str">
        <f t="shared" si="90"/>
        <v/>
      </c>
    </row>
    <row r="5715" spans="6:6">
      <c r="F5715" t="str">
        <f t="shared" si="90"/>
        <v/>
      </c>
    </row>
    <row r="5716" spans="6:6">
      <c r="F5716" t="str">
        <f t="shared" si="90"/>
        <v/>
      </c>
    </row>
    <row r="5717" spans="6:6">
      <c r="F5717" t="str">
        <f t="shared" si="90"/>
        <v/>
      </c>
    </row>
    <row r="5718" spans="6:6">
      <c r="F5718" t="str">
        <f t="shared" si="90"/>
        <v/>
      </c>
    </row>
    <row r="5719" spans="6:6">
      <c r="F5719" t="str">
        <f t="shared" si="90"/>
        <v/>
      </c>
    </row>
    <row r="5720" spans="6:6">
      <c r="F5720" t="str">
        <f t="shared" si="90"/>
        <v/>
      </c>
    </row>
    <row r="5721" spans="6:6">
      <c r="F5721" t="str">
        <f t="shared" si="90"/>
        <v/>
      </c>
    </row>
    <row r="5722" spans="6:6">
      <c r="F5722" t="str">
        <f t="shared" si="90"/>
        <v/>
      </c>
    </row>
    <row r="5723" spans="6:6">
      <c r="F5723" t="str">
        <f t="shared" si="90"/>
        <v/>
      </c>
    </row>
    <row r="5724" spans="6:6">
      <c r="F5724" t="str">
        <f t="shared" si="90"/>
        <v/>
      </c>
    </row>
    <row r="5725" spans="6:6">
      <c r="F5725" t="str">
        <f t="shared" si="90"/>
        <v/>
      </c>
    </row>
    <row r="5726" spans="6:6">
      <c r="F5726" t="str">
        <f t="shared" si="90"/>
        <v/>
      </c>
    </row>
    <row r="5727" spans="6:6">
      <c r="F5727" t="str">
        <f t="shared" si="90"/>
        <v/>
      </c>
    </row>
    <row r="5728" spans="6:6">
      <c r="F5728" t="str">
        <f t="shared" si="90"/>
        <v/>
      </c>
    </row>
    <row r="5729" spans="6:6">
      <c r="F5729" t="str">
        <f t="shared" si="90"/>
        <v/>
      </c>
    </row>
    <row r="5730" spans="6:6">
      <c r="F5730" t="str">
        <f t="shared" si="90"/>
        <v/>
      </c>
    </row>
    <row r="5731" spans="6:6">
      <c r="F5731" t="str">
        <f t="shared" si="90"/>
        <v/>
      </c>
    </row>
    <row r="5732" spans="6:6">
      <c r="F5732" t="str">
        <f t="shared" si="90"/>
        <v/>
      </c>
    </row>
    <row r="5733" spans="6:6">
      <c r="F5733" t="str">
        <f t="shared" si="90"/>
        <v/>
      </c>
    </row>
    <row r="5734" spans="6:6">
      <c r="F5734" t="str">
        <f t="shared" si="90"/>
        <v/>
      </c>
    </row>
    <row r="5735" spans="6:6">
      <c r="F5735" t="str">
        <f t="shared" si="90"/>
        <v/>
      </c>
    </row>
    <row r="5736" spans="6:6">
      <c r="F5736" t="str">
        <f t="shared" si="90"/>
        <v/>
      </c>
    </row>
    <row r="5737" spans="6:6">
      <c r="F5737" t="str">
        <f t="shared" si="90"/>
        <v/>
      </c>
    </row>
    <row r="5738" spans="6:6">
      <c r="F5738" t="str">
        <f t="shared" si="90"/>
        <v/>
      </c>
    </row>
    <row r="5739" spans="6:6">
      <c r="F5739" t="str">
        <f t="shared" si="90"/>
        <v/>
      </c>
    </row>
    <row r="5740" spans="6:6">
      <c r="F5740" t="str">
        <f t="shared" si="90"/>
        <v/>
      </c>
    </row>
    <row r="5741" spans="6:6">
      <c r="F5741" t="str">
        <f t="shared" si="90"/>
        <v/>
      </c>
    </row>
    <row r="5742" spans="6:6">
      <c r="F5742" t="str">
        <f t="shared" si="90"/>
        <v/>
      </c>
    </row>
    <row r="5743" spans="6:6">
      <c r="F5743" t="str">
        <f t="shared" si="90"/>
        <v/>
      </c>
    </row>
    <row r="5744" spans="6:6">
      <c r="F5744" t="str">
        <f t="shared" si="90"/>
        <v/>
      </c>
    </row>
    <row r="5745" spans="6:6">
      <c r="F5745" t="str">
        <f t="shared" si="90"/>
        <v/>
      </c>
    </row>
    <row r="5746" spans="6:6">
      <c r="F5746" t="str">
        <f t="shared" si="90"/>
        <v/>
      </c>
    </row>
    <row r="5747" spans="6:6">
      <c r="F5747" t="str">
        <f t="shared" si="90"/>
        <v/>
      </c>
    </row>
    <row r="5748" spans="6:6">
      <c r="F5748" t="str">
        <f t="shared" si="90"/>
        <v/>
      </c>
    </row>
    <row r="5749" spans="6:6">
      <c r="F5749" t="str">
        <f t="shared" si="90"/>
        <v/>
      </c>
    </row>
    <row r="5750" spans="6:6">
      <c r="F5750" t="str">
        <f t="shared" si="90"/>
        <v/>
      </c>
    </row>
    <row r="5751" spans="6:6">
      <c r="F5751" t="str">
        <f t="shared" si="90"/>
        <v/>
      </c>
    </row>
    <row r="5752" spans="6:6">
      <c r="F5752" t="str">
        <f t="shared" si="90"/>
        <v/>
      </c>
    </row>
    <row r="5753" spans="6:6">
      <c r="F5753" t="str">
        <f t="shared" si="90"/>
        <v/>
      </c>
    </row>
    <row r="5754" spans="6:6">
      <c r="F5754" t="str">
        <f t="shared" si="90"/>
        <v/>
      </c>
    </row>
    <row r="5755" spans="6:6">
      <c r="F5755" t="str">
        <f t="shared" si="90"/>
        <v/>
      </c>
    </row>
    <row r="5756" spans="6:6">
      <c r="F5756" t="str">
        <f t="shared" si="90"/>
        <v/>
      </c>
    </row>
    <row r="5757" spans="6:6">
      <c r="F5757" t="str">
        <f t="shared" si="90"/>
        <v/>
      </c>
    </row>
    <row r="5758" spans="6:6">
      <c r="F5758" t="str">
        <f t="shared" si="90"/>
        <v/>
      </c>
    </row>
    <row r="5759" spans="6:6">
      <c r="F5759" t="str">
        <f t="shared" si="90"/>
        <v/>
      </c>
    </row>
    <row r="5760" spans="6:6">
      <c r="F5760" t="str">
        <f t="shared" si="90"/>
        <v/>
      </c>
    </row>
    <row r="5761" spans="6:6">
      <c r="F5761" t="str">
        <f t="shared" si="90"/>
        <v/>
      </c>
    </row>
    <row r="5762" spans="6:6">
      <c r="F5762" t="str">
        <f t="shared" si="90"/>
        <v/>
      </c>
    </row>
    <row r="5763" spans="6:6">
      <c r="F5763" t="str">
        <f t="shared" si="90"/>
        <v/>
      </c>
    </row>
    <row r="5764" spans="6:6">
      <c r="F5764" t="str">
        <f t="shared" si="90"/>
        <v/>
      </c>
    </row>
    <row r="5765" spans="6:6">
      <c r="F5765" t="str">
        <f t="shared" si="90"/>
        <v/>
      </c>
    </row>
    <row r="5766" spans="6:6">
      <c r="F5766" t="str">
        <f t="shared" si="90"/>
        <v/>
      </c>
    </row>
    <row r="5767" spans="6:6">
      <c r="F5767" t="str">
        <f t="shared" si="90"/>
        <v/>
      </c>
    </row>
    <row r="5768" spans="6:6">
      <c r="F5768" t="str">
        <f t="shared" si="90"/>
        <v/>
      </c>
    </row>
    <row r="5769" spans="6:6">
      <c r="F5769" t="str">
        <f t="shared" si="90"/>
        <v/>
      </c>
    </row>
    <row r="5770" spans="6:6">
      <c r="F5770" t="str">
        <f t="shared" si="90"/>
        <v/>
      </c>
    </row>
    <row r="5771" spans="6:6">
      <c r="F5771" t="str">
        <f t="shared" si="90"/>
        <v/>
      </c>
    </row>
    <row r="5772" spans="6:6">
      <c r="F5772" t="str">
        <f t="shared" si="90"/>
        <v/>
      </c>
    </row>
    <row r="5773" spans="6:6">
      <c r="F5773" t="str">
        <f t="shared" ref="F5773:F5836" si="91">RIGHT(D5773,2)</f>
        <v/>
      </c>
    </row>
    <row r="5774" spans="6:6">
      <c r="F5774" t="str">
        <f t="shared" si="91"/>
        <v/>
      </c>
    </row>
    <row r="5775" spans="6:6">
      <c r="F5775" t="str">
        <f t="shared" si="91"/>
        <v/>
      </c>
    </row>
    <row r="5776" spans="6:6">
      <c r="F5776" t="str">
        <f t="shared" si="91"/>
        <v/>
      </c>
    </row>
    <row r="5777" spans="6:6">
      <c r="F5777" t="str">
        <f t="shared" si="91"/>
        <v/>
      </c>
    </row>
    <row r="5778" spans="6:6">
      <c r="F5778" t="str">
        <f t="shared" si="91"/>
        <v/>
      </c>
    </row>
    <row r="5779" spans="6:6">
      <c r="F5779" t="str">
        <f t="shared" si="91"/>
        <v/>
      </c>
    </row>
    <row r="5780" spans="6:6">
      <c r="F5780" t="str">
        <f t="shared" si="91"/>
        <v/>
      </c>
    </row>
    <row r="5781" spans="6:6">
      <c r="F5781" t="str">
        <f t="shared" si="91"/>
        <v/>
      </c>
    </row>
    <row r="5782" spans="6:6">
      <c r="F5782" t="str">
        <f t="shared" si="91"/>
        <v/>
      </c>
    </row>
    <row r="5783" spans="6:6">
      <c r="F5783" t="str">
        <f t="shared" si="91"/>
        <v/>
      </c>
    </row>
    <row r="5784" spans="6:6">
      <c r="F5784" t="str">
        <f t="shared" si="91"/>
        <v/>
      </c>
    </row>
    <row r="5785" spans="6:6">
      <c r="F5785" t="str">
        <f t="shared" si="91"/>
        <v/>
      </c>
    </row>
    <row r="5786" spans="6:6">
      <c r="F5786" t="str">
        <f t="shared" si="91"/>
        <v/>
      </c>
    </row>
    <row r="5787" spans="6:6">
      <c r="F5787" t="str">
        <f t="shared" si="91"/>
        <v/>
      </c>
    </row>
    <row r="5788" spans="6:6">
      <c r="F5788" t="str">
        <f t="shared" si="91"/>
        <v/>
      </c>
    </row>
    <row r="5789" spans="6:6">
      <c r="F5789" t="str">
        <f t="shared" si="91"/>
        <v/>
      </c>
    </row>
    <row r="5790" spans="6:6">
      <c r="F5790" t="str">
        <f t="shared" si="91"/>
        <v/>
      </c>
    </row>
    <row r="5791" spans="6:6">
      <c r="F5791" t="str">
        <f t="shared" si="91"/>
        <v/>
      </c>
    </row>
    <row r="5792" spans="6:6">
      <c r="F5792" t="str">
        <f t="shared" si="91"/>
        <v/>
      </c>
    </row>
    <row r="5793" spans="6:6">
      <c r="F5793" t="str">
        <f t="shared" si="91"/>
        <v/>
      </c>
    </row>
    <row r="5794" spans="6:6">
      <c r="F5794" t="str">
        <f t="shared" si="91"/>
        <v/>
      </c>
    </row>
    <row r="5795" spans="6:6">
      <c r="F5795" t="str">
        <f t="shared" si="91"/>
        <v/>
      </c>
    </row>
    <row r="5796" spans="6:6">
      <c r="F5796" t="str">
        <f t="shared" si="91"/>
        <v/>
      </c>
    </row>
    <row r="5797" spans="6:6">
      <c r="F5797" t="str">
        <f t="shared" si="91"/>
        <v/>
      </c>
    </row>
    <row r="5798" spans="6:6">
      <c r="F5798" t="str">
        <f t="shared" si="91"/>
        <v/>
      </c>
    </row>
    <row r="5799" spans="6:6">
      <c r="F5799" t="str">
        <f t="shared" si="91"/>
        <v/>
      </c>
    </row>
    <row r="5800" spans="6:6">
      <c r="F5800" t="str">
        <f t="shared" si="91"/>
        <v/>
      </c>
    </row>
    <row r="5801" spans="6:6">
      <c r="F5801" t="str">
        <f t="shared" si="91"/>
        <v/>
      </c>
    </row>
    <row r="5802" spans="6:6">
      <c r="F5802" t="str">
        <f t="shared" si="91"/>
        <v/>
      </c>
    </row>
    <row r="5803" spans="6:6">
      <c r="F5803" t="str">
        <f t="shared" si="91"/>
        <v/>
      </c>
    </row>
    <row r="5804" spans="6:6">
      <c r="F5804" t="str">
        <f t="shared" si="91"/>
        <v/>
      </c>
    </row>
    <row r="5805" spans="6:6">
      <c r="F5805" t="str">
        <f t="shared" si="91"/>
        <v/>
      </c>
    </row>
    <row r="5806" spans="6:6">
      <c r="F5806" t="str">
        <f t="shared" si="91"/>
        <v/>
      </c>
    </row>
    <row r="5807" spans="6:6">
      <c r="F5807" t="str">
        <f t="shared" si="91"/>
        <v/>
      </c>
    </row>
    <row r="5808" spans="6:6">
      <c r="F5808" t="str">
        <f t="shared" si="91"/>
        <v/>
      </c>
    </row>
    <row r="5809" spans="6:6">
      <c r="F5809" t="str">
        <f t="shared" si="91"/>
        <v/>
      </c>
    </row>
    <row r="5810" spans="6:6">
      <c r="F5810" t="str">
        <f t="shared" si="91"/>
        <v/>
      </c>
    </row>
    <row r="5811" spans="6:6">
      <c r="F5811" t="str">
        <f t="shared" si="91"/>
        <v/>
      </c>
    </row>
    <row r="5812" spans="6:6">
      <c r="F5812" t="str">
        <f t="shared" si="91"/>
        <v/>
      </c>
    </row>
    <row r="5813" spans="6:6">
      <c r="F5813" t="str">
        <f t="shared" si="91"/>
        <v/>
      </c>
    </row>
    <row r="5814" spans="6:6">
      <c r="F5814" t="str">
        <f t="shared" si="91"/>
        <v/>
      </c>
    </row>
    <row r="5815" spans="6:6">
      <c r="F5815" t="str">
        <f t="shared" si="91"/>
        <v/>
      </c>
    </row>
    <row r="5816" spans="6:6">
      <c r="F5816" t="str">
        <f t="shared" si="91"/>
        <v/>
      </c>
    </row>
    <row r="5817" spans="6:6">
      <c r="F5817" t="str">
        <f t="shared" si="91"/>
        <v/>
      </c>
    </row>
    <row r="5818" spans="6:6">
      <c r="F5818" t="str">
        <f t="shared" si="91"/>
        <v/>
      </c>
    </row>
    <row r="5819" spans="6:6">
      <c r="F5819" t="str">
        <f t="shared" si="91"/>
        <v/>
      </c>
    </row>
    <row r="5820" spans="6:6">
      <c r="F5820" t="str">
        <f t="shared" si="91"/>
        <v/>
      </c>
    </row>
    <row r="5821" spans="6:6">
      <c r="F5821" t="str">
        <f t="shared" si="91"/>
        <v/>
      </c>
    </row>
    <row r="5822" spans="6:6">
      <c r="F5822" t="str">
        <f t="shared" si="91"/>
        <v/>
      </c>
    </row>
    <row r="5823" spans="6:6">
      <c r="F5823" t="str">
        <f t="shared" si="91"/>
        <v/>
      </c>
    </row>
    <row r="5824" spans="6:6">
      <c r="F5824" t="str">
        <f t="shared" si="91"/>
        <v/>
      </c>
    </row>
    <row r="5825" spans="6:6">
      <c r="F5825" t="str">
        <f t="shared" si="91"/>
        <v/>
      </c>
    </row>
    <row r="5826" spans="6:6">
      <c r="F5826" t="str">
        <f t="shared" si="91"/>
        <v/>
      </c>
    </row>
    <row r="5827" spans="6:6">
      <c r="F5827" t="str">
        <f t="shared" si="91"/>
        <v/>
      </c>
    </row>
    <row r="5828" spans="6:6">
      <c r="F5828" t="str">
        <f t="shared" si="91"/>
        <v/>
      </c>
    </row>
    <row r="5829" spans="6:6">
      <c r="F5829" t="str">
        <f t="shared" si="91"/>
        <v/>
      </c>
    </row>
    <row r="5830" spans="6:6">
      <c r="F5830" t="str">
        <f t="shared" si="91"/>
        <v/>
      </c>
    </row>
    <row r="5831" spans="6:6">
      <c r="F5831" t="str">
        <f t="shared" si="91"/>
        <v/>
      </c>
    </row>
    <row r="5832" spans="6:6">
      <c r="F5832" t="str">
        <f t="shared" si="91"/>
        <v/>
      </c>
    </row>
    <row r="5833" spans="6:6">
      <c r="F5833" t="str">
        <f t="shared" si="91"/>
        <v/>
      </c>
    </row>
    <row r="5834" spans="6:6">
      <c r="F5834" t="str">
        <f t="shared" si="91"/>
        <v/>
      </c>
    </row>
    <row r="5835" spans="6:6">
      <c r="F5835" t="str">
        <f t="shared" si="91"/>
        <v/>
      </c>
    </row>
    <row r="5836" spans="6:6">
      <c r="F5836" t="str">
        <f t="shared" si="91"/>
        <v/>
      </c>
    </row>
    <row r="5837" spans="6:6">
      <c r="F5837" t="str">
        <f t="shared" ref="F5837:F5900" si="92">RIGHT(D5837,2)</f>
        <v/>
      </c>
    </row>
    <row r="5838" spans="6:6">
      <c r="F5838" t="str">
        <f t="shared" si="92"/>
        <v/>
      </c>
    </row>
    <row r="5839" spans="6:6">
      <c r="F5839" t="str">
        <f t="shared" si="92"/>
        <v/>
      </c>
    </row>
    <row r="5840" spans="6:6">
      <c r="F5840" t="str">
        <f t="shared" si="92"/>
        <v/>
      </c>
    </row>
    <row r="5841" spans="6:6">
      <c r="F5841" t="str">
        <f t="shared" si="92"/>
        <v/>
      </c>
    </row>
    <row r="5842" spans="6:6">
      <c r="F5842" t="str">
        <f t="shared" si="92"/>
        <v/>
      </c>
    </row>
    <row r="5843" spans="6:6">
      <c r="F5843" t="str">
        <f t="shared" si="92"/>
        <v/>
      </c>
    </row>
    <row r="5844" spans="6:6">
      <c r="F5844" t="str">
        <f t="shared" si="92"/>
        <v/>
      </c>
    </row>
    <row r="5845" spans="6:6">
      <c r="F5845" t="str">
        <f t="shared" si="92"/>
        <v/>
      </c>
    </row>
    <row r="5846" spans="6:6">
      <c r="F5846" t="str">
        <f t="shared" si="92"/>
        <v/>
      </c>
    </row>
    <row r="5847" spans="6:6">
      <c r="F5847" t="str">
        <f t="shared" si="92"/>
        <v/>
      </c>
    </row>
    <row r="5848" spans="6:6">
      <c r="F5848" t="str">
        <f t="shared" si="92"/>
        <v/>
      </c>
    </row>
    <row r="5849" spans="6:6">
      <c r="F5849" t="str">
        <f t="shared" si="92"/>
        <v/>
      </c>
    </row>
    <row r="5850" spans="6:6">
      <c r="F5850" t="str">
        <f t="shared" si="92"/>
        <v/>
      </c>
    </row>
    <row r="5851" spans="6:6">
      <c r="F5851" t="str">
        <f t="shared" si="92"/>
        <v/>
      </c>
    </row>
    <row r="5852" spans="6:6">
      <c r="F5852" t="str">
        <f t="shared" si="92"/>
        <v/>
      </c>
    </row>
    <row r="5853" spans="6:6">
      <c r="F5853" t="str">
        <f t="shared" si="92"/>
        <v/>
      </c>
    </row>
    <row r="5854" spans="6:6">
      <c r="F5854" t="str">
        <f t="shared" si="92"/>
        <v/>
      </c>
    </row>
    <row r="5855" spans="6:6">
      <c r="F5855" t="str">
        <f t="shared" si="92"/>
        <v/>
      </c>
    </row>
    <row r="5856" spans="6:6">
      <c r="F5856" t="str">
        <f t="shared" si="92"/>
        <v/>
      </c>
    </row>
    <row r="5857" spans="6:6">
      <c r="F5857" t="str">
        <f t="shared" si="92"/>
        <v/>
      </c>
    </row>
    <row r="5858" spans="6:6">
      <c r="F5858" t="str">
        <f t="shared" si="92"/>
        <v/>
      </c>
    </row>
    <row r="5859" spans="6:6">
      <c r="F5859" t="str">
        <f t="shared" si="92"/>
        <v/>
      </c>
    </row>
    <row r="5860" spans="6:6">
      <c r="F5860" t="str">
        <f t="shared" si="92"/>
        <v/>
      </c>
    </row>
    <row r="5861" spans="6:6">
      <c r="F5861" t="str">
        <f t="shared" si="92"/>
        <v/>
      </c>
    </row>
    <row r="5862" spans="6:6">
      <c r="F5862" t="str">
        <f t="shared" si="92"/>
        <v/>
      </c>
    </row>
    <row r="5863" spans="6:6">
      <c r="F5863" t="str">
        <f t="shared" si="92"/>
        <v/>
      </c>
    </row>
    <row r="5864" spans="6:6">
      <c r="F5864" t="str">
        <f t="shared" si="92"/>
        <v/>
      </c>
    </row>
    <row r="5865" spans="6:6">
      <c r="F5865" t="str">
        <f t="shared" si="92"/>
        <v/>
      </c>
    </row>
    <row r="5866" spans="6:6">
      <c r="F5866" t="str">
        <f t="shared" si="92"/>
        <v/>
      </c>
    </row>
    <row r="5867" spans="6:6">
      <c r="F5867" t="str">
        <f t="shared" si="92"/>
        <v/>
      </c>
    </row>
    <row r="5868" spans="6:6">
      <c r="F5868" t="str">
        <f t="shared" si="92"/>
        <v/>
      </c>
    </row>
    <row r="5869" spans="6:6">
      <c r="F5869" t="str">
        <f t="shared" si="92"/>
        <v/>
      </c>
    </row>
    <row r="5870" spans="6:6">
      <c r="F5870" t="str">
        <f t="shared" si="92"/>
        <v/>
      </c>
    </row>
    <row r="5871" spans="6:6">
      <c r="F5871" t="str">
        <f t="shared" si="92"/>
        <v/>
      </c>
    </row>
    <row r="5872" spans="6:6">
      <c r="F5872" t="str">
        <f t="shared" si="92"/>
        <v/>
      </c>
    </row>
    <row r="5873" spans="6:6">
      <c r="F5873" t="str">
        <f t="shared" si="92"/>
        <v/>
      </c>
    </row>
    <row r="5874" spans="6:6">
      <c r="F5874" t="str">
        <f t="shared" si="92"/>
        <v/>
      </c>
    </row>
    <row r="5875" spans="6:6">
      <c r="F5875" t="str">
        <f t="shared" si="92"/>
        <v/>
      </c>
    </row>
    <row r="5876" spans="6:6">
      <c r="F5876" t="str">
        <f t="shared" si="92"/>
        <v/>
      </c>
    </row>
    <row r="5877" spans="6:6">
      <c r="F5877" t="str">
        <f t="shared" si="92"/>
        <v/>
      </c>
    </row>
    <row r="5878" spans="6:6">
      <c r="F5878" t="str">
        <f t="shared" si="92"/>
        <v/>
      </c>
    </row>
    <row r="5879" spans="6:6">
      <c r="F5879" t="str">
        <f t="shared" si="92"/>
        <v/>
      </c>
    </row>
    <row r="5880" spans="6:6">
      <c r="F5880" t="str">
        <f t="shared" si="92"/>
        <v/>
      </c>
    </row>
    <row r="5881" spans="6:6">
      <c r="F5881" t="str">
        <f t="shared" si="92"/>
        <v/>
      </c>
    </row>
    <row r="5882" spans="6:6">
      <c r="F5882" t="str">
        <f t="shared" si="92"/>
        <v/>
      </c>
    </row>
    <row r="5883" spans="6:6">
      <c r="F5883" t="str">
        <f t="shared" si="92"/>
        <v/>
      </c>
    </row>
    <row r="5884" spans="6:6">
      <c r="F5884" t="str">
        <f t="shared" si="92"/>
        <v/>
      </c>
    </row>
    <row r="5885" spans="6:6">
      <c r="F5885" t="str">
        <f t="shared" si="92"/>
        <v/>
      </c>
    </row>
    <row r="5886" spans="6:6">
      <c r="F5886" t="str">
        <f t="shared" si="92"/>
        <v/>
      </c>
    </row>
    <row r="5887" spans="6:6">
      <c r="F5887" t="str">
        <f t="shared" si="92"/>
        <v/>
      </c>
    </row>
    <row r="5888" spans="6:6">
      <c r="F5888" t="str">
        <f t="shared" si="92"/>
        <v/>
      </c>
    </row>
    <row r="5889" spans="6:6">
      <c r="F5889" t="str">
        <f t="shared" si="92"/>
        <v/>
      </c>
    </row>
    <row r="5890" spans="6:6">
      <c r="F5890" t="str">
        <f t="shared" si="92"/>
        <v/>
      </c>
    </row>
    <row r="5891" spans="6:6">
      <c r="F5891" t="str">
        <f t="shared" si="92"/>
        <v/>
      </c>
    </row>
    <row r="5892" spans="6:6">
      <c r="F5892" t="str">
        <f t="shared" si="92"/>
        <v/>
      </c>
    </row>
    <row r="5893" spans="6:6">
      <c r="F5893" t="str">
        <f t="shared" si="92"/>
        <v/>
      </c>
    </row>
    <row r="5894" spans="6:6">
      <c r="F5894" t="str">
        <f t="shared" si="92"/>
        <v/>
      </c>
    </row>
    <row r="5895" spans="6:6">
      <c r="F5895" t="str">
        <f t="shared" si="92"/>
        <v/>
      </c>
    </row>
    <row r="5896" spans="6:6">
      <c r="F5896" t="str">
        <f t="shared" si="92"/>
        <v/>
      </c>
    </row>
    <row r="5897" spans="6:6">
      <c r="F5897" t="str">
        <f t="shared" si="92"/>
        <v/>
      </c>
    </row>
    <row r="5898" spans="6:6">
      <c r="F5898" t="str">
        <f t="shared" si="92"/>
        <v/>
      </c>
    </row>
    <row r="5899" spans="6:6">
      <c r="F5899" t="str">
        <f t="shared" si="92"/>
        <v/>
      </c>
    </row>
    <row r="5900" spans="6:6">
      <c r="F5900" t="str">
        <f t="shared" si="92"/>
        <v/>
      </c>
    </row>
    <row r="5901" spans="6:6">
      <c r="F5901" t="str">
        <f t="shared" ref="F5901:F5964" si="93">RIGHT(D5901,2)</f>
        <v/>
      </c>
    </row>
    <row r="5902" spans="6:6">
      <c r="F5902" t="str">
        <f t="shared" si="93"/>
        <v/>
      </c>
    </row>
    <row r="5903" spans="6:6">
      <c r="F5903" t="str">
        <f t="shared" si="93"/>
        <v/>
      </c>
    </row>
    <row r="5904" spans="6:6">
      <c r="F5904" t="str">
        <f t="shared" si="93"/>
        <v/>
      </c>
    </row>
    <row r="5905" spans="6:6">
      <c r="F5905" t="str">
        <f t="shared" si="93"/>
        <v/>
      </c>
    </row>
    <row r="5906" spans="6:6">
      <c r="F5906" t="str">
        <f t="shared" si="93"/>
        <v/>
      </c>
    </row>
    <row r="5907" spans="6:6">
      <c r="F5907" t="str">
        <f t="shared" si="93"/>
        <v/>
      </c>
    </row>
    <row r="5908" spans="6:6">
      <c r="F5908" t="str">
        <f t="shared" si="93"/>
        <v/>
      </c>
    </row>
    <row r="5909" spans="6:6">
      <c r="F5909" t="str">
        <f t="shared" si="93"/>
        <v/>
      </c>
    </row>
    <row r="5910" spans="6:6">
      <c r="F5910" t="str">
        <f t="shared" si="93"/>
        <v/>
      </c>
    </row>
    <row r="5911" spans="6:6">
      <c r="F5911" t="str">
        <f t="shared" si="93"/>
        <v/>
      </c>
    </row>
    <row r="5912" spans="6:6">
      <c r="F5912" t="str">
        <f t="shared" si="93"/>
        <v/>
      </c>
    </row>
    <row r="5913" spans="6:6">
      <c r="F5913" t="str">
        <f t="shared" si="93"/>
        <v/>
      </c>
    </row>
    <row r="5914" spans="6:6">
      <c r="F5914" t="str">
        <f t="shared" si="93"/>
        <v/>
      </c>
    </row>
    <row r="5915" spans="6:6">
      <c r="F5915" t="str">
        <f t="shared" si="93"/>
        <v/>
      </c>
    </row>
    <row r="5916" spans="6:6">
      <c r="F5916" t="str">
        <f t="shared" si="93"/>
        <v/>
      </c>
    </row>
    <row r="5917" spans="6:6">
      <c r="F5917" t="str">
        <f t="shared" si="93"/>
        <v/>
      </c>
    </row>
    <row r="5918" spans="6:6">
      <c r="F5918" t="str">
        <f t="shared" si="93"/>
        <v/>
      </c>
    </row>
    <row r="5919" spans="6:6">
      <c r="F5919" t="str">
        <f t="shared" si="93"/>
        <v/>
      </c>
    </row>
    <row r="5920" spans="6:6">
      <c r="F5920" t="str">
        <f t="shared" si="93"/>
        <v/>
      </c>
    </row>
    <row r="5921" spans="6:6">
      <c r="F5921" t="str">
        <f t="shared" si="93"/>
        <v/>
      </c>
    </row>
    <row r="5922" spans="6:6">
      <c r="F5922" t="str">
        <f t="shared" si="93"/>
        <v/>
      </c>
    </row>
    <row r="5923" spans="6:6">
      <c r="F5923" t="str">
        <f t="shared" si="93"/>
        <v/>
      </c>
    </row>
    <row r="5924" spans="6:6">
      <c r="F5924" t="str">
        <f t="shared" si="93"/>
        <v/>
      </c>
    </row>
    <row r="5925" spans="6:6">
      <c r="F5925" t="str">
        <f t="shared" si="93"/>
        <v/>
      </c>
    </row>
    <row r="5926" spans="6:6">
      <c r="F5926" t="str">
        <f t="shared" si="93"/>
        <v/>
      </c>
    </row>
    <row r="5927" spans="6:6">
      <c r="F5927" t="str">
        <f t="shared" si="93"/>
        <v/>
      </c>
    </row>
    <row r="5928" spans="6:6">
      <c r="F5928" t="str">
        <f t="shared" si="93"/>
        <v/>
      </c>
    </row>
    <row r="5929" spans="6:6">
      <c r="F5929" t="str">
        <f t="shared" si="93"/>
        <v/>
      </c>
    </row>
    <row r="5930" spans="6:6">
      <c r="F5930" t="str">
        <f t="shared" si="93"/>
        <v/>
      </c>
    </row>
    <row r="5931" spans="6:6">
      <c r="F5931" t="str">
        <f t="shared" si="93"/>
        <v/>
      </c>
    </row>
    <row r="5932" spans="6:6">
      <c r="F5932" t="str">
        <f t="shared" si="93"/>
        <v/>
      </c>
    </row>
    <row r="5933" spans="6:6">
      <c r="F5933" t="str">
        <f t="shared" si="93"/>
        <v/>
      </c>
    </row>
    <row r="5934" spans="6:6">
      <c r="F5934" t="str">
        <f t="shared" si="93"/>
        <v/>
      </c>
    </row>
    <row r="5935" spans="6:6">
      <c r="F5935" t="str">
        <f t="shared" si="93"/>
        <v/>
      </c>
    </row>
    <row r="5936" spans="6:6">
      <c r="F5936" t="str">
        <f t="shared" si="93"/>
        <v/>
      </c>
    </row>
    <row r="5937" spans="6:6">
      <c r="F5937" t="str">
        <f t="shared" si="93"/>
        <v/>
      </c>
    </row>
    <row r="5938" spans="6:6">
      <c r="F5938" t="str">
        <f t="shared" si="93"/>
        <v/>
      </c>
    </row>
    <row r="5939" spans="6:6">
      <c r="F5939" t="str">
        <f t="shared" si="93"/>
        <v/>
      </c>
    </row>
    <row r="5940" spans="6:6">
      <c r="F5940" t="str">
        <f t="shared" si="93"/>
        <v/>
      </c>
    </row>
    <row r="5941" spans="6:6">
      <c r="F5941" t="str">
        <f t="shared" si="93"/>
        <v/>
      </c>
    </row>
    <row r="5942" spans="6:6">
      <c r="F5942" t="str">
        <f t="shared" si="93"/>
        <v/>
      </c>
    </row>
    <row r="5943" spans="6:6">
      <c r="F5943" t="str">
        <f t="shared" si="93"/>
        <v/>
      </c>
    </row>
    <row r="5944" spans="6:6">
      <c r="F5944" t="str">
        <f t="shared" si="93"/>
        <v/>
      </c>
    </row>
    <row r="5945" spans="6:6">
      <c r="F5945" t="str">
        <f t="shared" si="93"/>
        <v/>
      </c>
    </row>
    <row r="5946" spans="6:6">
      <c r="F5946" t="str">
        <f t="shared" si="93"/>
        <v/>
      </c>
    </row>
    <row r="5947" spans="6:6">
      <c r="F5947" t="str">
        <f t="shared" si="93"/>
        <v/>
      </c>
    </row>
    <row r="5948" spans="6:6">
      <c r="F5948" t="str">
        <f t="shared" si="93"/>
        <v/>
      </c>
    </row>
    <row r="5949" spans="6:6">
      <c r="F5949" t="str">
        <f t="shared" si="93"/>
        <v/>
      </c>
    </row>
    <row r="5950" spans="6:6">
      <c r="F5950" t="str">
        <f t="shared" si="93"/>
        <v/>
      </c>
    </row>
    <row r="5951" spans="6:6">
      <c r="F5951" t="str">
        <f t="shared" si="93"/>
        <v/>
      </c>
    </row>
    <row r="5952" spans="6:6">
      <c r="F5952" t="str">
        <f t="shared" si="93"/>
        <v/>
      </c>
    </row>
    <row r="5953" spans="6:6">
      <c r="F5953" t="str">
        <f t="shared" si="93"/>
        <v/>
      </c>
    </row>
    <row r="5954" spans="6:6">
      <c r="F5954" t="str">
        <f t="shared" si="93"/>
        <v/>
      </c>
    </row>
    <row r="5955" spans="6:6">
      <c r="F5955" t="str">
        <f t="shared" si="93"/>
        <v/>
      </c>
    </row>
    <row r="5956" spans="6:6">
      <c r="F5956" t="str">
        <f t="shared" si="93"/>
        <v/>
      </c>
    </row>
    <row r="5957" spans="6:6">
      <c r="F5957" t="str">
        <f t="shared" si="93"/>
        <v/>
      </c>
    </row>
    <row r="5958" spans="6:6">
      <c r="F5958" t="str">
        <f t="shared" si="93"/>
        <v/>
      </c>
    </row>
    <row r="5959" spans="6:6">
      <c r="F5959" t="str">
        <f t="shared" si="93"/>
        <v/>
      </c>
    </row>
    <row r="5960" spans="6:6">
      <c r="F5960" t="str">
        <f t="shared" si="93"/>
        <v/>
      </c>
    </row>
    <row r="5961" spans="6:6">
      <c r="F5961" t="str">
        <f t="shared" si="93"/>
        <v/>
      </c>
    </row>
    <row r="5962" spans="6:6">
      <c r="F5962" t="str">
        <f t="shared" si="93"/>
        <v/>
      </c>
    </row>
    <row r="5963" spans="6:6">
      <c r="F5963" t="str">
        <f t="shared" si="93"/>
        <v/>
      </c>
    </row>
    <row r="5964" spans="6:6">
      <c r="F5964" t="str">
        <f t="shared" si="93"/>
        <v/>
      </c>
    </row>
    <row r="5965" spans="6:6">
      <c r="F5965" t="str">
        <f t="shared" ref="F5965:F6028" si="94">RIGHT(D5965,2)</f>
        <v/>
      </c>
    </row>
    <row r="5966" spans="6:6">
      <c r="F5966" t="str">
        <f t="shared" si="94"/>
        <v/>
      </c>
    </row>
    <row r="5967" spans="6:6">
      <c r="F5967" t="str">
        <f t="shared" si="94"/>
        <v/>
      </c>
    </row>
    <row r="5968" spans="6:6">
      <c r="F5968" t="str">
        <f t="shared" si="94"/>
        <v/>
      </c>
    </row>
    <row r="5969" spans="6:6">
      <c r="F5969" t="str">
        <f t="shared" si="94"/>
        <v/>
      </c>
    </row>
    <row r="5970" spans="6:6">
      <c r="F5970" t="str">
        <f t="shared" si="94"/>
        <v/>
      </c>
    </row>
    <row r="5971" spans="6:6">
      <c r="F5971" t="str">
        <f t="shared" si="94"/>
        <v/>
      </c>
    </row>
    <row r="5972" spans="6:6">
      <c r="F5972" t="str">
        <f t="shared" si="94"/>
        <v/>
      </c>
    </row>
    <row r="5973" spans="6:6">
      <c r="F5973" t="str">
        <f t="shared" si="94"/>
        <v/>
      </c>
    </row>
    <row r="5974" spans="6:6">
      <c r="F5974" t="str">
        <f t="shared" si="94"/>
        <v/>
      </c>
    </row>
    <row r="5975" spans="6:6">
      <c r="F5975" t="str">
        <f t="shared" si="94"/>
        <v/>
      </c>
    </row>
    <row r="5976" spans="6:6">
      <c r="F5976" t="str">
        <f t="shared" si="94"/>
        <v/>
      </c>
    </row>
    <row r="5977" spans="6:6">
      <c r="F5977" t="str">
        <f t="shared" si="94"/>
        <v/>
      </c>
    </row>
    <row r="5978" spans="6:6">
      <c r="F5978" t="str">
        <f t="shared" si="94"/>
        <v/>
      </c>
    </row>
    <row r="5979" spans="6:6">
      <c r="F5979" t="str">
        <f t="shared" si="94"/>
        <v/>
      </c>
    </row>
    <row r="5980" spans="6:6">
      <c r="F5980" t="str">
        <f t="shared" si="94"/>
        <v/>
      </c>
    </row>
    <row r="5981" spans="6:6">
      <c r="F5981" t="str">
        <f t="shared" si="94"/>
        <v/>
      </c>
    </row>
    <row r="5982" spans="6:6">
      <c r="F5982" t="str">
        <f t="shared" si="94"/>
        <v/>
      </c>
    </row>
    <row r="5983" spans="6:6">
      <c r="F5983" t="str">
        <f t="shared" si="94"/>
        <v/>
      </c>
    </row>
    <row r="5984" spans="6:6">
      <c r="F5984" t="str">
        <f t="shared" si="94"/>
        <v/>
      </c>
    </row>
    <row r="5985" spans="6:6">
      <c r="F5985" t="str">
        <f t="shared" si="94"/>
        <v/>
      </c>
    </row>
    <row r="5986" spans="6:6">
      <c r="F5986" t="str">
        <f t="shared" si="94"/>
        <v/>
      </c>
    </row>
    <row r="5987" spans="6:6">
      <c r="F5987" t="str">
        <f t="shared" si="94"/>
        <v/>
      </c>
    </row>
    <row r="5988" spans="6:6">
      <c r="F5988" t="str">
        <f t="shared" si="94"/>
        <v/>
      </c>
    </row>
    <row r="5989" spans="6:6">
      <c r="F5989" t="str">
        <f t="shared" si="94"/>
        <v/>
      </c>
    </row>
    <row r="5990" spans="6:6">
      <c r="F5990" t="str">
        <f t="shared" si="94"/>
        <v/>
      </c>
    </row>
    <row r="5991" spans="6:6">
      <c r="F5991" t="str">
        <f t="shared" si="94"/>
        <v/>
      </c>
    </row>
    <row r="5992" spans="6:6">
      <c r="F5992" t="str">
        <f t="shared" si="94"/>
        <v/>
      </c>
    </row>
    <row r="5993" spans="6:6">
      <c r="F5993" t="str">
        <f t="shared" si="94"/>
        <v/>
      </c>
    </row>
    <row r="5994" spans="6:6">
      <c r="F5994" t="str">
        <f t="shared" si="94"/>
        <v/>
      </c>
    </row>
    <row r="5995" spans="6:6">
      <c r="F5995" t="str">
        <f t="shared" si="94"/>
        <v/>
      </c>
    </row>
    <row r="5996" spans="6:6">
      <c r="F5996" t="str">
        <f t="shared" si="94"/>
        <v/>
      </c>
    </row>
    <row r="5997" spans="6:6">
      <c r="F5997" t="str">
        <f t="shared" si="94"/>
        <v/>
      </c>
    </row>
    <row r="5998" spans="6:6">
      <c r="F5998" t="str">
        <f t="shared" si="94"/>
        <v/>
      </c>
    </row>
    <row r="5999" spans="6:6">
      <c r="F5999" t="str">
        <f t="shared" si="94"/>
        <v/>
      </c>
    </row>
    <row r="6000" spans="6:6">
      <c r="F6000" t="str">
        <f t="shared" si="94"/>
        <v/>
      </c>
    </row>
    <row r="6001" spans="6:6">
      <c r="F6001" t="str">
        <f t="shared" si="94"/>
        <v/>
      </c>
    </row>
    <row r="6002" spans="6:6">
      <c r="F6002" t="str">
        <f t="shared" si="94"/>
        <v/>
      </c>
    </row>
    <row r="6003" spans="6:6">
      <c r="F6003" t="str">
        <f t="shared" si="94"/>
        <v/>
      </c>
    </row>
    <row r="6004" spans="6:6">
      <c r="F6004" t="str">
        <f t="shared" si="94"/>
        <v/>
      </c>
    </row>
    <row r="6005" spans="6:6">
      <c r="F6005" t="str">
        <f t="shared" si="94"/>
        <v/>
      </c>
    </row>
    <row r="6006" spans="6:6">
      <c r="F6006" t="str">
        <f t="shared" si="94"/>
        <v/>
      </c>
    </row>
    <row r="6007" spans="6:6">
      <c r="F6007" t="str">
        <f t="shared" si="94"/>
        <v/>
      </c>
    </row>
    <row r="6008" spans="6:6">
      <c r="F6008" t="str">
        <f t="shared" si="94"/>
        <v/>
      </c>
    </row>
    <row r="6009" spans="6:6">
      <c r="F6009" t="str">
        <f t="shared" si="94"/>
        <v/>
      </c>
    </row>
    <row r="6010" spans="6:6">
      <c r="F6010" t="str">
        <f t="shared" si="94"/>
        <v/>
      </c>
    </row>
    <row r="6011" spans="6:6">
      <c r="F6011" t="str">
        <f t="shared" si="94"/>
        <v/>
      </c>
    </row>
    <row r="6012" spans="6:6">
      <c r="F6012" t="str">
        <f t="shared" si="94"/>
        <v/>
      </c>
    </row>
    <row r="6013" spans="6:6">
      <c r="F6013" t="str">
        <f t="shared" si="94"/>
        <v/>
      </c>
    </row>
    <row r="6014" spans="6:6">
      <c r="F6014" t="str">
        <f t="shared" si="94"/>
        <v/>
      </c>
    </row>
    <row r="6015" spans="6:6">
      <c r="F6015" t="str">
        <f t="shared" si="94"/>
        <v/>
      </c>
    </row>
    <row r="6016" spans="6:6">
      <c r="F6016" t="str">
        <f t="shared" si="94"/>
        <v/>
      </c>
    </row>
    <row r="6017" spans="6:6">
      <c r="F6017" t="str">
        <f t="shared" si="94"/>
        <v/>
      </c>
    </row>
    <row r="6018" spans="6:6">
      <c r="F6018" t="str">
        <f t="shared" si="94"/>
        <v/>
      </c>
    </row>
    <row r="6019" spans="6:6">
      <c r="F6019" t="str">
        <f t="shared" si="94"/>
        <v/>
      </c>
    </row>
    <row r="6020" spans="6:6">
      <c r="F6020" t="str">
        <f t="shared" si="94"/>
        <v/>
      </c>
    </row>
    <row r="6021" spans="6:6">
      <c r="F6021" t="str">
        <f t="shared" si="94"/>
        <v/>
      </c>
    </row>
    <row r="6022" spans="6:6">
      <c r="F6022" t="str">
        <f t="shared" si="94"/>
        <v/>
      </c>
    </row>
    <row r="6023" spans="6:6">
      <c r="F6023" t="str">
        <f t="shared" si="94"/>
        <v/>
      </c>
    </row>
    <row r="6024" spans="6:6">
      <c r="F6024" t="str">
        <f t="shared" si="94"/>
        <v/>
      </c>
    </row>
    <row r="6025" spans="6:6">
      <c r="F6025" t="str">
        <f t="shared" si="94"/>
        <v/>
      </c>
    </row>
    <row r="6026" spans="6:6">
      <c r="F6026" t="str">
        <f t="shared" si="94"/>
        <v/>
      </c>
    </row>
    <row r="6027" spans="6:6">
      <c r="F6027" t="str">
        <f t="shared" si="94"/>
        <v/>
      </c>
    </row>
    <row r="6028" spans="6:6">
      <c r="F6028" t="str">
        <f t="shared" si="94"/>
        <v/>
      </c>
    </row>
    <row r="6029" spans="6:6">
      <c r="F6029" t="str">
        <f t="shared" ref="F6029:F6092" si="95">RIGHT(D6029,2)</f>
        <v/>
      </c>
    </row>
    <row r="6030" spans="6:6">
      <c r="F6030" t="str">
        <f t="shared" si="95"/>
        <v/>
      </c>
    </row>
    <row r="6031" spans="6:6">
      <c r="F6031" t="str">
        <f t="shared" si="95"/>
        <v/>
      </c>
    </row>
    <row r="6032" spans="6:6">
      <c r="F6032" t="str">
        <f t="shared" si="95"/>
        <v/>
      </c>
    </row>
    <row r="6033" spans="6:6">
      <c r="F6033" t="str">
        <f t="shared" si="95"/>
        <v/>
      </c>
    </row>
    <row r="6034" spans="6:6">
      <c r="F6034" t="str">
        <f t="shared" si="95"/>
        <v/>
      </c>
    </row>
    <row r="6035" spans="6:6">
      <c r="F6035" t="str">
        <f t="shared" si="95"/>
        <v/>
      </c>
    </row>
    <row r="6036" spans="6:6">
      <c r="F6036" t="str">
        <f t="shared" si="95"/>
        <v/>
      </c>
    </row>
    <row r="6037" spans="6:6">
      <c r="F6037" t="str">
        <f t="shared" si="95"/>
        <v/>
      </c>
    </row>
    <row r="6038" spans="6:6">
      <c r="F6038" t="str">
        <f t="shared" si="95"/>
        <v/>
      </c>
    </row>
    <row r="6039" spans="6:6">
      <c r="F6039" t="str">
        <f t="shared" si="95"/>
        <v/>
      </c>
    </row>
    <row r="6040" spans="6:6">
      <c r="F6040" t="str">
        <f t="shared" si="95"/>
        <v/>
      </c>
    </row>
    <row r="6041" spans="6:6">
      <c r="F6041" t="str">
        <f t="shared" si="95"/>
        <v/>
      </c>
    </row>
    <row r="6042" spans="6:6">
      <c r="F6042" t="str">
        <f t="shared" si="95"/>
        <v/>
      </c>
    </row>
    <row r="6043" spans="6:6">
      <c r="F6043" t="str">
        <f t="shared" si="95"/>
        <v/>
      </c>
    </row>
    <row r="6044" spans="6:6">
      <c r="F6044" t="str">
        <f t="shared" si="95"/>
        <v/>
      </c>
    </row>
    <row r="6045" spans="6:6">
      <c r="F6045" t="str">
        <f t="shared" si="95"/>
        <v/>
      </c>
    </row>
    <row r="6046" spans="6:6">
      <c r="F6046" t="str">
        <f t="shared" si="95"/>
        <v/>
      </c>
    </row>
    <row r="6047" spans="6:6">
      <c r="F6047" t="str">
        <f t="shared" si="95"/>
        <v/>
      </c>
    </row>
    <row r="6048" spans="6:6">
      <c r="F6048" t="str">
        <f t="shared" si="95"/>
        <v/>
      </c>
    </row>
    <row r="6049" spans="6:6">
      <c r="F6049" t="str">
        <f t="shared" si="95"/>
        <v/>
      </c>
    </row>
    <row r="6050" spans="6:6">
      <c r="F6050" t="str">
        <f t="shared" si="95"/>
        <v/>
      </c>
    </row>
    <row r="6051" spans="6:6">
      <c r="F6051" t="str">
        <f t="shared" si="95"/>
        <v/>
      </c>
    </row>
    <row r="6052" spans="6:6">
      <c r="F6052" t="str">
        <f t="shared" si="95"/>
        <v/>
      </c>
    </row>
    <row r="6053" spans="6:6">
      <c r="F6053" t="str">
        <f t="shared" si="95"/>
        <v/>
      </c>
    </row>
    <row r="6054" spans="6:6">
      <c r="F6054" t="str">
        <f t="shared" si="95"/>
        <v/>
      </c>
    </row>
    <row r="6055" spans="6:6">
      <c r="F6055" t="str">
        <f t="shared" si="95"/>
        <v/>
      </c>
    </row>
    <row r="6056" spans="6:6">
      <c r="F6056" t="str">
        <f t="shared" si="95"/>
        <v/>
      </c>
    </row>
    <row r="6057" spans="6:6">
      <c r="F6057" t="str">
        <f t="shared" si="95"/>
        <v/>
      </c>
    </row>
    <row r="6058" spans="6:6">
      <c r="F6058" t="str">
        <f t="shared" si="95"/>
        <v/>
      </c>
    </row>
    <row r="6059" spans="6:6">
      <c r="F6059" t="str">
        <f t="shared" si="95"/>
        <v/>
      </c>
    </row>
    <row r="6060" spans="6:6">
      <c r="F6060" t="str">
        <f t="shared" si="95"/>
        <v/>
      </c>
    </row>
    <row r="6061" spans="6:6">
      <c r="F6061" t="str">
        <f t="shared" si="95"/>
        <v/>
      </c>
    </row>
    <row r="6062" spans="6:6">
      <c r="F6062" t="str">
        <f t="shared" si="95"/>
        <v/>
      </c>
    </row>
    <row r="6063" spans="6:6">
      <c r="F6063" t="str">
        <f t="shared" si="95"/>
        <v/>
      </c>
    </row>
    <row r="6064" spans="6:6">
      <c r="F6064" t="str">
        <f t="shared" si="95"/>
        <v/>
      </c>
    </row>
    <row r="6065" spans="6:6">
      <c r="F6065" t="str">
        <f t="shared" si="95"/>
        <v/>
      </c>
    </row>
    <row r="6066" spans="6:6">
      <c r="F6066" t="str">
        <f t="shared" si="95"/>
        <v/>
      </c>
    </row>
    <row r="6067" spans="6:6">
      <c r="F6067" t="str">
        <f t="shared" si="95"/>
        <v/>
      </c>
    </row>
    <row r="6068" spans="6:6">
      <c r="F6068" t="str">
        <f t="shared" si="95"/>
        <v/>
      </c>
    </row>
    <row r="6069" spans="6:6">
      <c r="F6069" t="str">
        <f t="shared" si="95"/>
        <v/>
      </c>
    </row>
    <row r="6070" spans="6:6">
      <c r="F6070" t="str">
        <f t="shared" si="95"/>
        <v/>
      </c>
    </row>
    <row r="6071" spans="6:6">
      <c r="F6071" t="str">
        <f t="shared" si="95"/>
        <v/>
      </c>
    </row>
    <row r="6072" spans="6:6">
      <c r="F6072" t="str">
        <f t="shared" si="95"/>
        <v/>
      </c>
    </row>
    <row r="6073" spans="6:6">
      <c r="F6073" t="str">
        <f t="shared" si="95"/>
        <v/>
      </c>
    </row>
    <row r="6074" spans="6:6">
      <c r="F6074" t="str">
        <f t="shared" si="95"/>
        <v/>
      </c>
    </row>
    <row r="6075" spans="6:6">
      <c r="F6075" t="str">
        <f t="shared" si="95"/>
        <v/>
      </c>
    </row>
    <row r="6076" spans="6:6">
      <c r="F6076" t="str">
        <f t="shared" si="95"/>
        <v/>
      </c>
    </row>
    <row r="6077" spans="6:6">
      <c r="F6077" t="str">
        <f t="shared" si="95"/>
        <v/>
      </c>
    </row>
    <row r="6078" spans="6:6">
      <c r="F6078" t="str">
        <f t="shared" si="95"/>
        <v/>
      </c>
    </row>
    <row r="6079" spans="6:6">
      <c r="F6079" t="str">
        <f t="shared" si="95"/>
        <v/>
      </c>
    </row>
    <row r="6080" spans="6:6">
      <c r="F6080" t="str">
        <f t="shared" si="95"/>
        <v/>
      </c>
    </row>
    <row r="6081" spans="6:6">
      <c r="F6081" t="str">
        <f t="shared" si="95"/>
        <v/>
      </c>
    </row>
    <row r="6082" spans="6:6">
      <c r="F6082" t="str">
        <f t="shared" si="95"/>
        <v/>
      </c>
    </row>
    <row r="6083" spans="6:6">
      <c r="F6083" t="str">
        <f t="shared" si="95"/>
        <v/>
      </c>
    </row>
    <row r="6084" spans="6:6">
      <c r="F6084" t="str">
        <f t="shared" si="95"/>
        <v/>
      </c>
    </row>
    <row r="6085" spans="6:6">
      <c r="F6085" t="str">
        <f t="shared" si="95"/>
        <v/>
      </c>
    </row>
    <row r="6086" spans="6:6">
      <c r="F6086" t="str">
        <f t="shared" si="95"/>
        <v/>
      </c>
    </row>
    <row r="6087" spans="6:6">
      <c r="F6087" t="str">
        <f t="shared" si="95"/>
        <v/>
      </c>
    </row>
    <row r="6088" spans="6:6">
      <c r="F6088" t="str">
        <f t="shared" si="95"/>
        <v/>
      </c>
    </row>
    <row r="6089" spans="6:6">
      <c r="F6089" t="str">
        <f t="shared" si="95"/>
        <v/>
      </c>
    </row>
    <row r="6090" spans="6:6">
      <c r="F6090" t="str">
        <f t="shared" si="95"/>
        <v/>
      </c>
    </row>
    <row r="6091" spans="6:6">
      <c r="F6091" t="str">
        <f t="shared" si="95"/>
        <v/>
      </c>
    </row>
    <row r="6092" spans="6:6">
      <c r="F6092" t="str">
        <f t="shared" si="95"/>
        <v/>
      </c>
    </row>
    <row r="6093" spans="6:6">
      <c r="F6093" t="str">
        <f t="shared" ref="F6093:F6156" si="96">RIGHT(D6093,2)</f>
        <v/>
      </c>
    </row>
    <row r="6094" spans="6:6">
      <c r="F6094" t="str">
        <f t="shared" si="96"/>
        <v/>
      </c>
    </row>
    <row r="6095" spans="6:6">
      <c r="F6095" t="str">
        <f t="shared" si="96"/>
        <v/>
      </c>
    </row>
    <row r="6096" spans="6:6">
      <c r="F6096" t="str">
        <f t="shared" si="96"/>
        <v/>
      </c>
    </row>
    <row r="6097" spans="6:6">
      <c r="F6097" t="str">
        <f t="shared" si="96"/>
        <v/>
      </c>
    </row>
    <row r="6098" spans="6:6">
      <c r="F6098" t="str">
        <f t="shared" si="96"/>
        <v/>
      </c>
    </row>
    <row r="6099" spans="6:6">
      <c r="F6099" t="str">
        <f t="shared" si="96"/>
        <v/>
      </c>
    </row>
    <row r="6100" spans="6:6">
      <c r="F6100" t="str">
        <f t="shared" si="96"/>
        <v/>
      </c>
    </row>
    <row r="6101" spans="6:6">
      <c r="F6101" t="str">
        <f t="shared" si="96"/>
        <v/>
      </c>
    </row>
    <row r="6102" spans="6:6">
      <c r="F6102" t="str">
        <f t="shared" si="96"/>
        <v/>
      </c>
    </row>
    <row r="6103" spans="6:6">
      <c r="F6103" t="str">
        <f t="shared" si="96"/>
        <v/>
      </c>
    </row>
    <row r="6104" spans="6:6">
      <c r="F6104" t="str">
        <f t="shared" si="96"/>
        <v/>
      </c>
    </row>
    <row r="6105" spans="6:6">
      <c r="F6105" t="str">
        <f t="shared" si="96"/>
        <v/>
      </c>
    </row>
    <row r="6106" spans="6:6">
      <c r="F6106" t="str">
        <f t="shared" si="96"/>
        <v/>
      </c>
    </row>
    <row r="6107" spans="6:6">
      <c r="F6107" t="str">
        <f t="shared" si="96"/>
        <v/>
      </c>
    </row>
    <row r="6108" spans="6:6">
      <c r="F6108" t="str">
        <f t="shared" si="96"/>
        <v/>
      </c>
    </row>
    <row r="6109" spans="6:6">
      <c r="F6109" t="str">
        <f t="shared" si="96"/>
        <v/>
      </c>
    </row>
    <row r="6110" spans="6:6">
      <c r="F6110" t="str">
        <f t="shared" si="96"/>
        <v/>
      </c>
    </row>
    <row r="6111" spans="6:6">
      <c r="F6111" t="str">
        <f t="shared" si="96"/>
        <v/>
      </c>
    </row>
    <row r="6112" spans="6:6">
      <c r="F6112" t="str">
        <f t="shared" si="96"/>
        <v/>
      </c>
    </row>
    <row r="6113" spans="6:6">
      <c r="F6113" t="str">
        <f t="shared" si="96"/>
        <v/>
      </c>
    </row>
    <row r="6114" spans="6:6">
      <c r="F6114" t="str">
        <f t="shared" si="96"/>
        <v/>
      </c>
    </row>
    <row r="6115" spans="6:6">
      <c r="F6115" t="str">
        <f t="shared" si="96"/>
        <v/>
      </c>
    </row>
    <row r="6116" spans="6:6">
      <c r="F6116" t="str">
        <f t="shared" si="96"/>
        <v/>
      </c>
    </row>
    <row r="6117" spans="6:6">
      <c r="F6117" t="str">
        <f t="shared" si="96"/>
        <v/>
      </c>
    </row>
    <row r="6118" spans="6:6">
      <c r="F6118" t="str">
        <f t="shared" si="96"/>
        <v/>
      </c>
    </row>
    <row r="6119" spans="6:6">
      <c r="F6119" t="str">
        <f t="shared" si="96"/>
        <v/>
      </c>
    </row>
    <row r="6120" spans="6:6">
      <c r="F6120" t="str">
        <f t="shared" si="96"/>
        <v/>
      </c>
    </row>
    <row r="6121" spans="6:6">
      <c r="F6121" t="str">
        <f t="shared" si="96"/>
        <v/>
      </c>
    </row>
    <row r="6122" spans="6:6">
      <c r="F6122" t="str">
        <f t="shared" si="96"/>
        <v/>
      </c>
    </row>
    <row r="6123" spans="6:6">
      <c r="F6123" t="str">
        <f t="shared" si="96"/>
        <v/>
      </c>
    </row>
    <row r="6124" spans="6:6">
      <c r="F6124" t="str">
        <f t="shared" si="96"/>
        <v/>
      </c>
    </row>
    <row r="6125" spans="6:6">
      <c r="F6125" t="str">
        <f t="shared" si="96"/>
        <v/>
      </c>
    </row>
    <row r="6126" spans="6:6">
      <c r="F6126" t="str">
        <f t="shared" si="96"/>
        <v/>
      </c>
    </row>
    <row r="6127" spans="6:6">
      <c r="F6127" t="str">
        <f t="shared" si="96"/>
        <v/>
      </c>
    </row>
    <row r="6128" spans="6:6">
      <c r="F6128" t="str">
        <f t="shared" si="96"/>
        <v/>
      </c>
    </row>
    <row r="6129" spans="6:6">
      <c r="F6129" t="str">
        <f t="shared" si="96"/>
        <v/>
      </c>
    </row>
    <row r="6130" spans="6:6">
      <c r="F6130" t="str">
        <f t="shared" si="96"/>
        <v/>
      </c>
    </row>
    <row r="6131" spans="6:6">
      <c r="F6131" t="str">
        <f t="shared" si="96"/>
        <v/>
      </c>
    </row>
    <row r="6132" spans="6:6">
      <c r="F6132" t="str">
        <f t="shared" si="96"/>
        <v/>
      </c>
    </row>
    <row r="6133" spans="6:6">
      <c r="F6133" t="str">
        <f t="shared" si="96"/>
        <v/>
      </c>
    </row>
    <row r="6134" spans="6:6">
      <c r="F6134" t="str">
        <f t="shared" si="96"/>
        <v/>
      </c>
    </row>
    <row r="6135" spans="6:6">
      <c r="F6135" t="str">
        <f t="shared" si="96"/>
        <v/>
      </c>
    </row>
    <row r="6136" spans="6:6">
      <c r="F6136" t="str">
        <f t="shared" si="96"/>
        <v/>
      </c>
    </row>
    <row r="6137" spans="6:6">
      <c r="F6137" t="str">
        <f t="shared" si="96"/>
        <v/>
      </c>
    </row>
    <row r="6138" spans="6:6">
      <c r="F6138" t="str">
        <f t="shared" si="96"/>
        <v/>
      </c>
    </row>
    <row r="6139" spans="6:6">
      <c r="F6139" t="str">
        <f t="shared" si="96"/>
        <v/>
      </c>
    </row>
    <row r="6140" spans="6:6">
      <c r="F6140" t="str">
        <f t="shared" si="96"/>
        <v/>
      </c>
    </row>
    <row r="6141" spans="6:6">
      <c r="F6141" t="str">
        <f t="shared" si="96"/>
        <v/>
      </c>
    </row>
    <row r="6142" spans="6:6">
      <c r="F6142" t="str">
        <f t="shared" si="96"/>
        <v/>
      </c>
    </row>
    <row r="6143" spans="6:6">
      <c r="F6143" t="str">
        <f t="shared" si="96"/>
        <v/>
      </c>
    </row>
    <row r="6144" spans="6:6">
      <c r="F6144" t="str">
        <f t="shared" si="96"/>
        <v/>
      </c>
    </row>
    <row r="6145" spans="6:6">
      <c r="F6145" t="str">
        <f t="shared" si="96"/>
        <v/>
      </c>
    </row>
    <row r="6146" spans="6:6">
      <c r="F6146" t="str">
        <f t="shared" si="96"/>
        <v/>
      </c>
    </row>
    <row r="6147" spans="6:6">
      <c r="F6147" t="str">
        <f t="shared" si="96"/>
        <v/>
      </c>
    </row>
    <row r="6148" spans="6:6">
      <c r="F6148" t="str">
        <f t="shared" si="96"/>
        <v/>
      </c>
    </row>
    <row r="6149" spans="6:6">
      <c r="F6149" t="str">
        <f t="shared" si="96"/>
        <v/>
      </c>
    </row>
    <row r="6150" spans="6:6">
      <c r="F6150" t="str">
        <f t="shared" si="96"/>
        <v/>
      </c>
    </row>
    <row r="6151" spans="6:6">
      <c r="F6151" t="str">
        <f t="shared" si="96"/>
        <v/>
      </c>
    </row>
    <row r="6152" spans="6:6">
      <c r="F6152" t="str">
        <f t="shared" si="96"/>
        <v/>
      </c>
    </row>
    <row r="6153" spans="6:6">
      <c r="F6153" t="str">
        <f t="shared" si="96"/>
        <v/>
      </c>
    </row>
    <row r="6154" spans="6:6">
      <c r="F6154" t="str">
        <f t="shared" si="96"/>
        <v/>
      </c>
    </row>
    <row r="6155" spans="6:6">
      <c r="F6155" t="str">
        <f t="shared" si="96"/>
        <v/>
      </c>
    </row>
    <row r="6156" spans="6:6">
      <c r="F6156" t="str">
        <f t="shared" si="96"/>
        <v/>
      </c>
    </row>
    <row r="6157" spans="6:6">
      <c r="F6157" t="str">
        <f t="shared" ref="F6157:F6220" si="97">RIGHT(D6157,2)</f>
        <v/>
      </c>
    </row>
    <row r="6158" spans="6:6">
      <c r="F6158" t="str">
        <f t="shared" si="97"/>
        <v/>
      </c>
    </row>
    <row r="6159" spans="6:6">
      <c r="F6159" t="str">
        <f t="shared" si="97"/>
        <v/>
      </c>
    </row>
    <row r="6160" spans="6:6">
      <c r="F6160" t="str">
        <f t="shared" si="97"/>
        <v/>
      </c>
    </row>
    <row r="6161" spans="6:6">
      <c r="F6161" t="str">
        <f t="shared" si="97"/>
        <v/>
      </c>
    </row>
    <row r="6162" spans="6:6">
      <c r="F6162" t="str">
        <f t="shared" si="97"/>
        <v/>
      </c>
    </row>
    <row r="6163" spans="6:6">
      <c r="F6163" t="str">
        <f t="shared" si="97"/>
        <v/>
      </c>
    </row>
    <row r="6164" spans="6:6">
      <c r="F6164" t="str">
        <f t="shared" si="97"/>
        <v/>
      </c>
    </row>
    <row r="6165" spans="6:6">
      <c r="F6165" t="str">
        <f t="shared" si="97"/>
        <v/>
      </c>
    </row>
    <row r="6166" spans="6:6">
      <c r="F6166" t="str">
        <f t="shared" si="97"/>
        <v/>
      </c>
    </row>
    <row r="6167" spans="6:6">
      <c r="F6167" t="str">
        <f t="shared" si="97"/>
        <v/>
      </c>
    </row>
    <row r="6168" spans="6:6">
      <c r="F6168" t="str">
        <f t="shared" si="97"/>
        <v/>
      </c>
    </row>
    <row r="6169" spans="6:6">
      <c r="F6169" t="str">
        <f t="shared" si="97"/>
        <v/>
      </c>
    </row>
    <row r="6170" spans="6:6">
      <c r="F6170" t="str">
        <f t="shared" si="97"/>
        <v/>
      </c>
    </row>
    <row r="6171" spans="6:6">
      <c r="F6171" t="str">
        <f t="shared" si="97"/>
        <v/>
      </c>
    </row>
    <row r="6172" spans="6:6">
      <c r="F6172" t="str">
        <f t="shared" si="97"/>
        <v/>
      </c>
    </row>
    <row r="6173" spans="6:6">
      <c r="F6173" t="str">
        <f t="shared" si="97"/>
        <v/>
      </c>
    </row>
    <row r="6174" spans="6:6">
      <c r="F6174" t="str">
        <f t="shared" si="97"/>
        <v/>
      </c>
    </row>
    <row r="6175" spans="6:6">
      <c r="F6175" t="str">
        <f t="shared" si="97"/>
        <v/>
      </c>
    </row>
    <row r="6176" spans="6:6">
      <c r="F6176" t="str">
        <f t="shared" si="97"/>
        <v/>
      </c>
    </row>
    <row r="6177" spans="6:6">
      <c r="F6177" t="str">
        <f t="shared" si="97"/>
        <v/>
      </c>
    </row>
    <row r="6178" spans="6:6">
      <c r="F6178" t="str">
        <f t="shared" si="97"/>
        <v/>
      </c>
    </row>
    <row r="6179" spans="6:6">
      <c r="F6179" t="str">
        <f t="shared" si="97"/>
        <v/>
      </c>
    </row>
    <row r="6180" spans="6:6">
      <c r="F6180" t="str">
        <f t="shared" si="97"/>
        <v/>
      </c>
    </row>
    <row r="6181" spans="6:6">
      <c r="F6181" t="str">
        <f t="shared" si="97"/>
        <v/>
      </c>
    </row>
    <row r="6182" spans="6:6">
      <c r="F6182" t="str">
        <f t="shared" si="97"/>
        <v/>
      </c>
    </row>
    <row r="6183" spans="6:6">
      <c r="F6183" t="str">
        <f t="shared" si="97"/>
        <v/>
      </c>
    </row>
    <row r="6184" spans="6:6">
      <c r="F6184" t="str">
        <f t="shared" si="97"/>
        <v/>
      </c>
    </row>
    <row r="6185" spans="6:6">
      <c r="F6185" t="str">
        <f t="shared" si="97"/>
        <v/>
      </c>
    </row>
    <row r="6186" spans="6:6">
      <c r="F6186" t="str">
        <f t="shared" si="97"/>
        <v/>
      </c>
    </row>
    <row r="6187" spans="6:6">
      <c r="F6187" t="str">
        <f t="shared" si="97"/>
        <v/>
      </c>
    </row>
    <row r="6188" spans="6:6">
      <c r="F6188" t="str">
        <f t="shared" si="97"/>
        <v/>
      </c>
    </row>
    <row r="6189" spans="6:6">
      <c r="F6189" t="str">
        <f t="shared" si="97"/>
        <v/>
      </c>
    </row>
    <row r="6190" spans="6:6">
      <c r="F6190" t="str">
        <f t="shared" si="97"/>
        <v/>
      </c>
    </row>
    <row r="6191" spans="6:6">
      <c r="F6191" t="str">
        <f t="shared" si="97"/>
        <v/>
      </c>
    </row>
    <row r="6192" spans="6:6">
      <c r="F6192" t="str">
        <f t="shared" si="97"/>
        <v/>
      </c>
    </row>
    <row r="6193" spans="6:6">
      <c r="F6193" t="str">
        <f t="shared" si="97"/>
        <v/>
      </c>
    </row>
    <row r="6194" spans="6:6">
      <c r="F6194" t="str">
        <f t="shared" si="97"/>
        <v/>
      </c>
    </row>
    <row r="6195" spans="6:6">
      <c r="F6195" t="str">
        <f t="shared" si="97"/>
        <v/>
      </c>
    </row>
    <row r="6196" spans="6:6">
      <c r="F6196" t="str">
        <f t="shared" si="97"/>
        <v/>
      </c>
    </row>
    <row r="6197" spans="6:6">
      <c r="F6197" t="str">
        <f t="shared" si="97"/>
        <v/>
      </c>
    </row>
    <row r="6198" spans="6:6">
      <c r="F6198" t="str">
        <f t="shared" si="97"/>
        <v/>
      </c>
    </row>
    <row r="6199" spans="6:6">
      <c r="F6199" t="str">
        <f t="shared" si="97"/>
        <v/>
      </c>
    </row>
    <row r="6200" spans="6:6">
      <c r="F6200" t="str">
        <f t="shared" si="97"/>
        <v/>
      </c>
    </row>
    <row r="6201" spans="6:6">
      <c r="F6201" t="str">
        <f t="shared" si="97"/>
        <v/>
      </c>
    </row>
    <row r="6202" spans="6:6">
      <c r="F6202" t="str">
        <f t="shared" si="97"/>
        <v/>
      </c>
    </row>
    <row r="6203" spans="6:6">
      <c r="F6203" t="str">
        <f t="shared" si="97"/>
        <v/>
      </c>
    </row>
    <row r="6204" spans="6:6">
      <c r="F6204" t="str">
        <f t="shared" si="97"/>
        <v/>
      </c>
    </row>
    <row r="6205" spans="6:6">
      <c r="F6205" t="str">
        <f t="shared" si="97"/>
        <v/>
      </c>
    </row>
    <row r="6206" spans="6:6">
      <c r="F6206" t="str">
        <f t="shared" si="97"/>
        <v/>
      </c>
    </row>
    <row r="6207" spans="6:6">
      <c r="F6207" t="str">
        <f t="shared" si="97"/>
        <v/>
      </c>
    </row>
    <row r="6208" spans="6:6">
      <c r="F6208" t="str">
        <f t="shared" si="97"/>
        <v/>
      </c>
    </row>
    <row r="6209" spans="6:6">
      <c r="F6209" t="str">
        <f t="shared" si="97"/>
        <v/>
      </c>
    </row>
    <row r="6210" spans="6:6">
      <c r="F6210" t="str">
        <f t="shared" si="97"/>
        <v/>
      </c>
    </row>
    <row r="6211" spans="6:6">
      <c r="F6211" t="str">
        <f t="shared" si="97"/>
        <v/>
      </c>
    </row>
    <row r="6212" spans="6:6">
      <c r="F6212" t="str">
        <f t="shared" si="97"/>
        <v/>
      </c>
    </row>
    <row r="6213" spans="6:6">
      <c r="F6213" t="str">
        <f t="shared" si="97"/>
        <v/>
      </c>
    </row>
    <row r="6214" spans="6:6">
      <c r="F6214" t="str">
        <f t="shared" si="97"/>
        <v/>
      </c>
    </row>
    <row r="6215" spans="6:6">
      <c r="F6215" t="str">
        <f t="shared" si="97"/>
        <v/>
      </c>
    </row>
    <row r="6216" spans="6:6">
      <c r="F6216" t="str">
        <f t="shared" si="97"/>
        <v/>
      </c>
    </row>
    <row r="6217" spans="6:6">
      <c r="F6217" t="str">
        <f t="shared" si="97"/>
        <v/>
      </c>
    </row>
    <row r="6218" spans="6:6">
      <c r="F6218" t="str">
        <f t="shared" si="97"/>
        <v/>
      </c>
    </row>
    <row r="6219" spans="6:6">
      <c r="F6219" t="str">
        <f t="shared" si="97"/>
        <v/>
      </c>
    </row>
    <row r="6220" spans="6:6">
      <c r="F6220" t="str">
        <f t="shared" si="97"/>
        <v/>
      </c>
    </row>
    <row r="6221" spans="6:6">
      <c r="F6221" t="str">
        <f t="shared" ref="F6221:F6284" si="98">RIGHT(D6221,2)</f>
        <v/>
      </c>
    </row>
    <row r="6222" spans="6:6">
      <c r="F6222" t="str">
        <f t="shared" si="98"/>
        <v/>
      </c>
    </row>
    <row r="6223" spans="6:6">
      <c r="F6223" t="str">
        <f t="shared" si="98"/>
        <v/>
      </c>
    </row>
    <row r="6224" spans="6:6">
      <c r="F6224" t="str">
        <f t="shared" si="98"/>
        <v/>
      </c>
    </row>
    <row r="6225" spans="6:6">
      <c r="F6225" t="str">
        <f t="shared" si="98"/>
        <v/>
      </c>
    </row>
    <row r="6226" spans="6:6">
      <c r="F6226" t="str">
        <f t="shared" si="98"/>
        <v/>
      </c>
    </row>
    <row r="6227" spans="6:6">
      <c r="F6227" t="str">
        <f t="shared" si="98"/>
        <v/>
      </c>
    </row>
    <row r="6228" spans="6:6">
      <c r="F6228" t="str">
        <f t="shared" si="98"/>
        <v/>
      </c>
    </row>
    <row r="6229" spans="6:6">
      <c r="F6229" t="str">
        <f t="shared" si="98"/>
        <v/>
      </c>
    </row>
    <row r="6230" spans="6:6">
      <c r="F6230" t="str">
        <f t="shared" si="98"/>
        <v/>
      </c>
    </row>
    <row r="6231" spans="6:6">
      <c r="F6231" t="str">
        <f t="shared" si="98"/>
        <v/>
      </c>
    </row>
    <row r="6232" spans="6:6">
      <c r="F6232" t="str">
        <f t="shared" si="98"/>
        <v/>
      </c>
    </row>
    <row r="6233" spans="6:6">
      <c r="F6233" t="str">
        <f t="shared" si="98"/>
        <v/>
      </c>
    </row>
    <row r="6234" spans="6:6">
      <c r="F6234" t="str">
        <f t="shared" si="98"/>
        <v/>
      </c>
    </row>
    <row r="6235" spans="6:6">
      <c r="F6235" t="str">
        <f t="shared" si="98"/>
        <v/>
      </c>
    </row>
    <row r="6236" spans="6:6">
      <c r="F6236" t="str">
        <f t="shared" si="98"/>
        <v/>
      </c>
    </row>
    <row r="6237" spans="6:6">
      <c r="F6237" t="str">
        <f t="shared" si="98"/>
        <v/>
      </c>
    </row>
    <row r="6238" spans="6:6">
      <c r="F6238" t="str">
        <f t="shared" si="98"/>
        <v/>
      </c>
    </row>
    <row r="6239" spans="6:6">
      <c r="F6239" t="str">
        <f t="shared" si="98"/>
        <v/>
      </c>
    </row>
    <row r="6240" spans="6:6">
      <c r="F6240" t="str">
        <f t="shared" si="98"/>
        <v/>
      </c>
    </row>
    <row r="6241" spans="6:6">
      <c r="F6241" t="str">
        <f t="shared" si="98"/>
        <v/>
      </c>
    </row>
    <row r="6242" spans="6:6">
      <c r="F6242" t="str">
        <f t="shared" si="98"/>
        <v/>
      </c>
    </row>
    <row r="6243" spans="6:6">
      <c r="F6243" t="str">
        <f t="shared" si="98"/>
        <v/>
      </c>
    </row>
    <row r="6244" spans="6:6">
      <c r="F6244" t="str">
        <f t="shared" si="98"/>
        <v/>
      </c>
    </row>
    <row r="6245" spans="6:6">
      <c r="F6245" t="str">
        <f t="shared" si="98"/>
        <v/>
      </c>
    </row>
    <row r="6246" spans="6:6">
      <c r="F6246" t="str">
        <f t="shared" si="98"/>
        <v/>
      </c>
    </row>
    <row r="6247" spans="6:6">
      <c r="F6247" t="str">
        <f t="shared" si="98"/>
        <v/>
      </c>
    </row>
    <row r="6248" spans="6:6">
      <c r="F6248" t="str">
        <f t="shared" si="98"/>
        <v/>
      </c>
    </row>
    <row r="6249" spans="6:6">
      <c r="F6249" t="str">
        <f t="shared" si="98"/>
        <v/>
      </c>
    </row>
    <row r="6250" spans="6:6">
      <c r="F6250" t="str">
        <f t="shared" si="98"/>
        <v/>
      </c>
    </row>
    <row r="6251" spans="6:6">
      <c r="F6251" t="str">
        <f t="shared" si="98"/>
        <v/>
      </c>
    </row>
    <row r="6252" spans="6:6">
      <c r="F6252" t="str">
        <f t="shared" si="98"/>
        <v/>
      </c>
    </row>
    <row r="6253" spans="6:6">
      <c r="F6253" t="str">
        <f t="shared" si="98"/>
        <v/>
      </c>
    </row>
    <row r="6254" spans="6:6">
      <c r="F6254" t="str">
        <f t="shared" si="98"/>
        <v/>
      </c>
    </row>
    <row r="6255" spans="6:6">
      <c r="F6255" t="str">
        <f t="shared" si="98"/>
        <v/>
      </c>
    </row>
    <row r="6256" spans="6:6">
      <c r="F6256" t="str">
        <f t="shared" si="98"/>
        <v/>
      </c>
    </row>
    <row r="6257" spans="6:6">
      <c r="F6257" t="str">
        <f t="shared" si="98"/>
        <v/>
      </c>
    </row>
    <row r="6258" spans="6:6">
      <c r="F6258" t="str">
        <f t="shared" si="98"/>
        <v/>
      </c>
    </row>
    <row r="6259" spans="6:6">
      <c r="F6259" t="str">
        <f t="shared" si="98"/>
        <v/>
      </c>
    </row>
    <row r="6260" spans="6:6">
      <c r="F6260" t="str">
        <f t="shared" si="98"/>
        <v/>
      </c>
    </row>
    <row r="6261" spans="6:6">
      <c r="F6261" t="str">
        <f t="shared" si="98"/>
        <v/>
      </c>
    </row>
    <row r="6262" spans="6:6">
      <c r="F6262" t="str">
        <f t="shared" si="98"/>
        <v/>
      </c>
    </row>
    <row r="6263" spans="6:6">
      <c r="F6263" t="str">
        <f t="shared" si="98"/>
        <v/>
      </c>
    </row>
    <row r="6264" spans="6:6">
      <c r="F6264" t="str">
        <f t="shared" si="98"/>
        <v/>
      </c>
    </row>
    <row r="6265" spans="6:6">
      <c r="F6265" t="str">
        <f t="shared" si="98"/>
        <v/>
      </c>
    </row>
    <row r="6266" spans="6:6">
      <c r="F6266" t="str">
        <f t="shared" si="98"/>
        <v/>
      </c>
    </row>
    <row r="6267" spans="6:6">
      <c r="F6267" t="str">
        <f t="shared" si="98"/>
        <v/>
      </c>
    </row>
    <row r="6268" spans="6:6">
      <c r="F6268" t="str">
        <f t="shared" si="98"/>
        <v/>
      </c>
    </row>
    <row r="6269" spans="6:6">
      <c r="F6269" t="str">
        <f t="shared" si="98"/>
        <v/>
      </c>
    </row>
    <row r="6270" spans="6:6">
      <c r="F6270" t="str">
        <f t="shared" si="98"/>
        <v/>
      </c>
    </row>
    <row r="6271" spans="6:6">
      <c r="F6271" t="str">
        <f t="shared" si="98"/>
        <v/>
      </c>
    </row>
    <row r="6272" spans="6:6">
      <c r="F6272" t="str">
        <f t="shared" si="98"/>
        <v/>
      </c>
    </row>
    <row r="6273" spans="6:6">
      <c r="F6273" t="str">
        <f t="shared" si="98"/>
        <v/>
      </c>
    </row>
    <row r="6274" spans="6:6">
      <c r="F6274" t="str">
        <f t="shared" si="98"/>
        <v/>
      </c>
    </row>
    <row r="6275" spans="6:6">
      <c r="F6275" t="str">
        <f t="shared" si="98"/>
        <v/>
      </c>
    </row>
    <row r="6276" spans="6:6">
      <c r="F6276" t="str">
        <f t="shared" si="98"/>
        <v/>
      </c>
    </row>
    <row r="6277" spans="6:6">
      <c r="F6277" t="str">
        <f t="shared" si="98"/>
        <v/>
      </c>
    </row>
    <row r="6278" spans="6:6">
      <c r="F6278" t="str">
        <f t="shared" si="98"/>
        <v/>
      </c>
    </row>
    <row r="6279" spans="6:6">
      <c r="F6279" t="str">
        <f t="shared" si="98"/>
        <v/>
      </c>
    </row>
    <row r="6280" spans="6:6">
      <c r="F6280" t="str">
        <f t="shared" si="98"/>
        <v/>
      </c>
    </row>
    <row r="6281" spans="6:6">
      <c r="F6281" t="str">
        <f t="shared" si="98"/>
        <v/>
      </c>
    </row>
    <row r="6282" spans="6:6">
      <c r="F6282" t="str">
        <f t="shared" si="98"/>
        <v/>
      </c>
    </row>
    <row r="6283" spans="6:6">
      <c r="F6283" t="str">
        <f t="shared" si="98"/>
        <v/>
      </c>
    </row>
    <row r="6284" spans="6:6">
      <c r="F6284" t="str">
        <f t="shared" si="98"/>
        <v/>
      </c>
    </row>
    <row r="6285" spans="6:6">
      <c r="F6285" t="str">
        <f t="shared" ref="F6285:F6348" si="99">RIGHT(D6285,2)</f>
        <v/>
      </c>
    </row>
    <row r="6286" spans="6:6">
      <c r="F6286" t="str">
        <f t="shared" si="99"/>
        <v/>
      </c>
    </row>
    <row r="6287" spans="6:6">
      <c r="F6287" t="str">
        <f t="shared" si="99"/>
        <v/>
      </c>
    </row>
    <row r="6288" spans="6:6">
      <c r="F6288" t="str">
        <f t="shared" si="99"/>
        <v/>
      </c>
    </row>
    <row r="6289" spans="6:6">
      <c r="F6289" t="str">
        <f t="shared" si="99"/>
        <v/>
      </c>
    </row>
    <row r="6290" spans="6:6">
      <c r="F6290" t="str">
        <f t="shared" si="99"/>
        <v/>
      </c>
    </row>
    <row r="6291" spans="6:6">
      <c r="F6291" t="str">
        <f t="shared" si="99"/>
        <v/>
      </c>
    </row>
    <row r="6292" spans="6:6">
      <c r="F6292" t="str">
        <f t="shared" si="99"/>
        <v/>
      </c>
    </row>
    <row r="6293" spans="6:6">
      <c r="F6293" t="str">
        <f t="shared" si="99"/>
        <v/>
      </c>
    </row>
    <row r="6294" spans="6:6">
      <c r="F6294" t="str">
        <f t="shared" si="99"/>
        <v/>
      </c>
    </row>
    <row r="6295" spans="6:6">
      <c r="F6295" t="str">
        <f t="shared" si="99"/>
        <v/>
      </c>
    </row>
    <row r="6296" spans="6:6">
      <c r="F6296" t="str">
        <f t="shared" si="99"/>
        <v/>
      </c>
    </row>
    <row r="6297" spans="6:6">
      <c r="F6297" t="str">
        <f t="shared" si="99"/>
        <v/>
      </c>
    </row>
    <row r="6298" spans="6:6">
      <c r="F6298" t="str">
        <f t="shared" si="99"/>
        <v/>
      </c>
    </row>
    <row r="6299" spans="6:6">
      <c r="F6299" t="str">
        <f t="shared" si="99"/>
        <v/>
      </c>
    </row>
    <row r="6300" spans="6:6">
      <c r="F6300" t="str">
        <f t="shared" si="99"/>
        <v/>
      </c>
    </row>
    <row r="6301" spans="6:6">
      <c r="F6301" t="str">
        <f t="shared" si="99"/>
        <v/>
      </c>
    </row>
    <row r="6302" spans="6:6">
      <c r="F6302" t="str">
        <f t="shared" si="99"/>
        <v/>
      </c>
    </row>
    <row r="6303" spans="6:6">
      <c r="F6303" t="str">
        <f t="shared" si="99"/>
        <v/>
      </c>
    </row>
    <row r="6304" spans="6:6">
      <c r="F6304" t="str">
        <f t="shared" si="99"/>
        <v/>
      </c>
    </row>
    <row r="6305" spans="6:6">
      <c r="F6305" t="str">
        <f t="shared" si="99"/>
        <v/>
      </c>
    </row>
    <row r="6306" spans="6:6">
      <c r="F6306" t="str">
        <f t="shared" si="99"/>
        <v/>
      </c>
    </row>
    <row r="6307" spans="6:6">
      <c r="F6307" t="str">
        <f t="shared" si="99"/>
        <v/>
      </c>
    </row>
    <row r="6308" spans="6:6">
      <c r="F6308" t="str">
        <f t="shared" si="99"/>
        <v/>
      </c>
    </row>
    <row r="6309" spans="6:6">
      <c r="F6309" t="str">
        <f t="shared" si="99"/>
        <v/>
      </c>
    </row>
    <row r="6310" spans="6:6">
      <c r="F6310" t="str">
        <f t="shared" si="99"/>
        <v/>
      </c>
    </row>
    <row r="6311" spans="6:6">
      <c r="F6311" t="str">
        <f t="shared" si="99"/>
        <v/>
      </c>
    </row>
    <row r="6312" spans="6:6">
      <c r="F6312" t="str">
        <f t="shared" si="99"/>
        <v/>
      </c>
    </row>
    <row r="6313" spans="6:6">
      <c r="F6313" t="str">
        <f t="shared" si="99"/>
        <v/>
      </c>
    </row>
    <row r="6314" spans="6:6">
      <c r="F6314" t="str">
        <f t="shared" si="99"/>
        <v/>
      </c>
    </row>
    <row r="6315" spans="6:6">
      <c r="F6315" t="str">
        <f t="shared" si="99"/>
        <v/>
      </c>
    </row>
    <row r="6316" spans="6:6">
      <c r="F6316" t="str">
        <f t="shared" si="99"/>
        <v/>
      </c>
    </row>
    <row r="6317" spans="6:6">
      <c r="F6317" t="str">
        <f t="shared" si="99"/>
        <v/>
      </c>
    </row>
    <row r="6318" spans="6:6">
      <c r="F6318" t="str">
        <f t="shared" si="99"/>
        <v/>
      </c>
    </row>
    <row r="6319" spans="6:6">
      <c r="F6319" t="str">
        <f t="shared" si="99"/>
        <v/>
      </c>
    </row>
    <row r="6320" spans="6:6">
      <c r="F6320" t="str">
        <f t="shared" si="99"/>
        <v/>
      </c>
    </row>
    <row r="6321" spans="6:6">
      <c r="F6321" t="str">
        <f t="shared" si="99"/>
        <v/>
      </c>
    </row>
    <row r="6322" spans="6:6">
      <c r="F6322" t="str">
        <f t="shared" si="99"/>
        <v/>
      </c>
    </row>
    <row r="6323" spans="6:6">
      <c r="F6323" t="str">
        <f t="shared" si="99"/>
        <v/>
      </c>
    </row>
    <row r="6324" spans="6:6">
      <c r="F6324" t="str">
        <f t="shared" si="99"/>
        <v/>
      </c>
    </row>
    <row r="6325" spans="6:6">
      <c r="F6325" t="str">
        <f t="shared" si="99"/>
        <v/>
      </c>
    </row>
    <row r="6326" spans="6:6">
      <c r="F6326" t="str">
        <f t="shared" si="99"/>
        <v/>
      </c>
    </row>
    <row r="6327" spans="6:6">
      <c r="F6327" t="str">
        <f t="shared" si="99"/>
        <v/>
      </c>
    </row>
    <row r="6328" spans="6:6">
      <c r="F6328" t="str">
        <f t="shared" si="99"/>
        <v/>
      </c>
    </row>
    <row r="6329" spans="6:6">
      <c r="F6329" t="str">
        <f t="shared" si="99"/>
        <v/>
      </c>
    </row>
    <row r="6330" spans="6:6">
      <c r="F6330" t="str">
        <f t="shared" si="99"/>
        <v/>
      </c>
    </row>
    <row r="6331" spans="6:6">
      <c r="F6331" t="str">
        <f t="shared" si="99"/>
        <v/>
      </c>
    </row>
    <row r="6332" spans="6:6">
      <c r="F6332" t="str">
        <f t="shared" si="99"/>
        <v/>
      </c>
    </row>
    <row r="6333" spans="6:6">
      <c r="F6333" t="str">
        <f t="shared" si="99"/>
        <v/>
      </c>
    </row>
    <row r="6334" spans="6:6">
      <c r="F6334" t="str">
        <f t="shared" si="99"/>
        <v/>
      </c>
    </row>
    <row r="6335" spans="6:6">
      <c r="F6335" t="str">
        <f t="shared" si="99"/>
        <v/>
      </c>
    </row>
    <row r="6336" spans="6:6">
      <c r="F6336" t="str">
        <f t="shared" si="99"/>
        <v/>
      </c>
    </row>
    <row r="6337" spans="6:6">
      <c r="F6337" t="str">
        <f t="shared" si="99"/>
        <v/>
      </c>
    </row>
    <row r="6338" spans="6:6">
      <c r="F6338" t="str">
        <f t="shared" si="99"/>
        <v/>
      </c>
    </row>
    <row r="6339" spans="6:6">
      <c r="F6339" t="str">
        <f t="shared" si="99"/>
        <v/>
      </c>
    </row>
    <row r="6340" spans="6:6">
      <c r="F6340" t="str">
        <f t="shared" si="99"/>
        <v/>
      </c>
    </row>
    <row r="6341" spans="6:6">
      <c r="F6341" t="str">
        <f t="shared" si="99"/>
        <v/>
      </c>
    </row>
    <row r="6342" spans="6:6">
      <c r="F6342" t="str">
        <f t="shared" si="99"/>
        <v/>
      </c>
    </row>
    <row r="6343" spans="6:6">
      <c r="F6343" t="str">
        <f t="shared" si="99"/>
        <v/>
      </c>
    </row>
    <row r="6344" spans="6:6">
      <c r="F6344" t="str">
        <f t="shared" si="99"/>
        <v/>
      </c>
    </row>
    <row r="6345" spans="6:6">
      <c r="F6345" t="str">
        <f t="shared" si="99"/>
        <v/>
      </c>
    </row>
    <row r="6346" spans="6:6">
      <c r="F6346" t="str">
        <f t="shared" si="99"/>
        <v/>
      </c>
    </row>
    <row r="6347" spans="6:6">
      <c r="F6347" t="str">
        <f t="shared" si="99"/>
        <v/>
      </c>
    </row>
    <row r="6348" spans="6:6">
      <c r="F6348" t="str">
        <f t="shared" si="99"/>
        <v/>
      </c>
    </row>
    <row r="6349" spans="6:6">
      <c r="F6349" t="str">
        <f t="shared" ref="F6349:F6412" si="100">RIGHT(D6349,2)</f>
        <v/>
      </c>
    </row>
    <row r="6350" spans="6:6">
      <c r="F6350" t="str">
        <f t="shared" si="100"/>
        <v/>
      </c>
    </row>
    <row r="6351" spans="6:6">
      <c r="F6351" t="str">
        <f t="shared" si="100"/>
        <v/>
      </c>
    </row>
    <row r="6352" spans="6:6">
      <c r="F6352" t="str">
        <f t="shared" si="100"/>
        <v/>
      </c>
    </row>
    <row r="6353" spans="6:6">
      <c r="F6353" t="str">
        <f t="shared" si="100"/>
        <v/>
      </c>
    </row>
    <row r="6354" spans="6:6">
      <c r="F6354" t="str">
        <f t="shared" si="100"/>
        <v/>
      </c>
    </row>
    <row r="6355" spans="6:6">
      <c r="F6355" t="str">
        <f t="shared" si="100"/>
        <v/>
      </c>
    </row>
    <row r="6356" spans="6:6">
      <c r="F6356" t="str">
        <f t="shared" si="100"/>
        <v/>
      </c>
    </row>
    <row r="6357" spans="6:6">
      <c r="F6357" t="str">
        <f t="shared" si="100"/>
        <v/>
      </c>
    </row>
    <row r="6358" spans="6:6">
      <c r="F6358" t="str">
        <f t="shared" si="100"/>
        <v/>
      </c>
    </row>
    <row r="6359" spans="6:6">
      <c r="F6359" t="str">
        <f t="shared" si="100"/>
        <v/>
      </c>
    </row>
    <row r="6360" spans="6:6">
      <c r="F6360" t="str">
        <f t="shared" si="100"/>
        <v/>
      </c>
    </row>
    <row r="6361" spans="6:6">
      <c r="F6361" t="str">
        <f t="shared" si="100"/>
        <v/>
      </c>
    </row>
    <row r="6362" spans="6:6">
      <c r="F6362" t="str">
        <f t="shared" si="100"/>
        <v/>
      </c>
    </row>
    <row r="6363" spans="6:6">
      <c r="F6363" t="str">
        <f t="shared" si="100"/>
        <v/>
      </c>
    </row>
    <row r="6364" spans="6:6">
      <c r="F6364" t="str">
        <f t="shared" si="100"/>
        <v/>
      </c>
    </row>
    <row r="6365" spans="6:6">
      <c r="F6365" t="str">
        <f t="shared" si="100"/>
        <v/>
      </c>
    </row>
    <row r="6366" spans="6:6">
      <c r="F6366" t="str">
        <f t="shared" si="100"/>
        <v/>
      </c>
    </row>
    <row r="6367" spans="6:6">
      <c r="F6367" t="str">
        <f t="shared" si="100"/>
        <v/>
      </c>
    </row>
    <row r="6368" spans="6:6">
      <c r="F6368" t="str">
        <f t="shared" si="100"/>
        <v/>
      </c>
    </row>
    <row r="6369" spans="6:6">
      <c r="F6369" t="str">
        <f t="shared" si="100"/>
        <v/>
      </c>
    </row>
    <row r="6370" spans="6:6">
      <c r="F6370" t="str">
        <f t="shared" si="100"/>
        <v/>
      </c>
    </row>
    <row r="6371" spans="6:6">
      <c r="F6371" t="str">
        <f t="shared" si="100"/>
        <v/>
      </c>
    </row>
    <row r="6372" spans="6:6">
      <c r="F6372" t="str">
        <f t="shared" si="100"/>
        <v/>
      </c>
    </row>
    <row r="6373" spans="6:6">
      <c r="F6373" t="str">
        <f t="shared" si="100"/>
        <v/>
      </c>
    </row>
    <row r="6374" spans="6:6">
      <c r="F6374" t="str">
        <f t="shared" si="100"/>
        <v/>
      </c>
    </row>
    <row r="6375" spans="6:6">
      <c r="F6375" t="str">
        <f t="shared" si="100"/>
        <v/>
      </c>
    </row>
    <row r="6376" spans="6:6">
      <c r="F6376" t="str">
        <f t="shared" si="100"/>
        <v/>
      </c>
    </row>
    <row r="6377" spans="6:6">
      <c r="F6377" t="str">
        <f t="shared" si="100"/>
        <v/>
      </c>
    </row>
    <row r="6378" spans="6:6">
      <c r="F6378" t="str">
        <f t="shared" si="100"/>
        <v/>
      </c>
    </row>
    <row r="6379" spans="6:6">
      <c r="F6379" t="str">
        <f t="shared" si="100"/>
        <v/>
      </c>
    </row>
    <row r="6380" spans="6:6">
      <c r="F6380" t="str">
        <f t="shared" si="100"/>
        <v/>
      </c>
    </row>
    <row r="6381" spans="6:6">
      <c r="F6381" t="str">
        <f t="shared" si="100"/>
        <v/>
      </c>
    </row>
    <row r="6382" spans="6:6">
      <c r="F6382" t="str">
        <f t="shared" si="100"/>
        <v/>
      </c>
    </row>
    <row r="6383" spans="6:6">
      <c r="F6383" t="str">
        <f t="shared" si="100"/>
        <v/>
      </c>
    </row>
    <row r="6384" spans="6:6">
      <c r="F6384" t="str">
        <f t="shared" si="100"/>
        <v/>
      </c>
    </row>
    <row r="6385" spans="6:6">
      <c r="F6385" t="str">
        <f t="shared" si="100"/>
        <v/>
      </c>
    </row>
    <row r="6386" spans="6:6">
      <c r="F6386" t="str">
        <f t="shared" si="100"/>
        <v/>
      </c>
    </row>
    <row r="6387" spans="6:6">
      <c r="F6387" t="str">
        <f t="shared" si="100"/>
        <v/>
      </c>
    </row>
    <row r="6388" spans="6:6">
      <c r="F6388" t="str">
        <f t="shared" si="100"/>
        <v/>
      </c>
    </row>
    <row r="6389" spans="6:6">
      <c r="F6389" t="str">
        <f t="shared" si="100"/>
        <v/>
      </c>
    </row>
    <row r="6390" spans="6:6">
      <c r="F6390" t="str">
        <f t="shared" si="100"/>
        <v/>
      </c>
    </row>
    <row r="6391" spans="6:6">
      <c r="F6391" t="str">
        <f t="shared" si="100"/>
        <v/>
      </c>
    </row>
    <row r="6392" spans="6:6">
      <c r="F6392" t="str">
        <f t="shared" si="100"/>
        <v/>
      </c>
    </row>
    <row r="6393" spans="6:6">
      <c r="F6393" t="str">
        <f t="shared" si="100"/>
        <v/>
      </c>
    </row>
    <row r="6394" spans="6:6">
      <c r="F6394" t="str">
        <f t="shared" si="100"/>
        <v/>
      </c>
    </row>
    <row r="6395" spans="6:6">
      <c r="F6395" t="str">
        <f t="shared" si="100"/>
        <v/>
      </c>
    </row>
    <row r="6396" spans="6:6">
      <c r="F6396" t="str">
        <f t="shared" si="100"/>
        <v/>
      </c>
    </row>
    <row r="6397" spans="6:6">
      <c r="F6397" t="str">
        <f t="shared" si="100"/>
        <v/>
      </c>
    </row>
    <row r="6398" spans="6:6">
      <c r="F6398" t="str">
        <f t="shared" si="100"/>
        <v/>
      </c>
    </row>
    <row r="6399" spans="6:6">
      <c r="F6399" t="str">
        <f t="shared" si="100"/>
        <v/>
      </c>
    </row>
    <row r="6400" spans="6:6">
      <c r="F6400" t="str">
        <f t="shared" si="100"/>
        <v/>
      </c>
    </row>
    <row r="6401" spans="6:6">
      <c r="F6401" t="str">
        <f t="shared" si="100"/>
        <v/>
      </c>
    </row>
    <row r="6402" spans="6:6">
      <c r="F6402" t="str">
        <f t="shared" si="100"/>
        <v/>
      </c>
    </row>
    <row r="6403" spans="6:6">
      <c r="F6403" t="str">
        <f t="shared" si="100"/>
        <v/>
      </c>
    </row>
    <row r="6404" spans="6:6">
      <c r="F6404" t="str">
        <f t="shared" si="100"/>
        <v/>
      </c>
    </row>
    <row r="6405" spans="6:6">
      <c r="F6405" t="str">
        <f t="shared" si="100"/>
        <v/>
      </c>
    </row>
    <row r="6406" spans="6:6">
      <c r="F6406" t="str">
        <f t="shared" si="100"/>
        <v/>
      </c>
    </row>
    <row r="6407" spans="6:6">
      <c r="F6407" t="str">
        <f t="shared" si="100"/>
        <v/>
      </c>
    </row>
    <row r="6408" spans="6:6">
      <c r="F6408" t="str">
        <f t="shared" si="100"/>
        <v/>
      </c>
    </row>
    <row r="6409" spans="6:6">
      <c r="F6409" t="str">
        <f t="shared" si="100"/>
        <v/>
      </c>
    </row>
    <row r="6410" spans="6:6">
      <c r="F6410" t="str">
        <f t="shared" si="100"/>
        <v/>
      </c>
    </row>
    <row r="6411" spans="6:6">
      <c r="F6411" t="str">
        <f t="shared" si="100"/>
        <v/>
      </c>
    </row>
    <row r="6412" spans="6:6">
      <c r="F6412" t="str">
        <f t="shared" si="100"/>
        <v/>
      </c>
    </row>
    <row r="6413" spans="6:6">
      <c r="F6413" t="str">
        <f t="shared" ref="F6413:F6476" si="101">RIGHT(D6413,2)</f>
        <v/>
      </c>
    </row>
    <row r="6414" spans="6:6">
      <c r="F6414" t="str">
        <f t="shared" si="101"/>
        <v/>
      </c>
    </row>
    <row r="6415" spans="6:6">
      <c r="F6415" t="str">
        <f t="shared" si="101"/>
        <v/>
      </c>
    </row>
    <row r="6416" spans="6:6">
      <c r="F6416" t="str">
        <f t="shared" si="101"/>
        <v/>
      </c>
    </row>
    <row r="6417" spans="6:6">
      <c r="F6417" t="str">
        <f t="shared" si="101"/>
        <v/>
      </c>
    </row>
    <row r="6418" spans="6:6">
      <c r="F6418" t="str">
        <f t="shared" si="101"/>
        <v/>
      </c>
    </row>
    <row r="6419" spans="6:6">
      <c r="F6419" t="str">
        <f t="shared" si="101"/>
        <v/>
      </c>
    </row>
    <row r="6420" spans="6:6">
      <c r="F6420" t="str">
        <f t="shared" si="101"/>
        <v/>
      </c>
    </row>
    <row r="6421" spans="6:6">
      <c r="F6421" t="str">
        <f t="shared" si="101"/>
        <v/>
      </c>
    </row>
    <row r="6422" spans="6:6">
      <c r="F6422" t="str">
        <f t="shared" si="101"/>
        <v/>
      </c>
    </row>
    <row r="6423" spans="6:6">
      <c r="F6423" t="str">
        <f t="shared" si="101"/>
        <v/>
      </c>
    </row>
    <row r="6424" spans="6:6">
      <c r="F6424" t="str">
        <f t="shared" si="101"/>
        <v/>
      </c>
    </row>
    <row r="6425" spans="6:6">
      <c r="F6425" t="str">
        <f t="shared" si="101"/>
        <v/>
      </c>
    </row>
    <row r="6426" spans="6:6">
      <c r="F6426" t="str">
        <f t="shared" si="101"/>
        <v/>
      </c>
    </row>
    <row r="6427" spans="6:6">
      <c r="F6427" t="str">
        <f t="shared" si="101"/>
        <v/>
      </c>
    </row>
    <row r="6428" spans="6:6">
      <c r="F6428" t="str">
        <f t="shared" si="101"/>
        <v/>
      </c>
    </row>
    <row r="6429" spans="6:6">
      <c r="F6429" t="str">
        <f t="shared" si="101"/>
        <v/>
      </c>
    </row>
    <row r="6430" spans="6:6">
      <c r="F6430" t="str">
        <f t="shared" si="101"/>
        <v/>
      </c>
    </row>
    <row r="6431" spans="6:6">
      <c r="F6431" t="str">
        <f t="shared" si="101"/>
        <v/>
      </c>
    </row>
    <row r="6432" spans="6:6">
      <c r="F6432" t="str">
        <f t="shared" si="101"/>
        <v/>
      </c>
    </row>
    <row r="6433" spans="6:6">
      <c r="F6433" t="str">
        <f t="shared" si="101"/>
        <v/>
      </c>
    </row>
    <row r="6434" spans="6:6">
      <c r="F6434" t="str">
        <f t="shared" si="101"/>
        <v/>
      </c>
    </row>
    <row r="6435" spans="6:6">
      <c r="F6435" t="str">
        <f t="shared" si="101"/>
        <v/>
      </c>
    </row>
    <row r="6436" spans="6:6">
      <c r="F6436" t="str">
        <f t="shared" si="101"/>
        <v/>
      </c>
    </row>
    <row r="6437" spans="6:6">
      <c r="F6437" t="str">
        <f t="shared" si="101"/>
        <v/>
      </c>
    </row>
    <row r="6438" spans="6:6">
      <c r="F6438" t="str">
        <f t="shared" si="101"/>
        <v/>
      </c>
    </row>
    <row r="6439" spans="6:6">
      <c r="F6439" t="str">
        <f t="shared" si="101"/>
        <v/>
      </c>
    </row>
    <row r="6440" spans="6:6">
      <c r="F6440" t="str">
        <f t="shared" si="101"/>
        <v/>
      </c>
    </row>
    <row r="6441" spans="6:6">
      <c r="F6441" t="str">
        <f t="shared" si="101"/>
        <v/>
      </c>
    </row>
    <row r="6442" spans="6:6">
      <c r="F6442" t="str">
        <f t="shared" si="101"/>
        <v/>
      </c>
    </row>
    <row r="6443" spans="6:6">
      <c r="F6443" t="str">
        <f t="shared" si="101"/>
        <v/>
      </c>
    </row>
    <row r="6444" spans="6:6">
      <c r="F6444" t="str">
        <f t="shared" si="101"/>
        <v/>
      </c>
    </row>
    <row r="6445" spans="6:6">
      <c r="F6445" t="str">
        <f t="shared" si="101"/>
        <v/>
      </c>
    </row>
    <row r="6446" spans="6:6">
      <c r="F6446" t="str">
        <f t="shared" si="101"/>
        <v/>
      </c>
    </row>
    <row r="6447" spans="6:6">
      <c r="F6447" t="str">
        <f t="shared" si="101"/>
        <v/>
      </c>
    </row>
    <row r="6448" spans="6:6">
      <c r="F6448" t="str">
        <f t="shared" si="101"/>
        <v/>
      </c>
    </row>
    <row r="6449" spans="6:6">
      <c r="F6449" t="str">
        <f t="shared" si="101"/>
        <v/>
      </c>
    </row>
    <row r="6450" spans="6:6">
      <c r="F6450" t="str">
        <f t="shared" si="101"/>
        <v/>
      </c>
    </row>
    <row r="6451" spans="6:6">
      <c r="F6451" t="str">
        <f t="shared" si="101"/>
        <v/>
      </c>
    </row>
    <row r="6452" spans="6:6">
      <c r="F6452" t="str">
        <f t="shared" si="101"/>
        <v/>
      </c>
    </row>
    <row r="6453" spans="6:6">
      <c r="F6453" t="str">
        <f t="shared" si="101"/>
        <v/>
      </c>
    </row>
    <row r="6454" spans="6:6">
      <c r="F6454" t="str">
        <f t="shared" si="101"/>
        <v/>
      </c>
    </row>
    <row r="6455" spans="6:6">
      <c r="F6455" t="str">
        <f t="shared" si="101"/>
        <v/>
      </c>
    </row>
    <row r="6456" spans="6:6">
      <c r="F6456" t="str">
        <f t="shared" si="101"/>
        <v/>
      </c>
    </row>
    <row r="6457" spans="6:6">
      <c r="F6457" t="str">
        <f t="shared" si="101"/>
        <v/>
      </c>
    </row>
    <row r="6458" spans="6:6">
      <c r="F6458" t="str">
        <f t="shared" si="101"/>
        <v/>
      </c>
    </row>
    <row r="6459" spans="6:6">
      <c r="F6459" t="str">
        <f t="shared" si="101"/>
        <v/>
      </c>
    </row>
    <row r="6460" spans="6:6">
      <c r="F6460" t="str">
        <f t="shared" si="101"/>
        <v/>
      </c>
    </row>
    <row r="6461" spans="6:6">
      <c r="F6461" t="str">
        <f t="shared" si="101"/>
        <v/>
      </c>
    </row>
    <row r="6462" spans="6:6">
      <c r="F6462" t="str">
        <f t="shared" si="101"/>
        <v/>
      </c>
    </row>
    <row r="6463" spans="6:6">
      <c r="F6463" t="str">
        <f t="shared" si="101"/>
        <v/>
      </c>
    </row>
    <row r="6464" spans="6:6">
      <c r="F6464" t="str">
        <f t="shared" si="101"/>
        <v/>
      </c>
    </row>
    <row r="6465" spans="6:6">
      <c r="F6465" t="str">
        <f t="shared" si="101"/>
        <v/>
      </c>
    </row>
    <row r="6466" spans="6:6">
      <c r="F6466" t="str">
        <f t="shared" si="101"/>
        <v/>
      </c>
    </row>
    <row r="6467" spans="6:6">
      <c r="F6467" t="str">
        <f t="shared" si="101"/>
        <v/>
      </c>
    </row>
    <row r="6468" spans="6:6">
      <c r="F6468" t="str">
        <f t="shared" si="101"/>
        <v/>
      </c>
    </row>
    <row r="6469" spans="6:6">
      <c r="F6469" t="str">
        <f t="shared" si="101"/>
        <v/>
      </c>
    </row>
    <row r="6470" spans="6:6">
      <c r="F6470" t="str">
        <f t="shared" si="101"/>
        <v/>
      </c>
    </row>
    <row r="6471" spans="6:6">
      <c r="F6471" t="str">
        <f t="shared" si="101"/>
        <v/>
      </c>
    </row>
    <row r="6472" spans="6:6">
      <c r="F6472" t="str">
        <f t="shared" si="101"/>
        <v/>
      </c>
    </row>
    <row r="6473" spans="6:6">
      <c r="F6473" t="str">
        <f t="shared" si="101"/>
        <v/>
      </c>
    </row>
    <row r="6474" spans="6:6">
      <c r="F6474" t="str">
        <f t="shared" si="101"/>
        <v/>
      </c>
    </row>
    <row r="6475" spans="6:6">
      <c r="F6475" t="str">
        <f t="shared" si="101"/>
        <v/>
      </c>
    </row>
    <row r="6476" spans="6:6">
      <c r="F6476" t="str">
        <f t="shared" si="101"/>
        <v/>
      </c>
    </row>
    <row r="6477" spans="6:6">
      <c r="F6477" t="str">
        <f t="shared" ref="F6477:F6540" si="102">RIGHT(D6477,2)</f>
        <v/>
      </c>
    </row>
    <row r="6478" spans="6:6">
      <c r="F6478" t="str">
        <f t="shared" si="102"/>
        <v/>
      </c>
    </row>
    <row r="6479" spans="6:6">
      <c r="F6479" t="str">
        <f t="shared" si="102"/>
        <v/>
      </c>
    </row>
    <row r="6480" spans="6:6">
      <c r="F6480" t="str">
        <f t="shared" si="102"/>
        <v/>
      </c>
    </row>
    <row r="6481" spans="6:6">
      <c r="F6481" t="str">
        <f t="shared" si="102"/>
        <v/>
      </c>
    </row>
    <row r="6482" spans="6:6">
      <c r="F6482" t="str">
        <f t="shared" si="102"/>
        <v/>
      </c>
    </row>
    <row r="6483" spans="6:6">
      <c r="F6483" t="str">
        <f t="shared" si="102"/>
        <v/>
      </c>
    </row>
    <row r="6484" spans="6:6">
      <c r="F6484" t="str">
        <f t="shared" si="102"/>
        <v/>
      </c>
    </row>
    <row r="6485" spans="6:6">
      <c r="F6485" t="str">
        <f t="shared" si="102"/>
        <v/>
      </c>
    </row>
    <row r="6486" spans="6:6">
      <c r="F6486" t="str">
        <f t="shared" si="102"/>
        <v/>
      </c>
    </row>
    <row r="6487" spans="6:6">
      <c r="F6487" t="str">
        <f t="shared" si="102"/>
        <v/>
      </c>
    </row>
    <row r="6488" spans="6:6">
      <c r="F6488" t="str">
        <f t="shared" si="102"/>
        <v/>
      </c>
    </row>
    <row r="6489" spans="6:6">
      <c r="F6489" t="str">
        <f t="shared" si="102"/>
        <v/>
      </c>
    </row>
    <row r="6490" spans="6:6">
      <c r="F6490" t="str">
        <f t="shared" si="102"/>
        <v/>
      </c>
    </row>
    <row r="6491" spans="6:6">
      <c r="F6491" t="str">
        <f t="shared" si="102"/>
        <v/>
      </c>
    </row>
    <row r="6492" spans="6:6">
      <c r="F6492" t="str">
        <f t="shared" si="102"/>
        <v/>
      </c>
    </row>
    <row r="6493" spans="6:6">
      <c r="F6493" t="str">
        <f t="shared" si="102"/>
        <v/>
      </c>
    </row>
    <row r="6494" spans="6:6">
      <c r="F6494" t="str">
        <f t="shared" si="102"/>
        <v/>
      </c>
    </row>
    <row r="6495" spans="6:6">
      <c r="F6495" t="str">
        <f t="shared" si="102"/>
        <v/>
      </c>
    </row>
    <row r="6496" spans="6:6">
      <c r="F6496" t="str">
        <f t="shared" si="102"/>
        <v/>
      </c>
    </row>
    <row r="6497" spans="6:6">
      <c r="F6497" t="str">
        <f t="shared" si="102"/>
        <v/>
      </c>
    </row>
    <row r="6498" spans="6:6">
      <c r="F6498" t="str">
        <f t="shared" si="102"/>
        <v/>
      </c>
    </row>
    <row r="6499" spans="6:6">
      <c r="F6499" t="str">
        <f t="shared" si="102"/>
        <v/>
      </c>
    </row>
    <row r="6500" spans="6:6">
      <c r="F6500" t="str">
        <f t="shared" si="102"/>
        <v/>
      </c>
    </row>
    <row r="6501" spans="6:6">
      <c r="F6501" t="str">
        <f t="shared" si="102"/>
        <v/>
      </c>
    </row>
    <row r="6502" spans="6:6">
      <c r="F6502" t="str">
        <f t="shared" si="102"/>
        <v/>
      </c>
    </row>
    <row r="6503" spans="6:6">
      <c r="F6503" t="str">
        <f t="shared" si="102"/>
        <v/>
      </c>
    </row>
    <row r="6504" spans="6:6">
      <c r="F6504" t="str">
        <f t="shared" si="102"/>
        <v/>
      </c>
    </row>
    <row r="6505" spans="6:6">
      <c r="F6505" t="str">
        <f t="shared" si="102"/>
        <v/>
      </c>
    </row>
    <row r="6506" spans="6:6">
      <c r="F6506" t="str">
        <f t="shared" si="102"/>
        <v/>
      </c>
    </row>
    <row r="6507" spans="6:6">
      <c r="F6507" t="str">
        <f t="shared" si="102"/>
        <v/>
      </c>
    </row>
    <row r="6508" spans="6:6">
      <c r="F6508" t="str">
        <f t="shared" si="102"/>
        <v/>
      </c>
    </row>
    <row r="6509" spans="6:6">
      <c r="F6509" t="str">
        <f t="shared" si="102"/>
        <v/>
      </c>
    </row>
    <row r="6510" spans="6:6">
      <c r="F6510" t="str">
        <f t="shared" si="102"/>
        <v/>
      </c>
    </row>
    <row r="6511" spans="6:6">
      <c r="F6511" t="str">
        <f t="shared" si="102"/>
        <v/>
      </c>
    </row>
    <row r="6512" spans="6:6">
      <c r="F6512" t="str">
        <f t="shared" si="102"/>
        <v/>
      </c>
    </row>
    <row r="6513" spans="6:6">
      <c r="F6513" t="str">
        <f t="shared" si="102"/>
        <v/>
      </c>
    </row>
    <row r="6514" spans="6:6">
      <c r="F6514" t="str">
        <f t="shared" si="102"/>
        <v/>
      </c>
    </row>
    <row r="6515" spans="6:6">
      <c r="F6515" t="str">
        <f t="shared" si="102"/>
        <v/>
      </c>
    </row>
    <row r="6516" spans="6:6">
      <c r="F6516" t="str">
        <f t="shared" si="102"/>
        <v/>
      </c>
    </row>
    <row r="6517" spans="6:6">
      <c r="F6517" t="str">
        <f t="shared" si="102"/>
        <v/>
      </c>
    </row>
    <row r="6518" spans="6:6">
      <c r="F6518" t="str">
        <f t="shared" si="102"/>
        <v/>
      </c>
    </row>
    <row r="6519" spans="6:6">
      <c r="F6519" t="str">
        <f t="shared" si="102"/>
        <v/>
      </c>
    </row>
    <row r="6520" spans="6:6">
      <c r="F6520" t="str">
        <f t="shared" si="102"/>
        <v/>
      </c>
    </row>
    <row r="6521" spans="6:6">
      <c r="F6521" t="str">
        <f t="shared" si="102"/>
        <v/>
      </c>
    </row>
    <row r="6522" spans="6:6">
      <c r="F6522" t="str">
        <f t="shared" si="102"/>
        <v/>
      </c>
    </row>
    <row r="6523" spans="6:6">
      <c r="F6523" t="str">
        <f t="shared" si="102"/>
        <v/>
      </c>
    </row>
    <row r="6524" spans="6:6">
      <c r="F6524" t="str">
        <f t="shared" si="102"/>
        <v/>
      </c>
    </row>
    <row r="6525" spans="6:6">
      <c r="F6525" t="str">
        <f t="shared" si="102"/>
        <v/>
      </c>
    </row>
    <row r="6526" spans="6:6">
      <c r="F6526" t="str">
        <f t="shared" si="102"/>
        <v/>
      </c>
    </row>
    <row r="6527" spans="6:6">
      <c r="F6527" t="str">
        <f t="shared" si="102"/>
        <v/>
      </c>
    </row>
    <row r="6528" spans="6:6">
      <c r="F6528" t="str">
        <f t="shared" si="102"/>
        <v/>
      </c>
    </row>
    <row r="6529" spans="6:6">
      <c r="F6529" t="str">
        <f t="shared" si="102"/>
        <v/>
      </c>
    </row>
    <row r="6530" spans="6:6">
      <c r="F6530" t="str">
        <f t="shared" si="102"/>
        <v/>
      </c>
    </row>
    <row r="6531" spans="6:6">
      <c r="F6531" t="str">
        <f t="shared" si="102"/>
        <v/>
      </c>
    </row>
    <row r="6532" spans="6:6">
      <c r="F6532" t="str">
        <f t="shared" si="102"/>
        <v/>
      </c>
    </row>
    <row r="6533" spans="6:6">
      <c r="F6533" t="str">
        <f t="shared" si="102"/>
        <v/>
      </c>
    </row>
    <row r="6534" spans="6:6">
      <c r="F6534" t="str">
        <f t="shared" si="102"/>
        <v/>
      </c>
    </row>
    <row r="6535" spans="6:6">
      <c r="F6535" t="str">
        <f t="shared" si="102"/>
        <v/>
      </c>
    </row>
    <row r="6536" spans="6:6">
      <c r="F6536" t="str">
        <f t="shared" si="102"/>
        <v/>
      </c>
    </row>
    <row r="6537" spans="6:6">
      <c r="F6537" t="str">
        <f t="shared" si="102"/>
        <v/>
      </c>
    </row>
    <row r="6538" spans="6:6">
      <c r="F6538" t="str">
        <f t="shared" si="102"/>
        <v/>
      </c>
    </row>
    <row r="6539" spans="6:6">
      <c r="F6539" t="str">
        <f t="shared" si="102"/>
        <v/>
      </c>
    </row>
    <row r="6540" spans="6:6">
      <c r="F6540" t="str">
        <f t="shared" si="102"/>
        <v/>
      </c>
    </row>
    <row r="6541" spans="6:6">
      <c r="F6541" t="str">
        <f t="shared" ref="F6541:F6604" si="103">RIGHT(D6541,2)</f>
        <v/>
      </c>
    </row>
    <row r="6542" spans="6:6">
      <c r="F6542" t="str">
        <f t="shared" si="103"/>
        <v/>
      </c>
    </row>
    <row r="6543" spans="6:6">
      <c r="F6543" t="str">
        <f t="shared" si="103"/>
        <v/>
      </c>
    </row>
    <row r="6544" spans="6:6">
      <c r="F6544" t="str">
        <f t="shared" si="103"/>
        <v/>
      </c>
    </row>
    <row r="6545" spans="6:6">
      <c r="F6545" t="str">
        <f t="shared" si="103"/>
        <v/>
      </c>
    </row>
    <row r="6546" spans="6:6">
      <c r="F6546" t="str">
        <f t="shared" si="103"/>
        <v/>
      </c>
    </row>
    <row r="6547" spans="6:6">
      <c r="F6547" t="str">
        <f t="shared" si="103"/>
        <v/>
      </c>
    </row>
    <row r="6548" spans="6:6">
      <c r="F6548" t="str">
        <f t="shared" si="103"/>
        <v/>
      </c>
    </row>
    <row r="6549" spans="6:6">
      <c r="F6549" t="str">
        <f t="shared" si="103"/>
        <v/>
      </c>
    </row>
    <row r="6550" spans="6:6">
      <c r="F6550" t="str">
        <f t="shared" si="103"/>
        <v/>
      </c>
    </row>
    <row r="6551" spans="6:6">
      <c r="F6551" t="str">
        <f t="shared" si="103"/>
        <v/>
      </c>
    </row>
    <row r="6552" spans="6:6">
      <c r="F6552" t="str">
        <f t="shared" si="103"/>
        <v/>
      </c>
    </row>
    <row r="6553" spans="6:6">
      <c r="F6553" t="str">
        <f t="shared" si="103"/>
        <v/>
      </c>
    </row>
    <row r="6554" spans="6:6">
      <c r="F6554" t="str">
        <f t="shared" si="103"/>
        <v/>
      </c>
    </row>
    <row r="6555" spans="6:6">
      <c r="F6555" t="str">
        <f t="shared" si="103"/>
        <v/>
      </c>
    </row>
    <row r="6556" spans="6:6">
      <c r="F6556" t="str">
        <f t="shared" si="103"/>
        <v/>
      </c>
    </row>
    <row r="6557" spans="6:6">
      <c r="F6557" t="str">
        <f t="shared" si="103"/>
        <v/>
      </c>
    </row>
    <row r="6558" spans="6:6">
      <c r="F6558" t="str">
        <f t="shared" si="103"/>
        <v/>
      </c>
    </row>
    <row r="6559" spans="6:6">
      <c r="F6559" t="str">
        <f t="shared" si="103"/>
        <v/>
      </c>
    </row>
    <row r="6560" spans="6:6">
      <c r="F6560" t="str">
        <f t="shared" si="103"/>
        <v/>
      </c>
    </row>
    <row r="6561" spans="6:6">
      <c r="F6561" t="str">
        <f t="shared" si="103"/>
        <v/>
      </c>
    </row>
    <row r="6562" spans="6:6">
      <c r="F6562" t="str">
        <f t="shared" si="103"/>
        <v/>
      </c>
    </row>
    <row r="6563" spans="6:6">
      <c r="F6563" t="str">
        <f t="shared" si="103"/>
        <v/>
      </c>
    </row>
    <row r="6564" spans="6:6">
      <c r="F6564" t="str">
        <f t="shared" si="103"/>
        <v/>
      </c>
    </row>
    <row r="6565" spans="6:6">
      <c r="F6565" t="str">
        <f t="shared" si="103"/>
        <v/>
      </c>
    </row>
    <row r="6566" spans="6:6">
      <c r="F6566" t="str">
        <f t="shared" si="103"/>
        <v/>
      </c>
    </row>
    <row r="6567" spans="6:6">
      <c r="F6567" t="str">
        <f t="shared" si="103"/>
        <v/>
      </c>
    </row>
    <row r="6568" spans="6:6">
      <c r="F6568" t="str">
        <f t="shared" si="103"/>
        <v/>
      </c>
    </row>
    <row r="6569" spans="6:6">
      <c r="F6569" t="str">
        <f t="shared" si="103"/>
        <v/>
      </c>
    </row>
    <row r="6570" spans="6:6">
      <c r="F6570" t="str">
        <f t="shared" si="103"/>
        <v/>
      </c>
    </row>
    <row r="6571" spans="6:6">
      <c r="F6571" t="str">
        <f t="shared" si="103"/>
        <v/>
      </c>
    </row>
    <row r="6572" spans="6:6">
      <c r="F6572" t="str">
        <f t="shared" si="103"/>
        <v/>
      </c>
    </row>
    <row r="6573" spans="6:6">
      <c r="F6573" t="str">
        <f t="shared" si="103"/>
        <v/>
      </c>
    </row>
    <row r="6574" spans="6:6">
      <c r="F6574" t="str">
        <f t="shared" si="103"/>
        <v/>
      </c>
    </row>
    <row r="6575" spans="6:6">
      <c r="F6575" t="str">
        <f t="shared" si="103"/>
        <v/>
      </c>
    </row>
    <row r="6576" spans="6:6">
      <c r="F6576" t="str">
        <f t="shared" si="103"/>
        <v/>
      </c>
    </row>
    <row r="6577" spans="6:6">
      <c r="F6577" t="str">
        <f t="shared" si="103"/>
        <v/>
      </c>
    </row>
    <row r="6578" spans="6:6">
      <c r="F6578" t="str">
        <f t="shared" si="103"/>
        <v/>
      </c>
    </row>
    <row r="6579" spans="6:6">
      <c r="F6579" t="str">
        <f t="shared" si="103"/>
        <v/>
      </c>
    </row>
    <row r="6580" spans="6:6">
      <c r="F6580" t="str">
        <f t="shared" si="103"/>
        <v/>
      </c>
    </row>
    <row r="6581" spans="6:6">
      <c r="F6581" t="str">
        <f t="shared" si="103"/>
        <v/>
      </c>
    </row>
    <row r="6582" spans="6:6">
      <c r="F6582" t="str">
        <f t="shared" si="103"/>
        <v/>
      </c>
    </row>
    <row r="6583" spans="6:6">
      <c r="F6583" t="str">
        <f t="shared" si="103"/>
        <v/>
      </c>
    </row>
    <row r="6584" spans="6:6">
      <c r="F6584" t="str">
        <f t="shared" si="103"/>
        <v/>
      </c>
    </row>
    <row r="6585" spans="6:6">
      <c r="F6585" t="str">
        <f t="shared" si="103"/>
        <v/>
      </c>
    </row>
    <row r="6586" spans="6:6">
      <c r="F6586" t="str">
        <f t="shared" si="103"/>
        <v/>
      </c>
    </row>
    <row r="6587" spans="6:6">
      <c r="F6587" t="str">
        <f t="shared" si="103"/>
        <v/>
      </c>
    </row>
    <row r="6588" spans="6:6">
      <c r="F6588" t="str">
        <f t="shared" si="103"/>
        <v/>
      </c>
    </row>
    <row r="6589" spans="6:6">
      <c r="F6589" t="str">
        <f t="shared" si="103"/>
        <v/>
      </c>
    </row>
    <row r="6590" spans="6:6">
      <c r="F6590" t="str">
        <f t="shared" si="103"/>
        <v/>
      </c>
    </row>
    <row r="6591" spans="6:6">
      <c r="F6591" t="str">
        <f t="shared" si="103"/>
        <v/>
      </c>
    </row>
    <row r="6592" spans="6:6">
      <c r="F6592" t="str">
        <f t="shared" si="103"/>
        <v/>
      </c>
    </row>
    <row r="6593" spans="6:6">
      <c r="F6593" t="str">
        <f t="shared" si="103"/>
        <v/>
      </c>
    </row>
    <row r="6594" spans="6:6">
      <c r="F6594" t="str">
        <f t="shared" si="103"/>
        <v/>
      </c>
    </row>
    <row r="6595" spans="6:6">
      <c r="F6595" t="str">
        <f t="shared" si="103"/>
        <v/>
      </c>
    </row>
    <row r="6596" spans="6:6">
      <c r="F6596" t="str">
        <f t="shared" si="103"/>
        <v/>
      </c>
    </row>
    <row r="6597" spans="6:6">
      <c r="F6597" t="str">
        <f t="shared" si="103"/>
        <v/>
      </c>
    </row>
    <row r="6598" spans="6:6">
      <c r="F6598" t="str">
        <f t="shared" si="103"/>
        <v/>
      </c>
    </row>
    <row r="6599" spans="6:6">
      <c r="F6599" t="str">
        <f t="shared" si="103"/>
        <v/>
      </c>
    </row>
    <row r="6600" spans="6:6">
      <c r="F6600" t="str">
        <f t="shared" si="103"/>
        <v/>
      </c>
    </row>
    <row r="6601" spans="6:6">
      <c r="F6601" t="str">
        <f t="shared" si="103"/>
        <v/>
      </c>
    </row>
    <row r="6602" spans="6:6">
      <c r="F6602" t="str">
        <f t="shared" si="103"/>
        <v/>
      </c>
    </row>
    <row r="6603" spans="6:6">
      <c r="F6603" t="str">
        <f t="shared" si="103"/>
        <v/>
      </c>
    </row>
    <row r="6604" spans="6:6">
      <c r="F6604" t="str">
        <f t="shared" si="103"/>
        <v/>
      </c>
    </row>
    <row r="6605" spans="6:6">
      <c r="F6605" t="str">
        <f t="shared" ref="F6605:F6668" si="104">RIGHT(D6605,2)</f>
        <v/>
      </c>
    </row>
    <row r="6606" spans="6:6">
      <c r="F6606" t="str">
        <f t="shared" si="104"/>
        <v/>
      </c>
    </row>
    <row r="6607" spans="6:6">
      <c r="F6607" t="str">
        <f t="shared" si="104"/>
        <v/>
      </c>
    </row>
    <row r="6608" spans="6:6">
      <c r="F6608" t="str">
        <f t="shared" si="104"/>
        <v/>
      </c>
    </row>
    <row r="6609" spans="6:6">
      <c r="F6609" t="str">
        <f t="shared" si="104"/>
        <v/>
      </c>
    </row>
    <row r="6610" spans="6:6">
      <c r="F6610" t="str">
        <f t="shared" si="104"/>
        <v/>
      </c>
    </row>
    <row r="6611" spans="6:6">
      <c r="F6611" t="str">
        <f t="shared" si="104"/>
        <v/>
      </c>
    </row>
    <row r="6612" spans="6:6">
      <c r="F6612" t="str">
        <f t="shared" si="104"/>
        <v/>
      </c>
    </row>
    <row r="6613" spans="6:6">
      <c r="F6613" t="str">
        <f t="shared" si="104"/>
        <v/>
      </c>
    </row>
    <row r="6614" spans="6:6">
      <c r="F6614" t="str">
        <f t="shared" si="104"/>
        <v/>
      </c>
    </row>
    <row r="6615" spans="6:6">
      <c r="F6615" t="str">
        <f t="shared" si="104"/>
        <v/>
      </c>
    </row>
    <row r="6616" spans="6:6">
      <c r="F6616" t="str">
        <f t="shared" si="104"/>
        <v/>
      </c>
    </row>
    <row r="6617" spans="6:6">
      <c r="F6617" t="str">
        <f t="shared" si="104"/>
        <v/>
      </c>
    </row>
    <row r="6618" spans="6:6">
      <c r="F6618" t="str">
        <f t="shared" si="104"/>
        <v/>
      </c>
    </row>
    <row r="6619" spans="6:6">
      <c r="F6619" t="str">
        <f t="shared" si="104"/>
        <v/>
      </c>
    </row>
    <row r="6620" spans="6:6">
      <c r="F6620" t="str">
        <f t="shared" si="104"/>
        <v/>
      </c>
    </row>
    <row r="6621" spans="6:6">
      <c r="F6621" t="str">
        <f t="shared" si="104"/>
        <v/>
      </c>
    </row>
    <row r="6622" spans="6:6">
      <c r="F6622" t="str">
        <f t="shared" si="104"/>
        <v/>
      </c>
    </row>
    <row r="6623" spans="6:6">
      <c r="F6623" t="str">
        <f t="shared" si="104"/>
        <v/>
      </c>
    </row>
    <row r="6624" spans="6:6">
      <c r="F6624" t="str">
        <f t="shared" si="104"/>
        <v/>
      </c>
    </row>
    <row r="6625" spans="6:6">
      <c r="F6625" t="str">
        <f t="shared" si="104"/>
        <v/>
      </c>
    </row>
    <row r="6626" spans="6:6">
      <c r="F6626" t="str">
        <f t="shared" si="104"/>
        <v/>
      </c>
    </row>
    <row r="6627" spans="6:6">
      <c r="F6627" t="str">
        <f t="shared" si="104"/>
        <v/>
      </c>
    </row>
    <row r="6628" spans="6:6">
      <c r="F6628" t="str">
        <f t="shared" si="104"/>
        <v/>
      </c>
    </row>
    <row r="6629" spans="6:6">
      <c r="F6629" t="str">
        <f t="shared" si="104"/>
        <v/>
      </c>
    </row>
    <row r="6630" spans="6:6">
      <c r="F6630" t="str">
        <f t="shared" si="104"/>
        <v/>
      </c>
    </row>
    <row r="6631" spans="6:6">
      <c r="F6631" t="str">
        <f t="shared" si="104"/>
        <v/>
      </c>
    </row>
    <row r="6632" spans="6:6">
      <c r="F6632" t="str">
        <f t="shared" si="104"/>
        <v/>
      </c>
    </row>
    <row r="6633" spans="6:6">
      <c r="F6633" t="str">
        <f t="shared" si="104"/>
        <v/>
      </c>
    </row>
    <row r="6634" spans="6:6">
      <c r="F6634" t="str">
        <f t="shared" si="104"/>
        <v/>
      </c>
    </row>
    <row r="6635" spans="6:6">
      <c r="F6635" t="str">
        <f t="shared" si="104"/>
        <v/>
      </c>
    </row>
    <row r="6636" spans="6:6">
      <c r="F6636" t="str">
        <f t="shared" si="104"/>
        <v/>
      </c>
    </row>
    <row r="6637" spans="6:6">
      <c r="F6637" t="str">
        <f t="shared" si="104"/>
        <v/>
      </c>
    </row>
    <row r="6638" spans="6:6">
      <c r="F6638" t="str">
        <f t="shared" si="104"/>
        <v/>
      </c>
    </row>
    <row r="6639" spans="6:6">
      <c r="F6639" t="str">
        <f t="shared" si="104"/>
        <v/>
      </c>
    </row>
    <row r="6640" spans="6:6">
      <c r="F6640" t="str">
        <f t="shared" si="104"/>
        <v/>
      </c>
    </row>
    <row r="6641" spans="6:6">
      <c r="F6641" t="str">
        <f t="shared" si="104"/>
        <v/>
      </c>
    </row>
    <row r="6642" spans="6:6">
      <c r="F6642" t="str">
        <f t="shared" si="104"/>
        <v/>
      </c>
    </row>
    <row r="6643" spans="6:6">
      <c r="F6643" t="str">
        <f t="shared" si="104"/>
        <v/>
      </c>
    </row>
    <row r="6644" spans="6:6">
      <c r="F6644" t="str">
        <f t="shared" si="104"/>
        <v/>
      </c>
    </row>
    <row r="6645" spans="6:6">
      <c r="F6645" t="str">
        <f t="shared" si="104"/>
        <v/>
      </c>
    </row>
    <row r="6646" spans="6:6">
      <c r="F6646" t="str">
        <f t="shared" si="104"/>
        <v/>
      </c>
    </row>
    <row r="6647" spans="6:6">
      <c r="F6647" t="str">
        <f t="shared" si="104"/>
        <v/>
      </c>
    </row>
    <row r="6648" spans="6:6">
      <c r="F6648" t="str">
        <f t="shared" si="104"/>
        <v/>
      </c>
    </row>
    <row r="6649" spans="6:6">
      <c r="F6649" t="str">
        <f t="shared" si="104"/>
        <v/>
      </c>
    </row>
    <row r="6650" spans="6:6">
      <c r="F6650" t="str">
        <f t="shared" si="104"/>
        <v/>
      </c>
    </row>
    <row r="6651" spans="6:6">
      <c r="F6651" t="str">
        <f t="shared" si="104"/>
        <v/>
      </c>
    </row>
    <row r="6652" spans="6:6">
      <c r="F6652" t="str">
        <f t="shared" si="104"/>
        <v/>
      </c>
    </row>
    <row r="6653" spans="6:6">
      <c r="F6653" t="str">
        <f t="shared" si="104"/>
        <v/>
      </c>
    </row>
    <row r="6654" spans="6:6">
      <c r="F6654" t="str">
        <f t="shared" si="104"/>
        <v/>
      </c>
    </row>
    <row r="6655" spans="6:6">
      <c r="F6655" t="str">
        <f t="shared" si="104"/>
        <v/>
      </c>
    </row>
    <row r="6656" spans="6:6">
      <c r="F6656" t="str">
        <f t="shared" si="104"/>
        <v/>
      </c>
    </row>
    <row r="6657" spans="6:6">
      <c r="F6657" t="str">
        <f t="shared" si="104"/>
        <v/>
      </c>
    </row>
    <row r="6658" spans="6:6">
      <c r="F6658" t="str">
        <f t="shared" si="104"/>
        <v/>
      </c>
    </row>
    <row r="6659" spans="6:6">
      <c r="F6659" t="str">
        <f t="shared" si="104"/>
        <v/>
      </c>
    </row>
    <row r="6660" spans="6:6">
      <c r="F6660" t="str">
        <f t="shared" si="104"/>
        <v/>
      </c>
    </row>
    <row r="6661" spans="6:6">
      <c r="F6661" t="str">
        <f t="shared" si="104"/>
        <v/>
      </c>
    </row>
    <row r="6662" spans="6:6">
      <c r="F6662" t="str">
        <f t="shared" si="104"/>
        <v/>
      </c>
    </row>
    <row r="6663" spans="6:6">
      <c r="F6663" t="str">
        <f t="shared" si="104"/>
        <v/>
      </c>
    </row>
    <row r="6664" spans="6:6">
      <c r="F6664" t="str">
        <f t="shared" si="104"/>
        <v/>
      </c>
    </row>
    <row r="6665" spans="6:6">
      <c r="F6665" t="str">
        <f t="shared" si="104"/>
        <v/>
      </c>
    </row>
    <row r="6666" spans="6:6">
      <c r="F6666" t="str">
        <f t="shared" si="104"/>
        <v/>
      </c>
    </row>
    <row r="6667" spans="6:6">
      <c r="F6667" t="str">
        <f t="shared" si="104"/>
        <v/>
      </c>
    </row>
    <row r="6668" spans="6:6">
      <c r="F6668" t="str">
        <f t="shared" si="104"/>
        <v/>
      </c>
    </row>
    <row r="6669" spans="6:6">
      <c r="F6669" t="str">
        <f t="shared" ref="F6669:F6732" si="105">RIGHT(D6669,2)</f>
        <v/>
      </c>
    </row>
    <row r="6670" spans="6:6">
      <c r="F6670" t="str">
        <f t="shared" si="105"/>
        <v/>
      </c>
    </row>
    <row r="6671" spans="6:6">
      <c r="F6671" t="str">
        <f t="shared" si="105"/>
        <v/>
      </c>
    </row>
    <row r="6672" spans="6:6">
      <c r="F6672" t="str">
        <f t="shared" si="105"/>
        <v/>
      </c>
    </row>
    <row r="6673" spans="6:6">
      <c r="F6673" t="str">
        <f t="shared" si="105"/>
        <v/>
      </c>
    </row>
    <row r="6674" spans="6:6">
      <c r="F6674" t="str">
        <f t="shared" si="105"/>
        <v/>
      </c>
    </row>
    <row r="6675" spans="6:6">
      <c r="F6675" t="str">
        <f t="shared" si="105"/>
        <v/>
      </c>
    </row>
    <row r="6676" spans="6:6">
      <c r="F6676" t="str">
        <f t="shared" si="105"/>
        <v/>
      </c>
    </row>
    <row r="6677" spans="6:6">
      <c r="F6677" t="str">
        <f t="shared" si="105"/>
        <v/>
      </c>
    </row>
    <row r="6678" spans="6:6">
      <c r="F6678" t="str">
        <f t="shared" si="105"/>
        <v/>
      </c>
    </row>
    <row r="6679" spans="6:6">
      <c r="F6679" t="str">
        <f t="shared" si="105"/>
        <v/>
      </c>
    </row>
    <row r="6680" spans="6:6">
      <c r="F6680" t="str">
        <f t="shared" si="105"/>
        <v/>
      </c>
    </row>
    <row r="6681" spans="6:6">
      <c r="F6681" t="str">
        <f t="shared" si="105"/>
        <v/>
      </c>
    </row>
    <row r="6682" spans="6:6">
      <c r="F6682" t="str">
        <f t="shared" si="105"/>
        <v/>
      </c>
    </row>
    <row r="6683" spans="6:6">
      <c r="F6683" t="str">
        <f t="shared" si="105"/>
        <v/>
      </c>
    </row>
    <row r="6684" spans="6:6">
      <c r="F6684" t="str">
        <f t="shared" si="105"/>
        <v/>
      </c>
    </row>
    <row r="6685" spans="6:6">
      <c r="F6685" t="str">
        <f t="shared" si="105"/>
        <v/>
      </c>
    </row>
    <row r="6686" spans="6:6">
      <c r="F6686" t="str">
        <f t="shared" si="105"/>
        <v/>
      </c>
    </row>
    <row r="6687" spans="6:6">
      <c r="F6687" t="str">
        <f t="shared" si="105"/>
        <v/>
      </c>
    </row>
    <row r="6688" spans="6:6">
      <c r="F6688" t="str">
        <f t="shared" si="105"/>
        <v/>
      </c>
    </row>
    <row r="6689" spans="6:6">
      <c r="F6689" t="str">
        <f t="shared" si="105"/>
        <v/>
      </c>
    </row>
    <row r="6690" spans="6:6">
      <c r="F6690" t="str">
        <f t="shared" si="105"/>
        <v/>
      </c>
    </row>
    <row r="6691" spans="6:6">
      <c r="F6691" t="str">
        <f t="shared" si="105"/>
        <v/>
      </c>
    </row>
    <row r="6692" spans="6:6">
      <c r="F6692" t="str">
        <f t="shared" si="105"/>
        <v/>
      </c>
    </row>
    <row r="6693" spans="6:6">
      <c r="F6693" t="str">
        <f t="shared" si="105"/>
        <v/>
      </c>
    </row>
    <row r="6694" spans="6:6">
      <c r="F6694" t="str">
        <f t="shared" si="105"/>
        <v/>
      </c>
    </row>
    <row r="6695" spans="6:6">
      <c r="F6695" t="str">
        <f t="shared" si="105"/>
        <v/>
      </c>
    </row>
    <row r="6696" spans="6:6">
      <c r="F6696" t="str">
        <f t="shared" si="105"/>
        <v/>
      </c>
    </row>
    <row r="6697" spans="6:6">
      <c r="F6697" t="str">
        <f t="shared" si="105"/>
        <v/>
      </c>
    </row>
    <row r="6698" spans="6:6">
      <c r="F6698" t="str">
        <f t="shared" si="105"/>
        <v/>
      </c>
    </row>
    <row r="6699" spans="6:6">
      <c r="F6699" t="str">
        <f t="shared" si="105"/>
        <v/>
      </c>
    </row>
    <row r="6700" spans="6:6">
      <c r="F6700" t="str">
        <f t="shared" si="105"/>
        <v/>
      </c>
    </row>
    <row r="6701" spans="6:6">
      <c r="F6701" t="str">
        <f t="shared" si="105"/>
        <v/>
      </c>
    </row>
    <row r="6702" spans="6:6">
      <c r="F6702" t="str">
        <f t="shared" si="105"/>
        <v/>
      </c>
    </row>
    <row r="6703" spans="6:6">
      <c r="F6703" t="str">
        <f t="shared" si="105"/>
        <v/>
      </c>
    </row>
    <row r="6704" spans="6:6">
      <c r="F6704" t="str">
        <f t="shared" si="105"/>
        <v/>
      </c>
    </row>
    <row r="6705" spans="6:6">
      <c r="F6705" t="str">
        <f t="shared" si="105"/>
        <v/>
      </c>
    </row>
    <row r="6706" spans="6:6">
      <c r="F6706" t="str">
        <f t="shared" si="105"/>
        <v/>
      </c>
    </row>
    <row r="6707" spans="6:6">
      <c r="F6707" t="str">
        <f t="shared" si="105"/>
        <v/>
      </c>
    </row>
    <row r="6708" spans="6:6">
      <c r="F6708" t="str">
        <f t="shared" si="105"/>
        <v/>
      </c>
    </row>
    <row r="6709" spans="6:6">
      <c r="F6709" t="str">
        <f t="shared" si="105"/>
        <v/>
      </c>
    </row>
    <row r="6710" spans="6:6">
      <c r="F6710" t="str">
        <f t="shared" si="105"/>
        <v/>
      </c>
    </row>
    <row r="6711" spans="6:6">
      <c r="F6711" t="str">
        <f t="shared" si="105"/>
        <v/>
      </c>
    </row>
    <row r="6712" spans="6:6">
      <c r="F6712" t="str">
        <f t="shared" si="105"/>
        <v/>
      </c>
    </row>
    <row r="6713" spans="6:6">
      <c r="F6713" t="str">
        <f t="shared" si="105"/>
        <v/>
      </c>
    </row>
    <row r="6714" spans="6:6">
      <c r="F6714" t="str">
        <f t="shared" si="105"/>
        <v/>
      </c>
    </row>
    <row r="6715" spans="6:6">
      <c r="F6715" t="str">
        <f t="shared" si="105"/>
        <v/>
      </c>
    </row>
    <row r="6716" spans="6:6">
      <c r="F6716" t="str">
        <f t="shared" si="105"/>
        <v/>
      </c>
    </row>
    <row r="6717" spans="6:6">
      <c r="F6717" t="str">
        <f t="shared" si="105"/>
        <v/>
      </c>
    </row>
    <row r="6718" spans="6:6">
      <c r="F6718" t="str">
        <f t="shared" si="105"/>
        <v/>
      </c>
    </row>
    <row r="6719" spans="6:6">
      <c r="F6719" t="str">
        <f t="shared" si="105"/>
        <v/>
      </c>
    </row>
    <row r="6720" spans="6:6">
      <c r="F6720" t="str">
        <f t="shared" si="105"/>
        <v/>
      </c>
    </row>
    <row r="6721" spans="6:6">
      <c r="F6721" t="str">
        <f t="shared" si="105"/>
        <v/>
      </c>
    </row>
    <row r="6722" spans="6:6">
      <c r="F6722" t="str">
        <f t="shared" si="105"/>
        <v/>
      </c>
    </row>
    <row r="6723" spans="6:6">
      <c r="F6723" t="str">
        <f t="shared" si="105"/>
        <v/>
      </c>
    </row>
    <row r="6724" spans="6:6">
      <c r="F6724" t="str">
        <f t="shared" si="105"/>
        <v/>
      </c>
    </row>
    <row r="6725" spans="6:6">
      <c r="F6725" t="str">
        <f t="shared" si="105"/>
        <v/>
      </c>
    </row>
    <row r="6726" spans="6:6">
      <c r="F6726" t="str">
        <f t="shared" si="105"/>
        <v/>
      </c>
    </row>
    <row r="6727" spans="6:6">
      <c r="F6727" t="str">
        <f t="shared" si="105"/>
        <v/>
      </c>
    </row>
    <row r="6728" spans="6:6">
      <c r="F6728" t="str">
        <f t="shared" si="105"/>
        <v/>
      </c>
    </row>
    <row r="6729" spans="6:6">
      <c r="F6729" t="str">
        <f t="shared" si="105"/>
        <v/>
      </c>
    </row>
    <row r="6730" spans="6:6">
      <c r="F6730" t="str">
        <f t="shared" si="105"/>
        <v/>
      </c>
    </row>
    <row r="6731" spans="6:6">
      <c r="F6731" t="str">
        <f t="shared" si="105"/>
        <v/>
      </c>
    </row>
    <row r="6732" spans="6:6">
      <c r="F6732" t="str">
        <f t="shared" si="105"/>
        <v/>
      </c>
    </row>
    <row r="6733" spans="6:6">
      <c r="F6733" t="str">
        <f t="shared" ref="F6733:F6796" si="106">RIGHT(D6733,2)</f>
        <v/>
      </c>
    </row>
    <row r="6734" spans="6:6">
      <c r="F6734" t="str">
        <f t="shared" si="106"/>
        <v/>
      </c>
    </row>
    <row r="6735" spans="6:6">
      <c r="F6735" t="str">
        <f t="shared" si="106"/>
        <v/>
      </c>
    </row>
    <row r="6736" spans="6:6">
      <c r="F6736" t="str">
        <f t="shared" si="106"/>
        <v/>
      </c>
    </row>
    <row r="6737" spans="6:6">
      <c r="F6737" t="str">
        <f t="shared" si="106"/>
        <v/>
      </c>
    </row>
    <row r="6738" spans="6:6">
      <c r="F6738" t="str">
        <f t="shared" si="106"/>
        <v/>
      </c>
    </row>
    <row r="6739" spans="6:6">
      <c r="F6739" t="str">
        <f t="shared" si="106"/>
        <v/>
      </c>
    </row>
    <row r="6740" spans="6:6">
      <c r="F6740" t="str">
        <f t="shared" si="106"/>
        <v/>
      </c>
    </row>
    <row r="6741" spans="6:6">
      <c r="F6741" t="str">
        <f t="shared" si="106"/>
        <v/>
      </c>
    </row>
    <row r="6742" spans="6:6">
      <c r="F6742" t="str">
        <f t="shared" si="106"/>
        <v/>
      </c>
    </row>
    <row r="6743" spans="6:6">
      <c r="F6743" t="str">
        <f t="shared" si="106"/>
        <v/>
      </c>
    </row>
    <row r="6744" spans="6:6">
      <c r="F6744" t="str">
        <f t="shared" si="106"/>
        <v/>
      </c>
    </row>
    <row r="6745" spans="6:6">
      <c r="F6745" t="str">
        <f t="shared" si="106"/>
        <v/>
      </c>
    </row>
    <row r="6746" spans="6:6">
      <c r="F6746" t="str">
        <f t="shared" si="106"/>
        <v/>
      </c>
    </row>
    <row r="6747" spans="6:6">
      <c r="F6747" t="str">
        <f t="shared" si="106"/>
        <v/>
      </c>
    </row>
    <row r="6748" spans="6:6">
      <c r="F6748" t="str">
        <f t="shared" si="106"/>
        <v/>
      </c>
    </row>
    <row r="6749" spans="6:6">
      <c r="F6749" t="str">
        <f t="shared" si="106"/>
        <v/>
      </c>
    </row>
    <row r="6750" spans="6:6">
      <c r="F6750" t="str">
        <f t="shared" si="106"/>
        <v/>
      </c>
    </row>
    <row r="6751" spans="6:6">
      <c r="F6751" t="str">
        <f t="shared" si="106"/>
        <v/>
      </c>
    </row>
    <row r="6752" spans="6:6">
      <c r="F6752" t="str">
        <f t="shared" si="106"/>
        <v/>
      </c>
    </row>
    <row r="6753" spans="6:6">
      <c r="F6753" t="str">
        <f t="shared" si="106"/>
        <v/>
      </c>
    </row>
    <row r="6754" spans="6:6">
      <c r="F6754" t="str">
        <f t="shared" si="106"/>
        <v/>
      </c>
    </row>
    <row r="6755" spans="6:6">
      <c r="F6755" t="str">
        <f t="shared" si="106"/>
        <v/>
      </c>
    </row>
    <row r="6756" spans="6:6">
      <c r="F6756" t="str">
        <f t="shared" si="106"/>
        <v/>
      </c>
    </row>
    <row r="6757" spans="6:6">
      <c r="F6757" t="str">
        <f t="shared" si="106"/>
        <v/>
      </c>
    </row>
    <row r="6758" spans="6:6">
      <c r="F6758" t="str">
        <f t="shared" si="106"/>
        <v/>
      </c>
    </row>
    <row r="6759" spans="6:6">
      <c r="F6759" t="str">
        <f t="shared" si="106"/>
        <v/>
      </c>
    </row>
    <row r="6760" spans="6:6">
      <c r="F6760" t="str">
        <f t="shared" si="106"/>
        <v/>
      </c>
    </row>
    <row r="6761" spans="6:6">
      <c r="F6761" t="str">
        <f t="shared" si="106"/>
        <v/>
      </c>
    </row>
    <row r="6762" spans="6:6">
      <c r="F6762" t="str">
        <f t="shared" si="106"/>
        <v/>
      </c>
    </row>
    <row r="6763" spans="6:6">
      <c r="F6763" t="str">
        <f t="shared" si="106"/>
        <v/>
      </c>
    </row>
    <row r="6764" spans="6:6">
      <c r="F6764" t="str">
        <f t="shared" si="106"/>
        <v/>
      </c>
    </row>
    <row r="6765" spans="6:6">
      <c r="F6765" t="str">
        <f t="shared" si="106"/>
        <v/>
      </c>
    </row>
    <row r="6766" spans="6:6">
      <c r="F6766" t="str">
        <f t="shared" si="106"/>
        <v/>
      </c>
    </row>
    <row r="6767" spans="6:6">
      <c r="F6767" t="str">
        <f t="shared" si="106"/>
        <v/>
      </c>
    </row>
    <row r="6768" spans="6:6">
      <c r="F6768" t="str">
        <f t="shared" si="106"/>
        <v/>
      </c>
    </row>
    <row r="6769" spans="6:6">
      <c r="F6769" t="str">
        <f t="shared" si="106"/>
        <v/>
      </c>
    </row>
    <row r="6770" spans="6:6">
      <c r="F6770" t="str">
        <f t="shared" si="106"/>
        <v/>
      </c>
    </row>
    <row r="6771" spans="6:6">
      <c r="F6771" t="str">
        <f t="shared" si="106"/>
        <v/>
      </c>
    </row>
    <row r="6772" spans="6:6">
      <c r="F6772" t="str">
        <f t="shared" si="106"/>
        <v/>
      </c>
    </row>
    <row r="6773" spans="6:6">
      <c r="F6773" t="str">
        <f t="shared" si="106"/>
        <v/>
      </c>
    </row>
    <row r="6774" spans="6:6">
      <c r="F6774" t="str">
        <f t="shared" si="106"/>
        <v/>
      </c>
    </row>
    <row r="6775" spans="6:6">
      <c r="F6775" t="str">
        <f t="shared" si="106"/>
        <v/>
      </c>
    </row>
    <row r="6776" spans="6:6">
      <c r="F6776" t="str">
        <f t="shared" si="106"/>
        <v/>
      </c>
    </row>
    <row r="6777" spans="6:6">
      <c r="F6777" t="str">
        <f t="shared" si="106"/>
        <v/>
      </c>
    </row>
    <row r="6778" spans="6:6">
      <c r="F6778" t="str">
        <f t="shared" si="106"/>
        <v/>
      </c>
    </row>
    <row r="6779" spans="6:6">
      <c r="F6779" t="str">
        <f t="shared" si="106"/>
        <v/>
      </c>
    </row>
    <row r="6780" spans="6:6">
      <c r="F6780" t="str">
        <f t="shared" si="106"/>
        <v/>
      </c>
    </row>
    <row r="6781" spans="6:6">
      <c r="F6781" t="str">
        <f t="shared" si="106"/>
        <v/>
      </c>
    </row>
    <row r="6782" spans="6:6">
      <c r="F6782" t="str">
        <f t="shared" si="106"/>
        <v/>
      </c>
    </row>
    <row r="6783" spans="6:6">
      <c r="F6783" t="str">
        <f t="shared" si="106"/>
        <v/>
      </c>
    </row>
    <row r="6784" spans="6:6">
      <c r="F6784" t="str">
        <f t="shared" si="106"/>
        <v/>
      </c>
    </row>
    <row r="6785" spans="6:6">
      <c r="F6785" t="str">
        <f t="shared" si="106"/>
        <v/>
      </c>
    </row>
    <row r="6786" spans="6:6">
      <c r="F6786" t="str">
        <f t="shared" si="106"/>
        <v/>
      </c>
    </row>
    <row r="6787" spans="6:6">
      <c r="F6787" t="str">
        <f t="shared" si="106"/>
        <v/>
      </c>
    </row>
    <row r="6788" spans="6:6">
      <c r="F6788" t="str">
        <f t="shared" si="106"/>
        <v/>
      </c>
    </row>
    <row r="6789" spans="6:6">
      <c r="F6789" t="str">
        <f t="shared" si="106"/>
        <v/>
      </c>
    </row>
    <row r="6790" spans="6:6">
      <c r="F6790" t="str">
        <f t="shared" si="106"/>
        <v/>
      </c>
    </row>
    <row r="6791" spans="6:6">
      <c r="F6791" t="str">
        <f t="shared" si="106"/>
        <v/>
      </c>
    </row>
    <row r="6792" spans="6:6">
      <c r="F6792" t="str">
        <f t="shared" si="106"/>
        <v/>
      </c>
    </row>
    <row r="6793" spans="6:6">
      <c r="F6793" t="str">
        <f t="shared" si="106"/>
        <v/>
      </c>
    </row>
    <row r="6794" spans="6:6">
      <c r="F6794" t="str">
        <f t="shared" si="106"/>
        <v/>
      </c>
    </row>
    <row r="6795" spans="6:6">
      <c r="F6795" t="str">
        <f t="shared" si="106"/>
        <v/>
      </c>
    </row>
    <row r="6796" spans="6:6">
      <c r="F6796" t="str">
        <f t="shared" si="106"/>
        <v/>
      </c>
    </row>
    <row r="6797" spans="6:6">
      <c r="F6797" t="str">
        <f t="shared" ref="F6797:F6860" si="107">RIGHT(D6797,2)</f>
        <v/>
      </c>
    </row>
    <row r="6798" spans="6:6">
      <c r="F6798" t="str">
        <f t="shared" si="107"/>
        <v/>
      </c>
    </row>
    <row r="6799" spans="6:6">
      <c r="F6799" t="str">
        <f t="shared" si="107"/>
        <v/>
      </c>
    </row>
    <row r="6800" spans="6:6">
      <c r="F6800" t="str">
        <f t="shared" si="107"/>
        <v/>
      </c>
    </row>
    <row r="6801" spans="6:6">
      <c r="F6801" t="str">
        <f t="shared" si="107"/>
        <v/>
      </c>
    </row>
    <row r="6802" spans="6:6">
      <c r="F6802" t="str">
        <f t="shared" si="107"/>
        <v/>
      </c>
    </row>
    <row r="6803" spans="6:6">
      <c r="F6803" t="str">
        <f t="shared" si="107"/>
        <v/>
      </c>
    </row>
    <row r="6804" spans="6:6">
      <c r="F6804" t="str">
        <f t="shared" si="107"/>
        <v/>
      </c>
    </row>
    <row r="6805" spans="6:6">
      <c r="F6805" t="str">
        <f t="shared" si="107"/>
        <v/>
      </c>
    </row>
    <row r="6806" spans="6:6">
      <c r="F6806" t="str">
        <f t="shared" si="107"/>
        <v/>
      </c>
    </row>
    <row r="6807" spans="6:6">
      <c r="F6807" t="str">
        <f t="shared" si="107"/>
        <v/>
      </c>
    </row>
    <row r="6808" spans="6:6">
      <c r="F6808" t="str">
        <f t="shared" si="107"/>
        <v/>
      </c>
    </row>
    <row r="6809" spans="6:6">
      <c r="F6809" t="str">
        <f t="shared" si="107"/>
        <v/>
      </c>
    </row>
    <row r="6810" spans="6:6">
      <c r="F6810" t="str">
        <f t="shared" si="107"/>
        <v/>
      </c>
    </row>
    <row r="6811" spans="6:6">
      <c r="F6811" t="str">
        <f t="shared" si="107"/>
        <v/>
      </c>
    </row>
    <row r="6812" spans="6:6">
      <c r="F6812" t="str">
        <f t="shared" si="107"/>
        <v/>
      </c>
    </row>
    <row r="6813" spans="6:6">
      <c r="F6813" t="str">
        <f t="shared" si="107"/>
        <v/>
      </c>
    </row>
    <row r="6814" spans="6:6">
      <c r="F6814" t="str">
        <f t="shared" si="107"/>
        <v/>
      </c>
    </row>
    <row r="6815" spans="6:6">
      <c r="F6815" t="str">
        <f t="shared" si="107"/>
        <v/>
      </c>
    </row>
    <row r="6816" spans="6:6">
      <c r="F6816" t="str">
        <f t="shared" si="107"/>
        <v/>
      </c>
    </row>
    <row r="6817" spans="6:6">
      <c r="F6817" t="str">
        <f t="shared" si="107"/>
        <v/>
      </c>
    </row>
    <row r="6818" spans="6:6">
      <c r="F6818" t="str">
        <f t="shared" si="107"/>
        <v/>
      </c>
    </row>
    <row r="6819" spans="6:6">
      <c r="F6819" t="str">
        <f t="shared" si="107"/>
        <v/>
      </c>
    </row>
    <row r="6820" spans="6:6">
      <c r="F6820" t="str">
        <f t="shared" si="107"/>
        <v/>
      </c>
    </row>
    <row r="6821" spans="6:6">
      <c r="F6821" t="str">
        <f t="shared" si="107"/>
        <v/>
      </c>
    </row>
    <row r="6822" spans="6:6">
      <c r="F6822" t="str">
        <f t="shared" si="107"/>
        <v/>
      </c>
    </row>
    <row r="6823" spans="6:6">
      <c r="F6823" t="str">
        <f t="shared" si="107"/>
        <v/>
      </c>
    </row>
    <row r="6824" spans="6:6">
      <c r="F6824" t="str">
        <f t="shared" si="107"/>
        <v/>
      </c>
    </row>
    <row r="6825" spans="6:6">
      <c r="F6825" t="str">
        <f t="shared" si="107"/>
        <v/>
      </c>
    </row>
    <row r="6826" spans="6:6">
      <c r="F6826" t="str">
        <f t="shared" si="107"/>
        <v/>
      </c>
    </row>
    <row r="6827" spans="6:6">
      <c r="F6827" t="str">
        <f t="shared" si="107"/>
        <v/>
      </c>
    </row>
    <row r="6828" spans="6:6">
      <c r="F6828" t="str">
        <f t="shared" si="107"/>
        <v/>
      </c>
    </row>
    <row r="6829" spans="6:6">
      <c r="F6829" t="str">
        <f t="shared" si="107"/>
        <v/>
      </c>
    </row>
    <row r="6830" spans="6:6">
      <c r="F6830" t="str">
        <f t="shared" si="107"/>
        <v/>
      </c>
    </row>
    <row r="6831" spans="6:6">
      <c r="F6831" t="str">
        <f t="shared" si="107"/>
        <v/>
      </c>
    </row>
    <row r="6832" spans="6:6">
      <c r="F6832" t="str">
        <f t="shared" si="107"/>
        <v/>
      </c>
    </row>
    <row r="6833" spans="6:6">
      <c r="F6833" t="str">
        <f t="shared" si="107"/>
        <v/>
      </c>
    </row>
    <row r="6834" spans="6:6">
      <c r="F6834" t="str">
        <f t="shared" si="107"/>
        <v/>
      </c>
    </row>
    <row r="6835" spans="6:6">
      <c r="F6835" t="str">
        <f t="shared" si="107"/>
        <v/>
      </c>
    </row>
    <row r="6836" spans="6:6">
      <c r="F6836" t="str">
        <f t="shared" si="107"/>
        <v/>
      </c>
    </row>
    <row r="6837" spans="6:6">
      <c r="F6837" t="str">
        <f t="shared" si="107"/>
        <v/>
      </c>
    </row>
    <row r="6838" spans="6:6">
      <c r="F6838" t="str">
        <f t="shared" si="107"/>
        <v/>
      </c>
    </row>
    <row r="6839" spans="6:6">
      <c r="F6839" t="str">
        <f t="shared" si="107"/>
        <v/>
      </c>
    </row>
    <row r="6840" spans="6:6">
      <c r="F6840" t="str">
        <f t="shared" si="107"/>
        <v/>
      </c>
    </row>
    <row r="6841" spans="6:6">
      <c r="F6841" t="str">
        <f t="shared" si="107"/>
        <v/>
      </c>
    </row>
    <row r="6842" spans="6:6">
      <c r="F6842" t="str">
        <f t="shared" si="107"/>
        <v/>
      </c>
    </row>
    <row r="6843" spans="6:6">
      <c r="F6843" t="str">
        <f t="shared" si="107"/>
        <v/>
      </c>
    </row>
    <row r="6844" spans="6:6">
      <c r="F6844" t="str">
        <f t="shared" si="107"/>
        <v/>
      </c>
    </row>
    <row r="6845" spans="6:6">
      <c r="F6845" t="str">
        <f t="shared" si="107"/>
        <v/>
      </c>
    </row>
    <row r="6846" spans="6:6">
      <c r="F6846" t="str">
        <f t="shared" si="107"/>
        <v/>
      </c>
    </row>
    <row r="6847" spans="6:6">
      <c r="F6847" t="str">
        <f t="shared" si="107"/>
        <v/>
      </c>
    </row>
    <row r="6848" spans="6:6">
      <c r="F6848" t="str">
        <f t="shared" si="107"/>
        <v/>
      </c>
    </row>
    <row r="6849" spans="6:6">
      <c r="F6849" t="str">
        <f t="shared" si="107"/>
        <v/>
      </c>
    </row>
    <row r="6850" spans="6:6">
      <c r="F6850" t="str">
        <f t="shared" si="107"/>
        <v/>
      </c>
    </row>
    <row r="6851" spans="6:6">
      <c r="F6851" t="str">
        <f t="shared" si="107"/>
        <v/>
      </c>
    </row>
    <row r="6852" spans="6:6">
      <c r="F6852" t="str">
        <f t="shared" si="107"/>
        <v/>
      </c>
    </row>
    <row r="6853" spans="6:6">
      <c r="F6853" t="str">
        <f t="shared" si="107"/>
        <v/>
      </c>
    </row>
    <row r="6854" spans="6:6">
      <c r="F6854" t="str">
        <f t="shared" si="107"/>
        <v/>
      </c>
    </row>
    <row r="6855" spans="6:6">
      <c r="F6855" t="str">
        <f t="shared" si="107"/>
        <v/>
      </c>
    </row>
    <row r="6856" spans="6:6">
      <c r="F6856" t="str">
        <f t="shared" si="107"/>
        <v/>
      </c>
    </row>
    <row r="6857" spans="6:6">
      <c r="F6857" t="str">
        <f t="shared" si="107"/>
        <v/>
      </c>
    </row>
    <row r="6858" spans="6:6">
      <c r="F6858" t="str">
        <f t="shared" si="107"/>
        <v/>
      </c>
    </row>
    <row r="6859" spans="6:6">
      <c r="F6859" t="str">
        <f t="shared" si="107"/>
        <v/>
      </c>
    </row>
    <row r="6860" spans="6:6">
      <c r="F6860" t="str">
        <f t="shared" si="107"/>
        <v/>
      </c>
    </row>
    <row r="6861" spans="6:6">
      <c r="F6861" t="str">
        <f t="shared" ref="F6861:F6924" si="108">RIGHT(D6861,2)</f>
        <v/>
      </c>
    </row>
    <row r="6862" spans="6:6">
      <c r="F6862" t="str">
        <f t="shared" si="108"/>
        <v/>
      </c>
    </row>
    <row r="6863" spans="6:6">
      <c r="F6863" t="str">
        <f t="shared" si="108"/>
        <v/>
      </c>
    </row>
    <row r="6864" spans="6:6">
      <c r="F6864" t="str">
        <f t="shared" si="108"/>
        <v/>
      </c>
    </row>
    <row r="6865" spans="6:6">
      <c r="F6865" t="str">
        <f t="shared" si="108"/>
        <v/>
      </c>
    </row>
    <row r="6866" spans="6:6">
      <c r="F6866" t="str">
        <f t="shared" si="108"/>
        <v/>
      </c>
    </row>
    <row r="6867" spans="6:6">
      <c r="F6867" t="str">
        <f t="shared" si="108"/>
        <v/>
      </c>
    </row>
    <row r="6868" spans="6:6">
      <c r="F6868" t="str">
        <f t="shared" si="108"/>
        <v/>
      </c>
    </row>
    <row r="6869" spans="6:6">
      <c r="F6869" t="str">
        <f t="shared" si="108"/>
        <v/>
      </c>
    </row>
    <row r="6870" spans="6:6">
      <c r="F6870" t="str">
        <f t="shared" si="108"/>
        <v/>
      </c>
    </row>
    <row r="6871" spans="6:6">
      <c r="F6871" t="str">
        <f t="shared" si="108"/>
        <v/>
      </c>
    </row>
    <row r="6872" spans="6:6">
      <c r="F6872" t="str">
        <f t="shared" si="108"/>
        <v/>
      </c>
    </row>
    <row r="6873" spans="6:6">
      <c r="F6873" t="str">
        <f t="shared" si="108"/>
        <v/>
      </c>
    </row>
    <row r="6874" spans="6:6">
      <c r="F6874" t="str">
        <f t="shared" si="108"/>
        <v/>
      </c>
    </row>
    <row r="6875" spans="6:6">
      <c r="F6875" t="str">
        <f t="shared" si="108"/>
        <v/>
      </c>
    </row>
    <row r="6876" spans="6:6">
      <c r="F6876" t="str">
        <f t="shared" si="108"/>
        <v/>
      </c>
    </row>
    <row r="6877" spans="6:6">
      <c r="F6877" t="str">
        <f t="shared" si="108"/>
        <v/>
      </c>
    </row>
    <row r="6878" spans="6:6">
      <c r="F6878" t="str">
        <f t="shared" si="108"/>
        <v/>
      </c>
    </row>
    <row r="6879" spans="6:6">
      <c r="F6879" t="str">
        <f t="shared" si="108"/>
        <v/>
      </c>
    </row>
    <row r="6880" spans="6:6">
      <c r="F6880" t="str">
        <f t="shared" si="108"/>
        <v/>
      </c>
    </row>
    <row r="6881" spans="6:6">
      <c r="F6881" t="str">
        <f t="shared" si="108"/>
        <v/>
      </c>
    </row>
    <row r="6882" spans="6:6">
      <c r="F6882" t="str">
        <f t="shared" si="108"/>
        <v/>
      </c>
    </row>
    <row r="6883" spans="6:6">
      <c r="F6883" t="str">
        <f t="shared" si="108"/>
        <v/>
      </c>
    </row>
    <row r="6884" spans="6:6">
      <c r="F6884" t="str">
        <f t="shared" si="108"/>
        <v/>
      </c>
    </row>
    <row r="6885" spans="6:6">
      <c r="F6885" t="str">
        <f t="shared" si="108"/>
        <v/>
      </c>
    </row>
    <row r="6886" spans="6:6">
      <c r="F6886" t="str">
        <f t="shared" si="108"/>
        <v/>
      </c>
    </row>
    <row r="6887" spans="6:6">
      <c r="F6887" t="str">
        <f t="shared" si="108"/>
        <v/>
      </c>
    </row>
    <row r="6888" spans="6:6">
      <c r="F6888" t="str">
        <f t="shared" si="108"/>
        <v/>
      </c>
    </row>
    <row r="6889" spans="6:6">
      <c r="F6889" t="str">
        <f t="shared" si="108"/>
        <v/>
      </c>
    </row>
    <row r="6890" spans="6:6">
      <c r="F6890" t="str">
        <f t="shared" si="108"/>
        <v/>
      </c>
    </row>
    <row r="6891" spans="6:6">
      <c r="F6891" t="str">
        <f t="shared" si="108"/>
        <v/>
      </c>
    </row>
    <row r="6892" spans="6:6">
      <c r="F6892" t="str">
        <f t="shared" si="108"/>
        <v/>
      </c>
    </row>
    <row r="6893" spans="6:6">
      <c r="F6893" t="str">
        <f t="shared" si="108"/>
        <v/>
      </c>
    </row>
    <row r="6894" spans="6:6">
      <c r="F6894" t="str">
        <f t="shared" si="108"/>
        <v/>
      </c>
    </row>
    <row r="6895" spans="6:6">
      <c r="F6895" t="str">
        <f t="shared" si="108"/>
        <v/>
      </c>
    </row>
    <row r="6896" spans="6:6">
      <c r="F6896" t="str">
        <f t="shared" si="108"/>
        <v/>
      </c>
    </row>
    <row r="6897" spans="6:6">
      <c r="F6897" t="str">
        <f t="shared" si="108"/>
        <v/>
      </c>
    </row>
    <row r="6898" spans="6:6">
      <c r="F6898" t="str">
        <f t="shared" si="108"/>
        <v/>
      </c>
    </row>
    <row r="6899" spans="6:6">
      <c r="F6899" t="str">
        <f t="shared" si="108"/>
        <v/>
      </c>
    </row>
    <row r="6900" spans="6:6">
      <c r="F6900" t="str">
        <f t="shared" si="108"/>
        <v/>
      </c>
    </row>
    <row r="6901" spans="6:6">
      <c r="F6901" t="str">
        <f t="shared" si="108"/>
        <v/>
      </c>
    </row>
    <row r="6902" spans="6:6">
      <c r="F6902" t="str">
        <f t="shared" si="108"/>
        <v/>
      </c>
    </row>
    <row r="6903" spans="6:6">
      <c r="F6903" t="str">
        <f t="shared" si="108"/>
        <v/>
      </c>
    </row>
    <row r="6904" spans="6:6">
      <c r="F6904" t="str">
        <f t="shared" si="108"/>
        <v/>
      </c>
    </row>
    <row r="6905" spans="6:6">
      <c r="F6905" t="str">
        <f t="shared" si="108"/>
        <v/>
      </c>
    </row>
    <row r="6906" spans="6:6">
      <c r="F6906" t="str">
        <f t="shared" si="108"/>
        <v/>
      </c>
    </row>
    <row r="6907" spans="6:6">
      <c r="F6907" t="str">
        <f t="shared" si="108"/>
        <v/>
      </c>
    </row>
    <row r="6908" spans="6:6">
      <c r="F6908" t="str">
        <f t="shared" si="108"/>
        <v/>
      </c>
    </row>
    <row r="6909" spans="6:6">
      <c r="F6909" t="str">
        <f t="shared" si="108"/>
        <v/>
      </c>
    </row>
    <row r="6910" spans="6:6">
      <c r="F6910" t="str">
        <f t="shared" si="108"/>
        <v/>
      </c>
    </row>
    <row r="6911" spans="6:6">
      <c r="F6911" t="str">
        <f t="shared" si="108"/>
        <v/>
      </c>
    </row>
    <row r="6912" spans="6:6">
      <c r="F6912" t="str">
        <f t="shared" si="108"/>
        <v/>
      </c>
    </row>
    <row r="6913" spans="6:6">
      <c r="F6913" t="str">
        <f t="shared" si="108"/>
        <v/>
      </c>
    </row>
    <row r="6914" spans="6:6">
      <c r="F6914" t="str">
        <f t="shared" si="108"/>
        <v/>
      </c>
    </row>
    <row r="6915" spans="6:6">
      <c r="F6915" t="str">
        <f t="shared" si="108"/>
        <v/>
      </c>
    </row>
    <row r="6916" spans="6:6">
      <c r="F6916" t="str">
        <f t="shared" si="108"/>
        <v/>
      </c>
    </row>
    <row r="6917" spans="6:6">
      <c r="F6917" t="str">
        <f t="shared" si="108"/>
        <v/>
      </c>
    </row>
    <row r="6918" spans="6:6">
      <c r="F6918" t="str">
        <f t="shared" si="108"/>
        <v/>
      </c>
    </row>
    <row r="6919" spans="6:6">
      <c r="F6919" t="str">
        <f t="shared" si="108"/>
        <v/>
      </c>
    </row>
    <row r="6920" spans="6:6">
      <c r="F6920" t="str">
        <f t="shared" si="108"/>
        <v/>
      </c>
    </row>
    <row r="6921" spans="6:6">
      <c r="F6921" t="str">
        <f t="shared" si="108"/>
        <v/>
      </c>
    </row>
    <row r="6922" spans="6:6">
      <c r="F6922" t="str">
        <f t="shared" si="108"/>
        <v/>
      </c>
    </row>
    <row r="6923" spans="6:6">
      <c r="F6923" t="str">
        <f t="shared" si="108"/>
        <v/>
      </c>
    </row>
    <row r="6924" spans="6:6">
      <c r="F6924" t="str">
        <f t="shared" si="108"/>
        <v/>
      </c>
    </row>
    <row r="6925" spans="6:6">
      <c r="F6925" t="str">
        <f t="shared" ref="F6925:F6988" si="109">RIGHT(D6925,2)</f>
        <v/>
      </c>
    </row>
    <row r="6926" spans="6:6">
      <c r="F6926" t="str">
        <f t="shared" si="109"/>
        <v/>
      </c>
    </row>
    <row r="6927" spans="6:6">
      <c r="F6927" t="str">
        <f t="shared" si="109"/>
        <v/>
      </c>
    </row>
    <row r="6928" spans="6:6">
      <c r="F6928" t="str">
        <f t="shared" si="109"/>
        <v/>
      </c>
    </row>
    <row r="6929" spans="6:6">
      <c r="F6929" t="str">
        <f t="shared" si="109"/>
        <v/>
      </c>
    </row>
    <row r="6930" spans="6:6">
      <c r="F6930" t="str">
        <f t="shared" si="109"/>
        <v/>
      </c>
    </row>
    <row r="6931" spans="6:6">
      <c r="F6931" t="str">
        <f t="shared" si="109"/>
        <v/>
      </c>
    </row>
    <row r="6932" spans="6:6">
      <c r="F6932" t="str">
        <f t="shared" si="109"/>
        <v/>
      </c>
    </row>
    <row r="6933" spans="6:6">
      <c r="F6933" t="str">
        <f t="shared" si="109"/>
        <v/>
      </c>
    </row>
    <row r="6934" spans="6:6">
      <c r="F6934" t="str">
        <f t="shared" si="109"/>
        <v/>
      </c>
    </row>
    <row r="6935" spans="6:6">
      <c r="F6935" t="str">
        <f t="shared" si="109"/>
        <v/>
      </c>
    </row>
    <row r="6936" spans="6:6">
      <c r="F6936" t="str">
        <f t="shared" si="109"/>
        <v/>
      </c>
    </row>
    <row r="6937" spans="6:6">
      <c r="F6937" t="str">
        <f t="shared" si="109"/>
        <v/>
      </c>
    </row>
    <row r="6938" spans="6:6">
      <c r="F6938" t="str">
        <f t="shared" si="109"/>
        <v/>
      </c>
    </row>
    <row r="6939" spans="6:6">
      <c r="F6939" t="str">
        <f t="shared" si="109"/>
        <v/>
      </c>
    </row>
    <row r="6940" spans="6:6">
      <c r="F6940" t="str">
        <f t="shared" si="109"/>
        <v/>
      </c>
    </row>
    <row r="6941" spans="6:6">
      <c r="F6941" t="str">
        <f t="shared" si="109"/>
        <v/>
      </c>
    </row>
    <row r="6942" spans="6:6">
      <c r="F6942" t="str">
        <f t="shared" si="109"/>
        <v/>
      </c>
    </row>
    <row r="6943" spans="6:6">
      <c r="F6943" t="str">
        <f t="shared" si="109"/>
        <v/>
      </c>
    </row>
    <row r="6944" spans="6:6">
      <c r="F6944" t="str">
        <f t="shared" si="109"/>
        <v/>
      </c>
    </row>
    <row r="6945" spans="6:6">
      <c r="F6945" t="str">
        <f t="shared" si="109"/>
        <v/>
      </c>
    </row>
    <row r="6946" spans="6:6">
      <c r="F6946" t="str">
        <f t="shared" si="109"/>
        <v/>
      </c>
    </row>
    <row r="6947" spans="6:6">
      <c r="F6947" t="str">
        <f t="shared" si="109"/>
        <v/>
      </c>
    </row>
    <row r="6948" spans="6:6">
      <c r="F6948" t="str">
        <f t="shared" si="109"/>
        <v/>
      </c>
    </row>
    <row r="6949" spans="6:6">
      <c r="F6949" t="str">
        <f t="shared" si="109"/>
        <v/>
      </c>
    </row>
    <row r="6950" spans="6:6">
      <c r="F6950" t="str">
        <f t="shared" si="109"/>
        <v/>
      </c>
    </row>
    <row r="6951" spans="6:6">
      <c r="F6951" t="str">
        <f t="shared" si="109"/>
        <v/>
      </c>
    </row>
    <row r="6952" spans="6:6">
      <c r="F6952" t="str">
        <f t="shared" si="109"/>
        <v/>
      </c>
    </row>
    <row r="6953" spans="6:6">
      <c r="F6953" t="str">
        <f t="shared" si="109"/>
        <v/>
      </c>
    </row>
    <row r="6954" spans="6:6">
      <c r="F6954" t="str">
        <f t="shared" si="109"/>
        <v/>
      </c>
    </row>
    <row r="6955" spans="6:6">
      <c r="F6955" t="str">
        <f t="shared" si="109"/>
        <v/>
      </c>
    </row>
    <row r="6956" spans="6:6">
      <c r="F6956" t="str">
        <f t="shared" si="109"/>
        <v/>
      </c>
    </row>
    <row r="6957" spans="6:6">
      <c r="F6957" t="str">
        <f t="shared" si="109"/>
        <v/>
      </c>
    </row>
    <row r="6958" spans="6:6">
      <c r="F6958" t="str">
        <f t="shared" si="109"/>
        <v/>
      </c>
    </row>
    <row r="6959" spans="6:6">
      <c r="F6959" t="str">
        <f t="shared" si="109"/>
        <v/>
      </c>
    </row>
    <row r="6960" spans="6:6">
      <c r="F6960" t="str">
        <f t="shared" si="109"/>
        <v/>
      </c>
    </row>
    <row r="6961" spans="6:6">
      <c r="F6961" t="str">
        <f t="shared" si="109"/>
        <v/>
      </c>
    </row>
    <row r="6962" spans="6:6">
      <c r="F6962" t="str">
        <f t="shared" si="109"/>
        <v/>
      </c>
    </row>
    <row r="6963" spans="6:6">
      <c r="F6963" t="str">
        <f t="shared" si="109"/>
        <v/>
      </c>
    </row>
    <row r="6964" spans="6:6">
      <c r="F6964" t="str">
        <f t="shared" si="109"/>
        <v/>
      </c>
    </row>
    <row r="6965" spans="6:6">
      <c r="F6965" t="str">
        <f t="shared" si="109"/>
        <v/>
      </c>
    </row>
    <row r="6966" spans="6:6">
      <c r="F6966" t="str">
        <f t="shared" si="109"/>
        <v/>
      </c>
    </row>
    <row r="6967" spans="6:6">
      <c r="F6967" t="str">
        <f t="shared" si="109"/>
        <v/>
      </c>
    </row>
    <row r="6968" spans="6:6">
      <c r="F6968" t="str">
        <f t="shared" si="109"/>
        <v/>
      </c>
    </row>
    <row r="6969" spans="6:6">
      <c r="F6969" t="str">
        <f t="shared" si="109"/>
        <v/>
      </c>
    </row>
    <row r="6970" spans="6:6">
      <c r="F6970" t="str">
        <f t="shared" si="109"/>
        <v/>
      </c>
    </row>
    <row r="6971" spans="6:6">
      <c r="F6971" t="str">
        <f t="shared" si="109"/>
        <v/>
      </c>
    </row>
    <row r="6972" spans="6:6">
      <c r="F6972" t="str">
        <f t="shared" si="109"/>
        <v/>
      </c>
    </row>
    <row r="6973" spans="6:6">
      <c r="F6973" t="str">
        <f t="shared" si="109"/>
        <v/>
      </c>
    </row>
    <row r="6974" spans="6:6">
      <c r="F6974" t="str">
        <f t="shared" si="109"/>
        <v/>
      </c>
    </row>
    <row r="6975" spans="6:6">
      <c r="F6975" t="str">
        <f t="shared" si="109"/>
        <v/>
      </c>
    </row>
    <row r="6976" spans="6:6">
      <c r="F6976" t="str">
        <f t="shared" si="109"/>
        <v/>
      </c>
    </row>
    <row r="6977" spans="6:6">
      <c r="F6977" t="str">
        <f t="shared" si="109"/>
        <v/>
      </c>
    </row>
    <row r="6978" spans="6:6">
      <c r="F6978" t="str">
        <f t="shared" si="109"/>
        <v/>
      </c>
    </row>
    <row r="6979" spans="6:6">
      <c r="F6979" t="str">
        <f t="shared" si="109"/>
        <v/>
      </c>
    </row>
    <row r="6980" spans="6:6">
      <c r="F6980" t="str">
        <f t="shared" si="109"/>
        <v/>
      </c>
    </row>
    <row r="6981" spans="6:6">
      <c r="F6981" t="str">
        <f t="shared" si="109"/>
        <v/>
      </c>
    </row>
    <row r="6982" spans="6:6">
      <c r="F6982" t="str">
        <f t="shared" si="109"/>
        <v/>
      </c>
    </row>
    <row r="6983" spans="6:6">
      <c r="F6983" t="str">
        <f t="shared" si="109"/>
        <v/>
      </c>
    </row>
    <row r="6984" spans="6:6">
      <c r="F6984" t="str">
        <f t="shared" si="109"/>
        <v/>
      </c>
    </row>
    <row r="6985" spans="6:6">
      <c r="F6985" t="str">
        <f t="shared" si="109"/>
        <v/>
      </c>
    </row>
    <row r="6986" spans="6:6">
      <c r="F6986" t="str">
        <f t="shared" si="109"/>
        <v/>
      </c>
    </row>
    <row r="6987" spans="6:6">
      <c r="F6987" t="str">
        <f t="shared" si="109"/>
        <v/>
      </c>
    </row>
    <row r="6988" spans="6:6">
      <c r="F6988" t="str">
        <f t="shared" si="109"/>
        <v/>
      </c>
    </row>
    <row r="6989" spans="6:6">
      <c r="F6989" t="str">
        <f t="shared" ref="F6989:F7052" si="110">RIGHT(D6989,2)</f>
        <v/>
      </c>
    </row>
    <row r="6990" spans="6:6">
      <c r="F6990" t="str">
        <f t="shared" si="110"/>
        <v/>
      </c>
    </row>
    <row r="6991" spans="6:6">
      <c r="F6991" t="str">
        <f t="shared" si="110"/>
        <v/>
      </c>
    </row>
    <row r="6992" spans="6:6">
      <c r="F6992" t="str">
        <f t="shared" si="110"/>
        <v/>
      </c>
    </row>
    <row r="6993" spans="6:6">
      <c r="F6993" t="str">
        <f t="shared" si="110"/>
        <v/>
      </c>
    </row>
    <row r="6994" spans="6:6">
      <c r="F6994" t="str">
        <f t="shared" si="110"/>
        <v/>
      </c>
    </row>
    <row r="6995" spans="6:6">
      <c r="F6995" t="str">
        <f t="shared" si="110"/>
        <v/>
      </c>
    </row>
    <row r="6996" spans="6:6">
      <c r="F6996" t="str">
        <f t="shared" si="110"/>
        <v/>
      </c>
    </row>
    <row r="6997" spans="6:6">
      <c r="F6997" t="str">
        <f t="shared" si="110"/>
        <v/>
      </c>
    </row>
    <row r="6998" spans="6:6">
      <c r="F6998" t="str">
        <f t="shared" si="110"/>
        <v/>
      </c>
    </row>
    <row r="6999" spans="6:6">
      <c r="F6999" t="str">
        <f t="shared" si="110"/>
        <v/>
      </c>
    </row>
    <row r="7000" spans="6:6">
      <c r="F7000" t="str">
        <f t="shared" si="110"/>
        <v/>
      </c>
    </row>
    <row r="7001" spans="6:6">
      <c r="F7001" t="str">
        <f t="shared" si="110"/>
        <v/>
      </c>
    </row>
    <row r="7002" spans="6:6">
      <c r="F7002" t="str">
        <f t="shared" si="110"/>
        <v/>
      </c>
    </row>
    <row r="7003" spans="6:6">
      <c r="F7003" t="str">
        <f t="shared" si="110"/>
        <v/>
      </c>
    </row>
    <row r="7004" spans="6:6">
      <c r="F7004" t="str">
        <f t="shared" si="110"/>
        <v/>
      </c>
    </row>
    <row r="7005" spans="6:6">
      <c r="F7005" t="str">
        <f t="shared" si="110"/>
        <v/>
      </c>
    </row>
    <row r="7006" spans="6:6">
      <c r="F7006" t="str">
        <f t="shared" si="110"/>
        <v/>
      </c>
    </row>
    <row r="7007" spans="6:6">
      <c r="F7007" t="str">
        <f t="shared" si="110"/>
        <v/>
      </c>
    </row>
    <row r="7008" spans="6:6">
      <c r="F7008" t="str">
        <f t="shared" si="110"/>
        <v/>
      </c>
    </row>
    <row r="7009" spans="6:6">
      <c r="F7009" t="str">
        <f t="shared" si="110"/>
        <v/>
      </c>
    </row>
    <row r="7010" spans="6:6">
      <c r="F7010" t="str">
        <f t="shared" si="110"/>
        <v/>
      </c>
    </row>
    <row r="7011" spans="6:6">
      <c r="F7011" t="str">
        <f t="shared" si="110"/>
        <v/>
      </c>
    </row>
    <row r="7012" spans="6:6">
      <c r="F7012" t="str">
        <f t="shared" si="110"/>
        <v/>
      </c>
    </row>
    <row r="7013" spans="6:6">
      <c r="F7013" t="str">
        <f t="shared" si="110"/>
        <v/>
      </c>
    </row>
    <row r="7014" spans="6:6">
      <c r="F7014" t="str">
        <f t="shared" si="110"/>
        <v/>
      </c>
    </row>
    <row r="7015" spans="6:6">
      <c r="F7015" t="str">
        <f t="shared" si="110"/>
        <v/>
      </c>
    </row>
    <row r="7016" spans="6:6">
      <c r="F7016" t="str">
        <f t="shared" si="110"/>
        <v/>
      </c>
    </row>
    <row r="7017" spans="6:6">
      <c r="F7017" t="str">
        <f t="shared" si="110"/>
        <v/>
      </c>
    </row>
    <row r="7018" spans="6:6">
      <c r="F7018" t="str">
        <f t="shared" si="110"/>
        <v/>
      </c>
    </row>
    <row r="7019" spans="6:6">
      <c r="F7019" t="str">
        <f t="shared" si="110"/>
        <v/>
      </c>
    </row>
    <row r="7020" spans="6:6">
      <c r="F7020" t="str">
        <f t="shared" si="110"/>
        <v/>
      </c>
    </row>
    <row r="7021" spans="6:6">
      <c r="F7021" t="str">
        <f t="shared" si="110"/>
        <v/>
      </c>
    </row>
    <row r="7022" spans="6:6">
      <c r="F7022" t="str">
        <f t="shared" si="110"/>
        <v/>
      </c>
    </row>
    <row r="7023" spans="6:6">
      <c r="F7023" t="str">
        <f t="shared" si="110"/>
        <v/>
      </c>
    </row>
    <row r="7024" spans="6:6">
      <c r="F7024" t="str">
        <f t="shared" si="110"/>
        <v/>
      </c>
    </row>
    <row r="7025" spans="6:6">
      <c r="F7025" t="str">
        <f t="shared" si="110"/>
        <v/>
      </c>
    </row>
    <row r="7026" spans="6:6">
      <c r="F7026" t="str">
        <f t="shared" si="110"/>
        <v/>
      </c>
    </row>
    <row r="7027" spans="6:6">
      <c r="F7027" t="str">
        <f t="shared" si="110"/>
        <v/>
      </c>
    </row>
    <row r="7028" spans="6:6">
      <c r="F7028" t="str">
        <f t="shared" si="110"/>
        <v/>
      </c>
    </row>
    <row r="7029" spans="6:6">
      <c r="F7029" t="str">
        <f t="shared" si="110"/>
        <v/>
      </c>
    </row>
    <row r="7030" spans="6:6">
      <c r="F7030" t="str">
        <f t="shared" si="110"/>
        <v/>
      </c>
    </row>
    <row r="7031" spans="6:6">
      <c r="F7031" t="str">
        <f t="shared" si="110"/>
        <v/>
      </c>
    </row>
    <row r="7032" spans="6:6">
      <c r="F7032" t="str">
        <f t="shared" si="110"/>
        <v/>
      </c>
    </row>
    <row r="7033" spans="6:6">
      <c r="F7033" t="str">
        <f t="shared" si="110"/>
        <v/>
      </c>
    </row>
    <row r="7034" spans="6:6">
      <c r="F7034" t="str">
        <f t="shared" si="110"/>
        <v/>
      </c>
    </row>
    <row r="7035" spans="6:6">
      <c r="F7035" t="str">
        <f t="shared" si="110"/>
        <v/>
      </c>
    </row>
    <row r="7036" spans="6:6">
      <c r="F7036" t="str">
        <f t="shared" si="110"/>
        <v/>
      </c>
    </row>
    <row r="7037" spans="6:6">
      <c r="F7037" t="str">
        <f t="shared" si="110"/>
        <v/>
      </c>
    </row>
    <row r="7038" spans="6:6">
      <c r="F7038" t="str">
        <f t="shared" si="110"/>
        <v/>
      </c>
    </row>
    <row r="7039" spans="6:6">
      <c r="F7039" t="str">
        <f t="shared" si="110"/>
        <v/>
      </c>
    </row>
    <row r="7040" spans="6:6">
      <c r="F7040" t="str">
        <f t="shared" si="110"/>
        <v/>
      </c>
    </row>
    <row r="7041" spans="6:6">
      <c r="F7041" t="str">
        <f t="shared" si="110"/>
        <v/>
      </c>
    </row>
    <row r="7042" spans="6:6">
      <c r="F7042" t="str">
        <f t="shared" si="110"/>
        <v/>
      </c>
    </row>
    <row r="7043" spans="6:6">
      <c r="F7043" t="str">
        <f t="shared" si="110"/>
        <v/>
      </c>
    </row>
    <row r="7044" spans="6:6">
      <c r="F7044" t="str">
        <f t="shared" si="110"/>
        <v/>
      </c>
    </row>
    <row r="7045" spans="6:6">
      <c r="F7045" t="str">
        <f t="shared" si="110"/>
        <v/>
      </c>
    </row>
    <row r="7046" spans="6:6">
      <c r="F7046" t="str">
        <f t="shared" si="110"/>
        <v/>
      </c>
    </row>
    <row r="7047" spans="6:6">
      <c r="F7047" t="str">
        <f t="shared" si="110"/>
        <v/>
      </c>
    </row>
    <row r="7048" spans="6:6">
      <c r="F7048" t="str">
        <f t="shared" si="110"/>
        <v/>
      </c>
    </row>
    <row r="7049" spans="6:6">
      <c r="F7049" t="str">
        <f t="shared" si="110"/>
        <v/>
      </c>
    </row>
    <row r="7050" spans="6:6">
      <c r="F7050" t="str">
        <f t="shared" si="110"/>
        <v/>
      </c>
    </row>
    <row r="7051" spans="6:6">
      <c r="F7051" t="str">
        <f t="shared" si="110"/>
        <v/>
      </c>
    </row>
    <row r="7052" spans="6:6">
      <c r="F7052" t="str">
        <f t="shared" si="110"/>
        <v/>
      </c>
    </row>
    <row r="7053" spans="6:6">
      <c r="F7053" t="str">
        <f t="shared" ref="F7053:F7116" si="111">RIGHT(D7053,2)</f>
        <v/>
      </c>
    </row>
    <row r="7054" spans="6:6">
      <c r="F7054" t="str">
        <f t="shared" si="111"/>
        <v/>
      </c>
    </row>
    <row r="7055" spans="6:6">
      <c r="F7055" t="str">
        <f t="shared" si="111"/>
        <v/>
      </c>
    </row>
    <row r="7056" spans="6:6">
      <c r="F7056" t="str">
        <f t="shared" si="111"/>
        <v/>
      </c>
    </row>
    <row r="7057" spans="6:6">
      <c r="F7057" t="str">
        <f t="shared" si="111"/>
        <v/>
      </c>
    </row>
    <row r="7058" spans="6:6">
      <c r="F7058" t="str">
        <f t="shared" si="111"/>
        <v/>
      </c>
    </row>
    <row r="7059" spans="6:6">
      <c r="F7059" t="str">
        <f t="shared" si="111"/>
        <v/>
      </c>
    </row>
    <row r="7060" spans="6:6">
      <c r="F7060" t="str">
        <f t="shared" si="111"/>
        <v/>
      </c>
    </row>
    <row r="7061" spans="6:6">
      <c r="F7061" t="str">
        <f t="shared" si="111"/>
        <v/>
      </c>
    </row>
    <row r="7062" spans="6:6">
      <c r="F7062" t="str">
        <f t="shared" si="111"/>
        <v/>
      </c>
    </row>
    <row r="7063" spans="6:6">
      <c r="F7063" t="str">
        <f t="shared" si="111"/>
        <v/>
      </c>
    </row>
    <row r="7064" spans="6:6">
      <c r="F7064" t="str">
        <f t="shared" si="111"/>
        <v/>
      </c>
    </row>
    <row r="7065" spans="6:6">
      <c r="F7065" t="str">
        <f t="shared" si="111"/>
        <v/>
      </c>
    </row>
    <row r="7066" spans="6:6">
      <c r="F7066" t="str">
        <f t="shared" si="111"/>
        <v/>
      </c>
    </row>
    <row r="7067" spans="6:6">
      <c r="F7067" t="str">
        <f t="shared" si="111"/>
        <v/>
      </c>
    </row>
    <row r="7068" spans="6:6">
      <c r="F7068" t="str">
        <f t="shared" si="111"/>
        <v/>
      </c>
    </row>
    <row r="7069" spans="6:6">
      <c r="F7069" t="str">
        <f t="shared" si="111"/>
        <v/>
      </c>
    </row>
    <row r="7070" spans="6:6">
      <c r="F7070" t="str">
        <f t="shared" si="111"/>
        <v/>
      </c>
    </row>
    <row r="7071" spans="6:6">
      <c r="F7071" t="str">
        <f t="shared" si="111"/>
        <v/>
      </c>
    </row>
    <row r="7072" spans="6:6">
      <c r="F7072" t="str">
        <f t="shared" si="111"/>
        <v/>
      </c>
    </row>
    <row r="7073" spans="6:6">
      <c r="F7073" t="str">
        <f t="shared" si="111"/>
        <v/>
      </c>
    </row>
    <row r="7074" spans="6:6">
      <c r="F7074" t="str">
        <f t="shared" si="111"/>
        <v/>
      </c>
    </row>
    <row r="7075" spans="6:6">
      <c r="F7075" t="str">
        <f t="shared" si="111"/>
        <v/>
      </c>
    </row>
    <row r="7076" spans="6:6">
      <c r="F7076" t="str">
        <f t="shared" si="111"/>
        <v/>
      </c>
    </row>
    <row r="7077" spans="6:6">
      <c r="F7077" t="str">
        <f t="shared" si="111"/>
        <v/>
      </c>
    </row>
    <row r="7078" spans="6:6">
      <c r="F7078" t="str">
        <f t="shared" si="111"/>
        <v/>
      </c>
    </row>
    <row r="7079" spans="6:6">
      <c r="F7079" t="str">
        <f t="shared" si="111"/>
        <v/>
      </c>
    </row>
    <row r="7080" spans="6:6">
      <c r="F7080" t="str">
        <f t="shared" si="111"/>
        <v/>
      </c>
    </row>
    <row r="7081" spans="6:6">
      <c r="F7081" t="str">
        <f t="shared" si="111"/>
        <v/>
      </c>
    </row>
    <row r="7082" spans="6:6">
      <c r="F7082" t="str">
        <f t="shared" si="111"/>
        <v/>
      </c>
    </row>
    <row r="7083" spans="6:6">
      <c r="F7083" t="str">
        <f t="shared" si="111"/>
        <v/>
      </c>
    </row>
    <row r="7084" spans="6:6">
      <c r="F7084" t="str">
        <f t="shared" si="111"/>
        <v/>
      </c>
    </row>
    <row r="7085" spans="6:6">
      <c r="F7085" t="str">
        <f t="shared" si="111"/>
        <v/>
      </c>
    </row>
    <row r="7086" spans="6:6">
      <c r="F7086" t="str">
        <f t="shared" si="111"/>
        <v/>
      </c>
    </row>
    <row r="7087" spans="6:6">
      <c r="F7087" t="str">
        <f t="shared" si="111"/>
        <v/>
      </c>
    </row>
    <row r="7088" spans="6:6">
      <c r="F7088" t="str">
        <f t="shared" si="111"/>
        <v/>
      </c>
    </row>
    <row r="7089" spans="6:6">
      <c r="F7089" t="str">
        <f t="shared" si="111"/>
        <v/>
      </c>
    </row>
    <row r="7090" spans="6:6">
      <c r="F7090" t="str">
        <f t="shared" si="111"/>
        <v/>
      </c>
    </row>
    <row r="7091" spans="6:6">
      <c r="F7091" t="str">
        <f t="shared" si="111"/>
        <v/>
      </c>
    </row>
    <row r="7092" spans="6:6">
      <c r="F7092" t="str">
        <f t="shared" si="111"/>
        <v/>
      </c>
    </row>
    <row r="7093" spans="6:6">
      <c r="F7093" t="str">
        <f t="shared" si="111"/>
        <v/>
      </c>
    </row>
    <row r="7094" spans="6:6">
      <c r="F7094" t="str">
        <f t="shared" si="111"/>
        <v/>
      </c>
    </row>
    <row r="7095" spans="6:6">
      <c r="F7095" t="str">
        <f t="shared" si="111"/>
        <v/>
      </c>
    </row>
    <row r="7096" spans="6:6">
      <c r="F7096" t="str">
        <f t="shared" si="111"/>
        <v/>
      </c>
    </row>
    <row r="7097" spans="6:6">
      <c r="F7097" t="str">
        <f t="shared" si="111"/>
        <v/>
      </c>
    </row>
    <row r="7098" spans="6:6">
      <c r="F7098" t="str">
        <f t="shared" si="111"/>
        <v/>
      </c>
    </row>
    <row r="7099" spans="6:6">
      <c r="F7099" t="str">
        <f t="shared" si="111"/>
        <v/>
      </c>
    </row>
    <row r="7100" spans="6:6">
      <c r="F7100" t="str">
        <f t="shared" si="111"/>
        <v/>
      </c>
    </row>
    <row r="7101" spans="6:6">
      <c r="F7101" t="str">
        <f t="shared" si="111"/>
        <v/>
      </c>
    </row>
    <row r="7102" spans="6:6">
      <c r="F7102" t="str">
        <f t="shared" si="111"/>
        <v/>
      </c>
    </row>
    <row r="7103" spans="6:6">
      <c r="F7103" t="str">
        <f t="shared" si="111"/>
        <v/>
      </c>
    </row>
    <row r="7104" spans="6:6">
      <c r="F7104" t="str">
        <f t="shared" si="111"/>
        <v/>
      </c>
    </row>
    <row r="7105" spans="6:6">
      <c r="F7105" t="str">
        <f t="shared" si="111"/>
        <v/>
      </c>
    </row>
    <row r="7106" spans="6:6">
      <c r="F7106" t="str">
        <f t="shared" si="111"/>
        <v/>
      </c>
    </row>
    <row r="7107" spans="6:6">
      <c r="F7107" t="str">
        <f t="shared" si="111"/>
        <v/>
      </c>
    </row>
    <row r="7108" spans="6:6">
      <c r="F7108" t="str">
        <f t="shared" si="111"/>
        <v/>
      </c>
    </row>
    <row r="7109" spans="6:6">
      <c r="F7109" t="str">
        <f t="shared" si="111"/>
        <v/>
      </c>
    </row>
    <row r="7110" spans="6:6">
      <c r="F7110" t="str">
        <f t="shared" si="111"/>
        <v/>
      </c>
    </row>
    <row r="7111" spans="6:6">
      <c r="F7111" t="str">
        <f t="shared" si="111"/>
        <v/>
      </c>
    </row>
    <row r="7112" spans="6:6">
      <c r="F7112" t="str">
        <f t="shared" si="111"/>
        <v/>
      </c>
    </row>
    <row r="7113" spans="6:6">
      <c r="F7113" t="str">
        <f t="shared" si="111"/>
        <v/>
      </c>
    </row>
    <row r="7114" spans="6:6">
      <c r="F7114" t="str">
        <f t="shared" si="111"/>
        <v/>
      </c>
    </row>
    <row r="7115" spans="6:6">
      <c r="F7115" t="str">
        <f t="shared" si="111"/>
        <v/>
      </c>
    </row>
    <row r="7116" spans="6:6">
      <c r="F7116" t="str">
        <f t="shared" si="111"/>
        <v/>
      </c>
    </row>
    <row r="7117" spans="6:6">
      <c r="F7117" t="str">
        <f t="shared" ref="F7117:F7180" si="112">RIGHT(D7117,2)</f>
        <v/>
      </c>
    </row>
    <row r="7118" spans="6:6">
      <c r="F7118" t="str">
        <f t="shared" si="112"/>
        <v/>
      </c>
    </row>
    <row r="7119" spans="6:6">
      <c r="F7119" t="str">
        <f t="shared" si="112"/>
        <v/>
      </c>
    </row>
    <row r="7120" spans="6:6">
      <c r="F7120" t="str">
        <f t="shared" si="112"/>
        <v/>
      </c>
    </row>
    <row r="7121" spans="6:6">
      <c r="F7121" t="str">
        <f t="shared" si="112"/>
        <v/>
      </c>
    </row>
    <row r="7122" spans="6:6">
      <c r="F7122" t="str">
        <f t="shared" si="112"/>
        <v/>
      </c>
    </row>
    <row r="7123" spans="6:6">
      <c r="F7123" t="str">
        <f t="shared" si="112"/>
        <v/>
      </c>
    </row>
    <row r="7124" spans="6:6">
      <c r="F7124" t="str">
        <f t="shared" si="112"/>
        <v/>
      </c>
    </row>
    <row r="7125" spans="6:6">
      <c r="F7125" t="str">
        <f t="shared" si="112"/>
        <v/>
      </c>
    </row>
    <row r="7126" spans="6:6">
      <c r="F7126" t="str">
        <f t="shared" si="112"/>
        <v/>
      </c>
    </row>
    <row r="7127" spans="6:6">
      <c r="F7127" t="str">
        <f t="shared" si="112"/>
        <v/>
      </c>
    </row>
    <row r="7128" spans="6:6">
      <c r="F7128" t="str">
        <f t="shared" si="112"/>
        <v/>
      </c>
    </row>
    <row r="7129" spans="6:6">
      <c r="F7129" t="str">
        <f t="shared" si="112"/>
        <v/>
      </c>
    </row>
    <row r="7130" spans="6:6">
      <c r="F7130" t="str">
        <f t="shared" si="112"/>
        <v/>
      </c>
    </row>
    <row r="7131" spans="6:6">
      <c r="F7131" t="str">
        <f t="shared" si="112"/>
        <v/>
      </c>
    </row>
    <row r="7132" spans="6:6">
      <c r="F7132" t="str">
        <f t="shared" si="112"/>
        <v/>
      </c>
    </row>
    <row r="7133" spans="6:6">
      <c r="F7133" t="str">
        <f t="shared" si="112"/>
        <v/>
      </c>
    </row>
    <row r="7134" spans="6:6">
      <c r="F7134" t="str">
        <f t="shared" si="112"/>
        <v/>
      </c>
    </row>
    <row r="7135" spans="6:6">
      <c r="F7135" t="str">
        <f t="shared" si="112"/>
        <v/>
      </c>
    </row>
    <row r="7136" spans="6:6">
      <c r="F7136" t="str">
        <f t="shared" si="112"/>
        <v/>
      </c>
    </row>
    <row r="7137" spans="6:6">
      <c r="F7137" t="str">
        <f t="shared" si="112"/>
        <v/>
      </c>
    </row>
    <row r="7138" spans="6:6">
      <c r="F7138" t="str">
        <f t="shared" si="112"/>
        <v/>
      </c>
    </row>
    <row r="7139" spans="6:6">
      <c r="F7139" t="str">
        <f t="shared" si="112"/>
        <v/>
      </c>
    </row>
    <row r="7140" spans="6:6">
      <c r="F7140" t="str">
        <f t="shared" si="112"/>
        <v/>
      </c>
    </row>
    <row r="7141" spans="6:6">
      <c r="F7141" t="str">
        <f t="shared" si="112"/>
        <v/>
      </c>
    </row>
    <row r="7142" spans="6:6">
      <c r="F7142" t="str">
        <f t="shared" si="112"/>
        <v/>
      </c>
    </row>
    <row r="7143" spans="6:6">
      <c r="F7143" t="str">
        <f t="shared" si="112"/>
        <v/>
      </c>
    </row>
    <row r="7144" spans="6:6">
      <c r="F7144" t="str">
        <f t="shared" si="112"/>
        <v/>
      </c>
    </row>
    <row r="7145" spans="6:6">
      <c r="F7145" t="str">
        <f t="shared" si="112"/>
        <v/>
      </c>
    </row>
    <row r="7146" spans="6:6">
      <c r="F7146" t="str">
        <f t="shared" si="112"/>
        <v/>
      </c>
    </row>
    <row r="7147" spans="6:6">
      <c r="F7147" t="str">
        <f t="shared" si="112"/>
        <v/>
      </c>
    </row>
    <row r="7148" spans="6:6">
      <c r="F7148" t="str">
        <f t="shared" si="112"/>
        <v/>
      </c>
    </row>
    <row r="7149" spans="6:6">
      <c r="F7149" t="str">
        <f t="shared" si="112"/>
        <v/>
      </c>
    </row>
    <row r="7150" spans="6:6">
      <c r="F7150" t="str">
        <f t="shared" si="112"/>
        <v/>
      </c>
    </row>
    <row r="7151" spans="6:6">
      <c r="F7151" t="str">
        <f t="shared" si="112"/>
        <v/>
      </c>
    </row>
    <row r="7152" spans="6:6">
      <c r="F7152" t="str">
        <f t="shared" si="112"/>
        <v/>
      </c>
    </row>
    <row r="7153" spans="6:6">
      <c r="F7153" t="str">
        <f t="shared" si="112"/>
        <v/>
      </c>
    </row>
    <row r="7154" spans="6:6">
      <c r="F7154" t="str">
        <f t="shared" si="112"/>
        <v/>
      </c>
    </row>
    <row r="7155" spans="6:6">
      <c r="F7155" t="str">
        <f t="shared" si="112"/>
        <v/>
      </c>
    </row>
    <row r="7156" spans="6:6">
      <c r="F7156" t="str">
        <f t="shared" si="112"/>
        <v/>
      </c>
    </row>
    <row r="7157" spans="6:6">
      <c r="F7157" t="str">
        <f t="shared" si="112"/>
        <v/>
      </c>
    </row>
    <row r="7158" spans="6:6">
      <c r="F7158" t="str">
        <f t="shared" si="112"/>
        <v/>
      </c>
    </row>
    <row r="7159" spans="6:6">
      <c r="F7159" t="str">
        <f t="shared" si="112"/>
        <v/>
      </c>
    </row>
    <row r="7160" spans="6:6">
      <c r="F7160" t="str">
        <f t="shared" si="112"/>
        <v/>
      </c>
    </row>
    <row r="7161" spans="6:6">
      <c r="F7161" t="str">
        <f t="shared" si="112"/>
        <v/>
      </c>
    </row>
    <row r="7162" spans="6:6">
      <c r="F7162" t="str">
        <f t="shared" si="112"/>
        <v/>
      </c>
    </row>
    <row r="7163" spans="6:6">
      <c r="F7163" t="str">
        <f t="shared" si="112"/>
        <v/>
      </c>
    </row>
    <row r="7164" spans="6:6">
      <c r="F7164" t="str">
        <f t="shared" si="112"/>
        <v/>
      </c>
    </row>
    <row r="7165" spans="6:6">
      <c r="F7165" t="str">
        <f t="shared" si="112"/>
        <v/>
      </c>
    </row>
    <row r="7166" spans="6:6">
      <c r="F7166" t="str">
        <f t="shared" si="112"/>
        <v/>
      </c>
    </row>
    <row r="7167" spans="6:6">
      <c r="F7167" t="str">
        <f t="shared" si="112"/>
        <v/>
      </c>
    </row>
    <row r="7168" spans="6:6">
      <c r="F7168" t="str">
        <f t="shared" si="112"/>
        <v/>
      </c>
    </row>
    <row r="7169" spans="6:6">
      <c r="F7169" t="str">
        <f t="shared" si="112"/>
        <v/>
      </c>
    </row>
    <row r="7170" spans="6:6">
      <c r="F7170" t="str">
        <f t="shared" si="112"/>
        <v/>
      </c>
    </row>
    <row r="7171" spans="6:6">
      <c r="F7171" t="str">
        <f t="shared" si="112"/>
        <v/>
      </c>
    </row>
    <row r="7172" spans="6:6">
      <c r="F7172" t="str">
        <f t="shared" si="112"/>
        <v/>
      </c>
    </row>
    <row r="7173" spans="6:6">
      <c r="F7173" t="str">
        <f t="shared" si="112"/>
        <v/>
      </c>
    </row>
    <row r="7174" spans="6:6">
      <c r="F7174" t="str">
        <f t="shared" si="112"/>
        <v/>
      </c>
    </row>
    <row r="7175" spans="6:6">
      <c r="F7175" t="str">
        <f t="shared" si="112"/>
        <v/>
      </c>
    </row>
    <row r="7176" spans="6:6">
      <c r="F7176" t="str">
        <f t="shared" si="112"/>
        <v/>
      </c>
    </row>
    <row r="7177" spans="6:6">
      <c r="F7177" t="str">
        <f t="shared" si="112"/>
        <v/>
      </c>
    </row>
    <row r="7178" spans="6:6">
      <c r="F7178" t="str">
        <f t="shared" si="112"/>
        <v/>
      </c>
    </row>
    <row r="7179" spans="6:6">
      <c r="F7179" t="str">
        <f t="shared" si="112"/>
        <v/>
      </c>
    </row>
    <row r="7180" spans="6:6">
      <c r="F7180" t="str">
        <f t="shared" si="112"/>
        <v/>
      </c>
    </row>
    <row r="7181" spans="6:6">
      <c r="F7181" t="str">
        <f t="shared" ref="F7181:F7244" si="113">RIGHT(D7181,2)</f>
        <v/>
      </c>
    </row>
    <row r="7182" spans="6:6">
      <c r="F7182" t="str">
        <f t="shared" si="113"/>
        <v/>
      </c>
    </row>
    <row r="7183" spans="6:6">
      <c r="F7183" t="str">
        <f t="shared" si="113"/>
        <v/>
      </c>
    </row>
    <row r="7184" spans="6:6">
      <c r="F7184" t="str">
        <f t="shared" si="113"/>
        <v/>
      </c>
    </row>
    <row r="7185" spans="6:6">
      <c r="F7185" t="str">
        <f t="shared" si="113"/>
        <v/>
      </c>
    </row>
    <row r="7186" spans="6:6">
      <c r="F7186" t="str">
        <f t="shared" si="113"/>
        <v/>
      </c>
    </row>
    <row r="7187" spans="6:6">
      <c r="F7187" t="str">
        <f t="shared" si="113"/>
        <v/>
      </c>
    </row>
    <row r="7188" spans="6:6">
      <c r="F7188" t="str">
        <f t="shared" si="113"/>
        <v/>
      </c>
    </row>
    <row r="7189" spans="6:6">
      <c r="F7189" t="str">
        <f t="shared" si="113"/>
        <v/>
      </c>
    </row>
    <row r="7190" spans="6:6">
      <c r="F7190" t="str">
        <f t="shared" si="113"/>
        <v/>
      </c>
    </row>
    <row r="7191" spans="6:6">
      <c r="F7191" t="str">
        <f t="shared" si="113"/>
        <v/>
      </c>
    </row>
    <row r="7192" spans="6:6">
      <c r="F7192" t="str">
        <f t="shared" si="113"/>
        <v/>
      </c>
    </row>
    <row r="7193" spans="6:6">
      <c r="F7193" t="str">
        <f t="shared" si="113"/>
        <v/>
      </c>
    </row>
    <row r="7194" spans="6:6">
      <c r="F7194" t="str">
        <f t="shared" si="113"/>
        <v/>
      </c>
    </row>
    <row r="7195" spans="6:6">
      <c r="F7195" t="str">
        <f t="shared" si="113"/>
        <v/>
      </c>
    </row>
    <row r="7196" spans="6:6">
      <c r="F7196" t="str">
        <f t="shared" si="113"/>
        <v/>
      </c>
    </row>
    <row r="7197" spans="6:6">
      <c r="F7197" t="str">
        <f t="shared" si="113"/>
        <v/>
      </c>
    </row>
    <row r="7198" spans="6:6">
      <c r="F7198" t="str">
        <f t="shared" si="113"/>
        <v/>
      </c>
    </row>
    <row r="7199" spans="6:6">
      <c r="F7199" t="str">
        <f t="shared" si="113"/>
        <v/>
      </c>
    </row>
    <row r="7200" spans="6:6">
      <c r="F7200" t="str">
        <f t="shared" si="113"/>
        <v/>
      </c>
    </row>
    <row r="7201" spans="6:6">
      <c r="F7201" t="str">
        <f t="shared" si="113"/>
        <v/>
      </c>
    </row>
    <row r="7202" spans="6:6">
      <c r="F7202" t="str">
        <f t="shared" si="113"/>
        <v/>
      </c>
    </row>
    <row r="7203" spans="6:6">
      <c r="F7203" t="str">
        <f t="shared" si="113"/>
        <v/>
      </c>
    </row>
    <row r="7204" spans="6:6">
      <c r="F7204" t="str">
        <f t="shared" si="113"/>
        <v/>
      </c>
    </row>
    <row r="7205" spans="6:6">
      <c r="F7205" t="str">
        <f t="shared" si="113"/>
        <v/>
      </c>
    </row>
    <row r="7206" spans="6:6">
      <c r="F7206" t="str">
        <f t="shared" si="113"/>
        <v/>
      </c>
    </row>
    <row r="7207" spans="6:6">
      <c r="F7207" t="str">
        <f t="shared" si="113"/>
        <v/>
      </c>
    </row>
    <row r="7208" spans="6:6">
      <c r="F7208" t="str">
        <f t="shared" si="113"/>
        <v/>
      </c>
    </row>
    <row r="7209" spans="6:6">
      <c r="F7209" t="str">
        <f t="shared" si="113"/>
        <v/>
      </c>
    </row>
    <row r="7210" spans="6:6">
      <c r="F7210" t="str">
        <f t="shared" si="113"/>
        <v/>
      </c>
    </row>
    <row r="7211" spans="6:6">
      <c r="F7211" t="str">
        <f t="shared" si="113"/>
        <v/>
      </c>
    </row>
    <row r="7212" spans="6:6">
      <c r="F7212" t="str">
        <f t="shared" si="113"/>
        <v/>
      </c>
    </row>
    <row r="7213" spans="6:6">
      <c r="F7213" t="str">
        <f t="shared" si="113"/>
        <v/>
      </c>
    </row>
    <row r="7214" spans="6:6">
      <c r="F7214" t="str">
        <f t="shared" si="113"/>
        <v/>
      </c>
    </row>
    <row r="7215" spans="6:6">
      <c r="F7215" t="str">
        <f t="shared" si="113"/>
        <v/>
      </c>
    </row>
    <row r="7216" spans="6:6">
      <c r="F7216" t="str">
        <f t="shared" si="113"/>
        <v/>
      </c>
    </row>
    <row r="7217" spans="6:6">
      <c r="F7217" t="str">
        <f t="shared" si="113"/>
        <v/>
      </c>
    </row>
    <row r="7218" spans="6:6">
      <c r="F7218" t="str">
        <f t="shared" si="113"/>
        <v/>
      </c>
    </row>
    <row r="7219" spans="6:6">
      <c r="F7219" t="str">
        <f t="shared" si="113"/>
        <v/>
      </c>
    </row>
    <row r="7220" spans="6:6">
      <c r="F7220" t="str">
        <f t="shared" si="113"/>
        <v/>
      </c>
    </row>
    <row r="7221" spans="6:6">
      <c r="F7221" t="str">
        <f t="shared" si="113"/>
        <v/>
      </c>
    </row>
    <row r="7222" spans="6:6">
      <c r="F7222" t="str">
        <f t="shared" si="113"/>
        <v/>
      </c>
    </row>
    <row r="7223" spans="6:6">
      <c r="F7223" t="str">
        <f t="shared" si="113"/>
        <v/>
      </c>
    </row>
    <row r="7224" spans="6:6">
      <c r="F7224" t="str">
        <f t="shared" si="113"/>
        <v/>
      </c>
    </row>
    <row r="7225" spans="6:6">
      <c r="F7225" t="str">
        <f t="shared" si="113"/>
        <v/>
      </c>
    </row>
    <row r="7226" spans="6:6">
      <c r="F7226" t="str">
        <f t="shared" si="113"/>
        <v/>
      </c>
    </row>
    <row r="7227" spans="6:6">
      <c r="F7227" t="str">
        <f t="shared" si="113"/>
        <v/>
      </c>
    </row>
    <row r="7228" spans="6:6">
      <c r="F7228" t="str">
        <f t="shared" si="113"/>
        <v/>
      </c>
    </row>
    <row r="7229" spans="6:6">
      <c r="F7229" t="str">
        <f t="shared" si="113"/>
        <v/>
      </c>
    </row>
    <row r="7230" spans="6:6">
      <c r="F7230" t="str">
        <f t="shared" si="113"/>
        <v/>
      </c>
    </row>
    <row r="7231" spans="6:6">
      <c r="F7231" t="str">
        <f t="shared" si="113"/>
        <v/>
      </c>
    </row>
    <row r="7232" spans="6:6">
      <c r="F7232" t="str">
        <f t="shared" si="113"/>
        <v/>
      </c>
    </row>
    <row r="7233" spans="6:6">
      <c r="F7233" t="str">
        <f t="shared" si="113"/>
        <v/>
      </c>
    </row>
    <row r="7234" spans="6:6">
      <c r="F7234" t="str">
        <f t="shared" si="113"/>
        <v/>
      </c>
    </row>
    <row r="7235" spans="6:6">
      <c r="F7235" t="str">
        <f t="shared" si="113"/>
        <v/>
      </c>
    </row>
    <row r="7236" spans="6:6">
      <c r="F7236" t="str">
        <f t="shared" si="113"/>
        <v/>
      </c>
    </row>
    <row r="7237" spans="6:6">
      <c r="F7237" t="str">
        <f t="shared" si="113"/>
        <v/>
      </c>
    </row>
    <row r="7238" spans="6:6">
      <c r="F7238" t="str">
        <f t="shared" si="113"/>
        <v/>
      </c>
    </row>
    <row r="7239" spans="6:6">
      <c r="F7239" t="str">
        <f t="shared" si="113"/>
        <v/>
      </c>
    </row>
    <row r="7240" spans="6:6">
      <c r="F7240" t="str">
        <f t="shared" si="113"/>
        <v/>
      </c>
    </row>
    <row r="7241" spans="6:6">
      <c r="F7241" t="str">
        <f t="shared" si="113"/>
        <v/>
      </c>
    </row>
    <row r="7242" spans="6:6">
      <c r="F7242" t="str">
        <f t="shared" si="113"/>
        <v/>
      </c>
    </row>
    <row r="7243" spans="6:6">
      <c r="F7243" t="str">
        <f t="shared" si="113"/>
        <v/>
      </c>
    </row>
    <row r="7244" spans="6:6">
      <c r="F7244" t="str">
        <f t="shared" si="113"/>
        <v/>
      </c>
    </row>
    <row r="7245" spans="6:6">
      <c r="F7245" t="str">
        <f t="shared" ref="F7245:F7308" si="114">RIGHT(D7245,2)</f>
        <v/>
      </c>
    </row>
    <row r="7246" spans="6:6">
      <c r="F7246" t="str">
        <f t="shared" si="114"/>
        <v/>
      </c>
    </row>
    <row r="7247" spans="6:6">
      <c r="F7247" t="str">
        <f t="shared" si="114"/>
        <v/>
      </c>
    </row>
    <row r="7248" spans="6:6">
      <c r="F7248" t="str">
        <f t="shared" si="114"/>
        <v/>
      </c>
    </row>
    <row r="7249" spans="6:6">
      <c r="F7249" t="str">
        <f t="shared" si="114"/>
        <v/>
      </c>
    </row>
    <row r="7250" spans="6:6">
      <c r="F7250" t="str">
        <f t="shared" si="114"/>
        <v/>
      </c>
    </row>
    <row r="7251" spans="6:6">
      <c r="F7251" t="str">
        <f t="shared" si="114"/>
        <v/>
      </c>
    </row>
    <row r="7252" spans="6:6">
      <c r="F7252" t="str">
        <f t="shared" si="114"/>
        <v/>
      </c>
    </row>
    <row r="7253" spans="6:6">
      <c r="F7253" t="str">
        <f t="shared" si="114"/>
        <v/>
      </c>
    </row>
    <row r="7254" spans="6:6">
      <c r="F7254" t="str">
        <f t="shared" si="114"/>
        <v/>
      </c>
    </row>
    <row r="7255" spans="6:6">
      <c r="F7255" t="str">
        <f t="shared" si="114"/>
        <v/>
      </c>
    </row>
    <row r="7256" spans="6:6">
      <c r="F7256" t="str">
        <f t="shared" si="114"/>
        <v/>
      </c>
    </row>
    <row r="7257" spans="6:6">
      <c r="F7257" t="str">
        <f t="shared" si="114"/>
        <v/>
      </c>
    </row>
    <row r="7258" spans="6:6">
      <c r="F7258" t="str">
        <f t="shared" si="114"/>
        <v/>
      </c>
    </row>
    <row r="7259" spans="6:6">
      <c r="F7259" t="str">
        <f t="shared" si="114"/>
        <v/>
      </c>
    </row>
    <row r="7260" spans="6:6">
      <c r="F7260" t="str">
        <f t="shared" si="114"/>
        <v/>
      </c>
    </row>
    <row r="7261" spans="6:6">
      <c r="F7261" t="str">
        <f t="shared" si="114"/>
        <v/>
      </c>
    </row>
    <row r="7262" spans="6:6">
      <c r="F7262" t="str">
        <f t="shared" si="114"/>
        <v/>
      </c>
    </row>
    <row r="7263" spans="6:6">
      <c r="F7263" t="str">
        <f t="shared" si="114"/>
        <v/>
      </c>
    </row>
    <row r="7264" spans="6:6">
      <c r="F7264" t="str">
        <f t="shared" si="114"/>
        <v/>
      </c>
    </row>
    <row r="7265" spans="6:6">
      <c r="F7265" t="str">
        <f t="shared" si="114"/>
        <v/>
      </c>
    </row>
    <row r="7266" spans="6:6">
      <c r="F7266" t="str">
        <f t="shared" si="114"/>
        <v/>
      </c>
    </row>
    <row r="7267" spans="6:6">
      <c r="F7267" t="str">
        <f t="shared" si="114"/>
        <v/>
      </c>
    </row>
    <row r="7268" spans="6:6">
      <c r="F7268" t="str">
        <f t="shared" si="114"/>
        <v/>
      </c>
    </row>
    <row r="7269" spans="6:6">
      <c r="F7269" t="str">
        <f t="shared" si="114"/>
        <v/>
      </c>
    </row>
    <row r="7270" spans="6:6">
      <c r="F7270" t="str">
        <f t="shared" si="114"/>
        <v/>
      </c>
    </row>
    <row r="7271" spans="6:6">
      <c r="F7271" t="str">
        <f t="shared" si="114"/>
        <v/>
      </c>
    </row>
    <row r="7272" spans="6:6">
      <c r="F7272" t="str">
        <f t="shared" si="114"/>
        <v/>
      </c>
    </row>
    <row r="7273" spans="6:6">
      <c r="F7273" t="str">
        <f t="shared" si="114"/>
        <v/>
      </c>
    </row>
    <row r="7274" spans="6:6">
      <c r="F7274" t="str">
        <f t="shared" si="114"/>
        <v/>
      </c>
    </row>
    <row r="7275" spans="6:6">
      <c r="F7275" t="str">
        <f t="shared" si="114"/>
        <v/>
      </c>
    </row>
    <row r="7276" spans="6:6">
      <c r="F7276" t="str">
        <f t="shared" si="114"/>
        <v/>
      </c>
    </row>
    <row r="7277" spans="6:6">
      <c r="F7277" t="str">
        <f t="shared" si="114"/>
        <v/>
      </c>
    </row>
    <row r="7278" spans="6:6">
      <c r="F7278" t="str">
        <f t="shared" si="114"/>
        <v/>
      </c>
    </row>
    <row r="7279" spans="6:6">
      <c r="F7279" t="str">
        <f t="shared" si="114"/>
        <v/>
      </c>
    </row>
    <row r="7280" spans="6:6">
      <c r="F7280" t="str">
        <f t="shared" si="114"/>
        <v/>
      </c>
    </row>
    <row r="7281" spans="6:6">
      <c r="F7281" t="str">
        <f t="shared" si="114"/>
        <v/>
      </c>
    </row>
    <row r="7282" spans="6:6">
      <c r="F7282" t="str">
        <f t="shared" si="114"/>
        <v/>
      </c>
    </row>
    <row r="7283" spans="6:6">
      <c r="F7283" t="str">
        <f t="shared" si="114"/>
        <v/>
      </c>
    </row>
    <row r="7284" spans="6:6">
      <c r="F7284" t="str">
        <f t="shared" si="114"/>
        <v/>
      </c>
    </row>
    <row r="7285" spans="6:6">
      <c r="F7285" t="str">
        <f t="shared" si="114"/>
        <v/>
      </c>
    </row>
    <row r="7286" spans="6:6">
      <c r="F7286" t="str">
        <f t="shared" si="114"/>
        <v/>
      </c>
    </row>
    <row r="7287" spans="6:6">
      <c r="F7287" t="str">
        <f t="shared" si="114"/>
        <v/>
      </c>
    </row>
    <row r="7288" spans="6:6">
      <c r="F7288" t="str">
        <f t="shared" si="114"/>
        <v/>
      </c>
    </row>
    <row r="7289" spans="6:6">
      <c r="F7289" t="str">
        <f t="shared" si="114"/>
        <v/>
      </c>
    </row>
    <row r="7290" spans="6:6">
      <c r="F7290" t="str">
        <f t="shared" si="114"/>
        <v/>
      </c>
    </row>
    <row r="7291" spans="6:6">
      <c r="F7291" t="str">
        <f t="shared" si="114"/>
        <v/>
      </c>
    </row>
    <row r="7292" spans="6:6">
      <c r="F7292" t="str">
        <f t="shared" si="114"/>
        <v/>
      </c>
    </row>
    <row r="7293" spans="6:6">
      <c r="F7293" t="str">
        <f t="shared" si="114"/>
        <v/>
      </c>
    </row>
    <row r="7294" spans="6:6">
      <c r="F7294" t="str">
        <f t="shared" si="114"/>
        <v/>
      </c>
    </row>
    <row r="7295" spans="6:6">
      <c r="F7295" t="str">
        <f t="shared" si="114"/>
        <v/>
      </c>
    </row>
    <row r="7296" spans="6:6">
      <c r="F7296" t="str">
        <f t="shared" si="114"/>
        <v/>
      </c>
    </row>
    <row r="7297" spans="6:6">
      <c r="F7297" t="str">
        <f t="shared" si="114"/>
        <v/>
      </c>
    </row>
    <row r="7298" spans="6:6">
      <c r="F7298" t="str">
        <f t="shared" si="114"/>
        <v/>
      </c>
    </row>
    <row r="7299" spans="6:6">
      <c r="F7299" t="str">
        <f t="shared" si="114"/>
        <v/>
      </c>
    </row>
    <row r="7300" spans="6:6">
      <c r="F7300" t="str">
        <f t="shared" si="114"/>
        <v/>
      </c>
    </row>
    <row r="7301" spans="6:6">
      <c r="F7301" t="str">
        <f t="shared" si="114"/>
        <v/>
      </c>
    </row>
    <row r="7302" spans="6:6">
      <c r="F7302" t="str">
        <f t="shared" si="114"/>
        <v/>
      </c>
    </row>
    <row r="7303" spans="6:6">
      <c r="F7303" t="str">
        <f t="shared" si="114"/>
        <v/>
      </c>
    </row>
    <row r="7304" spans="6:6">
      <c r="F7304" t="str">
        <f t="shared" si="114"/>
        <v/>
      </c>
    </row>
    <row r="7305" spans="6:6">
      <c r="F7305" t="str">
        <f t="shared" si="114"/>
        <v/>
      </c>
    </row>
    <row r="7306" spans="6:6">
      <c r="F7306" t="str">
        <f t="shared" si="114"/>
        <v/>
      </c>
    </row>
    <row r="7307" spans="6:6">
      <c r="F7307" t="str">
        <f t="shared" si="114"/>
        <v/>
      </c>
    </row>
    <row r="7308" spans="6:6">
      <c r="F7308" t="str">
        <f t="shared" si="114"/>
        <v/>
      </c>
    </row>
    <row r="7309" spans="6:6">
      <c r="F7309" t="str">
        <f t="shared" ref="F7309:F7372" si="115">RIGHT(D7309,2)</f>
        <v/>
      </c>
    </row>
    <row r="7310" spans="6:6">
      <c r="F7310" t="str">
        <f t="shared" si="115"/>
        <v/>
      </c>
    </row>
    <row r="7311" spans="6:6">
      <c r="F7311" t="str">
        <f t="shared" si="115"/>
        <v/>
      </c>
    </row>
    <row r="7312" spans="6:6">
      <c r="F7312" t="str">
        <f t="shared" si="115"/>
        <v/>
      </c>
    </row>
    <row r="7313" spans="6:6">
      <c r="F7313" t="str">
        <f t="shared" si="115"/>
        <v/>
      </c>
    </row>
    <row r="7314" spans="6:6">
      <c r="F7314" t="str">
        <f t="shared" si="115"/>
        <v/>
      </c>
    </row>
    <row r="7315" spans="6:6">
      <c r="F7315" t="str">
        <f t="shared" si="115"/>
        <v/>
      </c>
    </row>
    <row r="7316" spans="6:6">
      <c r="F7316" t="str">
        <f t="shared" si="115"/>
        <v/>
      </c>
    </row>
    <row r="7317" spans="6:6">
      <c r="F7317" t="str">
        <f t="shared" si="115"/>
        <v/>
      </c>
    </row>
    <row r="7318" spans="6:6">
      <c r="F7318" t="str">
        <f t="shared" si="115"/>
        <v/>
      </c>
    </row>
    <row r="7319" spans="6:6">
      <c r="F7319" t="str">
        <f t="shared" si="115"/>
        <v/>
      </c>
    </row>
    <row r="7320" spans="6:6">
      <c r="F7320" t="str">
        <f t="shared" si="115"/>
        <v/>
      </c>
    </row>
    <row r="7321" spans="6:6">
      <c r="F7321" t="str">
        <f t="shared" si="115"/>
        <v/>
      </c>
    </row>
    <row r="7322" spans="6:6">
      <c r="F7322" t="str">
        <f t="shared" si="115"/>
        <v/>
      </c>
    </row>
    <row r="7323" spans="6:6">
      <c r="F7323" t="str">
        <f t="shared" si="115"/>
        <v/>
      </c>
    </row>
    <row r="7324" spans="6:6">
      <c r="F7324" t="str">
        <f t="shared" si="115"/>
        <v/>
      </c>
    </row>
    <row r="7325" spans="6:6">
      <c r="F7325" t="str">
        <f t="shared" si="115"/>
        <v/>
      </c>
    </row>
    <row r="7326" spans="6:6">
      <c r="F7326" t="str">
        <f t="shared" si="115"/>
        <v/>
      </c>
    </row>
    <row r="7327" spans="6:6">
      <c r="F7327" t="str">
        <f t="shared" si="115"/>
        <v/>
      </c>
    </row>
    <row r="7328" spans="6:6">
      <c r="F7328" t="str">
        <f t="shared" si="115"/>
        <v/>
      </c>
    </row>
    <row r="7329" spans="6:6">
      <c r="F7329" t="str">
        <f t="shared" si="115"/>
        <v/>
      </c>
    </row>
    <row r="7330" spans="6:6">
      <c r="F7330" t="str">
        <f t="shared" si="115"/>
        <v/>
      </c>
    </row>
    <row r="7331" spans="6:6">
      <c r="F7331" t="str">
        <f t="shared" si="115"/>
        <v/>
      </c>
    </row>
    <row r="7332" spans="6:6">
      <c r="F7332" t="str">
        <f t="shared" si="115"/>
        <v/>
      </c>
    </row>
    <row r="7333" spans="6:6">
      <c r="F7333" t="str">
        <f t="shared" si="115"/>
        <v/>
      </c>
    </row>
    <row r="7334" spans="6:6">
      <c r="F7334" t="str">
        <f t="shared" si="115"/>
        <v/>
      </c>
    </row>
    <row r="7335" spans="6:6">
      <c r="F7335" t="str">
        <f t="shared" si="115"/>
        <v/>
      </c>
    </row>
    <row r="7336" spans="6:6">
      <c r="F7336" t="str">
        <f t="shared" si="115"/>
        <v/>
      </c>
    </row>
    <row r="7337" spans="6:6">
      <c r="F7337" t="str">
        <f t="shared" si="115"/>
        <v/>
      </c>
    </row>
    <row r="7338" spans="6:6">
      <c r="F7338" t="str">
        <f t="shared" si="115"/>
        <v/>
      </c>
    </row>
    <row r="7339" spans="6:6">
      <c r="F7339" t="str">
        <f t="shared" si="115"/>
        <v/>
      </c>
    </row>
    <row r="7340" spans="6:6">
      <c r="F7340" t="str">
        <f t="shared" si="115"/>
        <v/>
      </c>
    </row>
    <row r="7341" spans="6:6">
      <c r="F7341" t="str">
        <f t="shared" si="115"/>
        <v/>
      </c>
    </row>
    <row r="7342" spans="6:6">
      <c r="F7342" t="str">
        <f t="shared" si="115"/>
        <v/>
      </c>
    </row>
    <row r="7343" spans="6:6">
      <c r="F7343" t="str">
        <f t="shared" si="115"/>
        <v/>
      </c>
    </row>
    <row r="7344" spans="6:6">
      <c r="F7344" t="str">
        <f t="shared" si="115"/>
        <v/>
      </c>
    </row>
    <row r="7345" spans="6:6">
      <c r="F7345" t="str">
        <f t="shared" si="115"/>
        <v/>
      </c>
    </row>
    <row r="7346" spans="6:6">
      <c r="F7346" t="str">
        <f t="shared" si="115"/>
        <v/>
      </c>
    </row>
    <row r="7347" spans="6:6">
      <c r="F7347" t="str">
        <f t="shared" si="115"/>
        <v/>
      </c>
    </row>
    <row r="7348" spans="6:6">
      <c r="F7348" t="str">
        <f t="shared" si="115"/>
        <v/>
      </c>
    </row>
    <row r="7349" spans="6:6">
      <c r="F7349" t="str">
        <f t="shared" si="115"/>
        <v/>
      </c>
    </row>
    <row r="7350" spans="6:6">
      <c r="F7350" t="str">
        <f t="shared" si="115"/>
        <v/>
      </c>
    </row>
    <row r="7351" spans="6:6">
      <c r="F7351" t="str">
        <f t="shared" si="115"/>
        <v/>
      </c>
    </row>
    <row r="7352" spans="6:6">
      <c r="F7352" t="str">
        <f t="shared" si="115"/>
        <v/>
      </c>
    </row>
    <row r="7353" spans="6:6">
      <c r="F7353" t="str">
        <f t="shared" si="115"/>
        <v/>
      </c>
    </row>
    <row r="7354" spans="6:6">
      <c r="F7354" t="str">
        <f t="shared" si="115"/>
        <v/>
      </c>
    </row>
    <row r="7355" spans="6:6">
      <c r="F7355" t="str">
        <f t="shared" si="115"/>
        <v/>
      </c>
    </row>
    <row r="7356" spans="6:6">
      <c r="F7356" t="str">
        <f t="shared" si="115"/>
        <v/>
      </c>
    </row>
    <row r="7357" spans="6:6">
      <c r="F7357" t="str">
        <f t="shared" si="115"/>
        <v/>
      </c>
    </row>
    <row r="7358" spans="6:6">
      <c r="F7358" t="str">
        <f t="shared" si="115"/>
        <v/>
      </c>
    </row>
    <row r="7359" spans="6:6">
      <c r="F7359" t="str">
        <f t="shared" si="115"/>
        <v/>
      </c>
    </row>
    <row r="7360" spans="6:6">
      <c r="F7360" t="str">
        <f t="shared" si="115"/>
        <v/>
      </c>
    </row>
    <row r="7361" spans="6:6">
      <c r="F7361" t="str">
        <f t="shared" si="115"/>
        <v/>
      </c>
    </row>
    <row r="7362" spans="6:6">
      <c r="F7362" t="str">
        <f t="shared" si="115"/>
        <v/>
      </c>
    </row>
    <row r="7363" spans="6:6">
      <c r="F7363" t="str">
        <f t="shared" si="115"/>
        <v/>
      </c>
    </row>
    <row r="7364" spans="6:6">
      <c r="F7364" t="str">
        <f t="shared" si="115"/>
        <v/>
      </c>
    </row>
    <row r="7365" spans="6:6">
      <c r="F7365" t="str">
        <f t="shared" si="115"/>
        <v/>
      </c>
    </row>
    <row r="7366" spans="6:6">
      <c r="F7366" t="str">
        <f t="shared" si="115"/>
        <v/>
      </c>
    </row>
    <row r="7367" spans="6:6">
      <c r="F7367" t="str">
        <f t="shared" si="115"/>
        <v/>
      </c>
    </row>
    <row r="7368" spans="6:6">
      <c r="F7368" t="str">
        <f t="shared" si="115"/>
        <v/>
      </c>
    </row>
    <row r="7369" spans="6:6">
      <c r="F7369" t="str">
        <f t="shared" si="115"/>
        <v/>
      </c>
    </row>
    <row r="7370" spans="6:6">
      <c r="F7370" t="str">
        <f t="shared" si="115"/>
        <v/>
      </c>
    </row>
    <row r="7371" spans="6:6">
      <c r="F7371" t="str">
        <f t="shared" si="115"/>
        <v/>
      </c>
    </row>
    <row r="7372" spans="6:6">
      <c r="F7372" t="str">
        <f t="shared" si="115"/>
        <v/>
      </c>
    </row>
    <row r="7373" spans="6:6">
      <c r="F7373" t="str">
        <f t="shared" ref="F7373:F7436" si="116">RIGHT(D7373,2)</f>
        <v/>
      </c>
    </row>
    <row r="7374" spans="6:6">
      <c r="F7374" t="str">
        <f t="shared" si="116"/>
        <v/>
      </c>
    </row>
    <row r="7375" spans="6:6">
      <c r="F7375" t="str">
        <f t="shared" si="116"/>
        <v/>
      </c>
    </row>
    <row r="7376" spans="6:6">
      <c r="F7376" t="str">
        <f t="shared" si="116"/>
        <v/>
      </c>
    </row>
    <row r="7377" spans="6:6">
      <c r="F7377" t="str">
        <f t="shared" si="116"/>
        <v/>
      </c>
    </row>
    <row r="7378" spans="6:6">
      <c r="F7378" t="str">
        <f t="shared" si="116"/>
        <v/>
      </c>
    </row>
    <row r="7379" spans="6:6">
      <c r="F7379" t="str">
        <f t="shared" si="116"/>
        <v/>
      </c>
    </row>
    <row r="7380" spans="6:6">
      <c r="F7380" t="str">
        <f t="shared" si="116"/>
        <v/>
      </c>
    </row>
    <row r="7381" spans="6:6">
      <c r="F7381" t="str">
        <f t="shared" si="116"/>
        <v/>
      </c>
    </row>
    <row r="7382" spans="6:6">
      <c r="F7382" t="str">
        <f t="shared" si="116"/>
        <v/>
      </c>
    </row>
    <row r="7383" spans="6:6">
      <c r="F7383" t="str">
        <f t="shared" si="116"/>
        <v/>
      </c>
    </row>
    <row r="7384" spans="6:6">
      <c r="F7384" t="str">
        <f t="shared" si="116"/>
        <v/>
      </c>
    </row>
    <row r="7385" spans="6:6">
      <c r="F7385" t="str">
        <f t="shared" si="116"/>
        <v/>
      </c>
    </row>
    <row r="7386" spans="6:6">
      <c r="F7386" t="str">
        <f t="shared" si="116"/>
        <v/>
      </c>
    </row>
    <row r="7387" spans="6:6">
      <c r="F7387" t="str">
        <f t="shared" si="116"/>
        <v/>
      </c>
    </row>
    <row r="7388" spans="6:6">
      <c r="F7388" t="str">
        <f t="shared" si="116"/>
        <v/>
      </c>
    </row>
    <row r="7389" spans="6:6">
      <c r="F7389" t="str">
        <f t="shared" si="116"/>
        <v/>
      </c>
    </row>
    <row r="7390" spans="6:6">
      <c r="F7390" t="str">
        <f t="shared" si="116"/>
        <v/>
      </c>
    </row>
    <row r="7391" spans="6:6">
      <c r="F7391" t="str">
        <f t="shared" si="116"/>
        <v/>
      </c>
    </row>
    <row r="7392" spans="6:6">
      <c r="F7392" t="str">
        <f t="shared" si="116"/>
        <v/>
      </c>
    </row>
    <row r="7393" spans="6:6">
      <c r="F7393" t="str">
        <f t="shared" si="116"/>
        <v/>
      </c>
    </row>
    <row r="7394" spans="6:6">
      <c r="F7394" t="str">
        <f t="shared" si="116"/>
        <v/>
      </c>
    </row>
    <row r="7395" spans="6:6">
      <c r="F7395" t="str">
        <f t="shared" si="116"/>
        <v/>
      </c>
    </row>
    <row r="7396" spans="6:6">
      <c r="F7396" t="str">
        <f t="shared" si="116"/>
        <v/>
      </c>
    </row>
    <row r="7397" spans="6:6">
      <c r="F7397" t="str">
        <f t="shared" si="116"/>
        <v/>
      </c>
    </row>
    <row r="7398" spans="6:6">
      <c r="F7398" t="str">
        <f t="shared" si="116"/>
        <v/>
      </c>
    </row>
    <row r="7399" spans="6:6">
      <c r="F7399" t="str">
        <f t="shared" si="116"/>
        <v/>
      </c>
    </row>
    <row r="7400" spans="6:6">
      <c r="F7400" t="str">
        <f t="shared" si="116"/>
        <v/>
      </c>
    </row>
    <row r="7401" spans="6:6">
      <c r="F7401" t="str">
        <f t="shared" si="116"/>
        <v/>
      </c>
    </row>
    <row r="7402" spans="6:6">
      <c r="F7402" t="str">
        <f t="shared" si="116"/>
        <v/>
      </c>
    </row>
    <row r="7403" spans="6:6">
      <c r="F7403" t="str">
        <f t="shared" si="116"/>
        <v/>
      </c>
    </row>
    <row r="7404" spans="6:6">
      <c r="F7404" t="str">
        <f t="shared" si="116"/>
        <v/>
      </c>
    </row>
    <row r="7405" spans="6:6">
      <c r="F7405" t="str">
        <f t="shared" si="116"/>
        <v/>
      </c>
    </row>
    <row r="7406" spans="6:6">
      <c r="F7406" t="str">
        <f t="shared" si="116"/>
        <v/>
      </c>
    </row>
    <row r="7407" spans="6:6">
      <c r="F7407" t="str">
        <f t="shared" si="116"/>
        <v/>
      </c>
    </row>
    <row r="7408" spans="6:6">
      <c r="F7408" t="str">
        <f t="shared" si="116"/>
        <v/>
      </c>
    </row>
    <row r="7409" spans="6:6">
      <c r="F7409" t="str">
        <f t="shared" si="116"/>
        <v/>
      </c>
    </row>
    <row r="7410" spans="6:6">
      <c r="F7410" t="str">
        <f t="shared" si="116"/>
        <v/>
      </c>
    </row>
    <row r="7411" spans="6:6">
      <c r="F7411" t="str">
        <f t="shared" si="116"/>
        <v/>
      </c>
    </row>
    <row r="7412" spans="6:6">
      <c r="F7412" t="str">
        <f t="shared" si="116"/>
        <v/>
      </c>
    </row>
    <row r="7413" spans="6:6">
      <c r="F7413" t="str">
        <f t="shared" si="116"/>
        <v/>
      </c>
    </row>
    <row r="7414" spans="6:6">
      <c r="F7414" t="str">
        <f t="shared" si="116"/>
        <v/>
      </c>
    </row>
    <row r="7415" spans="6:6">
      <c r="F7415" t="str">
        <f t="shared" si="116"/>
        <v/>
      </c>
    </row>
    <row r="7416" spans="6:6">
      <c r="F7416" t="str">
        <f t="shared" si="116"/>
        <v/>
      </c>
    </row>
    <row r="7417" spans="6:6">
      <c r="F7417" t="str">
        <f t="shared" si="116"/>
        <v/>
      </c>
    </row>
    <row r="7418" spans="6:6">
      <c r="F7418" t="str">
        <f t="shared" si="116"/>
        <v/>
      </c>
    </row>
    <row r="7419" spans="6:6">
      <c r="F7419" t="str">
        <f t="shared" si="116"/>
        <v/>
      </c>
    </row>
    <row r="7420" spans="6:6">
      <c r="F7420" t="str">
        <f t="shared" si="116"/>
        <v/>
      </c>
    </row>
    <row r="7421" spans="6:6">
      <c r="F7421" t="str">
        <f t="shared" si="116"/>
        <v/>
      </c>
    </row>
    <row r="7422" spans="6:6">
      <c r="F7422" t="str">
        <f t="shared" si="116"/>
        <v/>
      </c>
    </row>
    <row r="7423" spans="6:6">
      <c r="F7423" t="str">
        <f t="shared" si="116"/>
        <v/>
      </c>
    </row>
    <row r="7424" spans="6:6">
      <c r="F7424" t="str">
        <f t="shared" si="116"/>
        <v/>
      </c>
    </row>
    <row r="7425" spans="6:6">
      <c r="F7425" t="str">
        <f t="shared" si="116"/>
        <v/>
      </c>
    </row>
    <row r="7426" spans="6:6">
      <c r="F7426" t="str">
        <f t="shared" si="116"/>
        <v/>
      </c>
    </row>
    <row r="7427" spans="6:6">
      <c r="F7427" t="str">
        <f t="shared" si="116"/>
        <v/>
      </c>
    </row>
    <row r="7428" spans="6:6">
      <c r="F7428" t="str">
        <f t="shared" si="116"/>
        <v/>
      </c>
    </row>
    <row r="7429" spans="6:6">
      <c r="F7429" t="str">
        <f t="shared" si="116"/>
        <v/>
      </c>
    </row>
    <row r="7430" spans="6:6">
      <c r="F7430" t="str">
        <f t="shared" si="116"/>
        <v/>
      </c>
    </row>
    <row r="7431" spans="6:6">
      <c r="F7431" t="str">
        <f t="shared" si="116"/>
        <v/>
      </c>
    </row>
    <row r="7432" spans="6:6">
      <c r="F7432" t="str">
        <f t="shared" si="116"/>
        <v/>
      </c>
    </row>
    <row r="7433" spans="6:6">
      <c r="F7433" t="str">
        <f t="shared" si="116"/>
        <v/>
      </c>
    </row>
    <row r="7434" spans="6:6">
      <c r="F7434" t="str">
        <f t="shared" si="116"/>
        <v/>
      </c>
    </row>
    <row r="7435" spans="6:6">
      <c r="F7435" t="str">
        <f t="shared" si="116"/>
        <v/>
      </c>
    </row>
    <row r="7436" spans="6:6">
      <c r="F7436" t="str">
        <f t="shared" si="116"/>
        <v/>
      </c>
    </row>
    <row r="7437" spans="6:6">
      <c r="F7437" t="str">
        <f t="shared" ref="F7437:F7500" si="117">RIGHT(D7437,2)</f>
        <v/>
      </c>
    </row>
    <row r="7438" spans="6:6">
      <c r="F7438" t="str">
        <f t="shared" si="117"/>
        <v/>
      </c>
    </row>
    <row r="7439" spans="6:6">
      <c r="F7439" t="str">
        <f t="shared" si="117"/>
        <v/>
      </c>
    </row>
    <row r="7440" spans="6:6">
      <c r="F7440" t="str">
        <f t="shared" si="117"/>
        <v/>
      </c>
    </row>
    <row r="7441" spans="6:6">
      <c r="F7441" t="str">
        <f t="shared" si="117"/>
        <v/>
      </c>
    </row>
    <row r="7442" spans="6:6">
      <c r="F7442" t="str">
        <f t="shared" si="117"/>
        <v/>
      </c>
    </row>
    <row r="7443" spans="6:6">
      <c r="F7443" t="str">
        <f t="shared" si="117"/>
        <v/>
      </c>
    </row>
    <row r="7444" spans="6:6">
      <c r="F7444" t="str">
        <f t="shared" si="117"/>
        <v/>
      </c>
    </row>
    <row r="7445" spans="6:6">
      <c r="F7445" t="str">
        <f t="shared" si="117"/>
        <v/>
      </c>
    </row>
    <row r="7446" spans="6:6">
      <c r="F7446" t="str">
        <f t="shared" si="117"/>
        <v/>
      </c>
    </row>
    <row r="7447" spans="6:6">
      <c r="F7447" t="str">
        <f t="shared" si="117"/>
        <v/>
      </c>
    </row>
    <row r="7448" spans="6:6">
      <c r="F7448" t="str">
        <f t="shared" si="117"/>
        <v/>
      </c>
    </row>
    <row r="7449" spans="6:6">
      <c r="F7449" t="str">
        <f t="shared" si="117"/>
        <v/>
      </c>
    </row>
    <row r="7450" spans="6:6">
      <c r="F7450" t="str">
        <f t="shared" si="117"/>
        <v/>
      </c>
    </row>
    <row r="7451" spans="6:6">
      <c r="F7451" t="str">
        <f t="shared" si="117"/>
        <v/>
      </c>
    </row>
    <row r="7452" spans="6:6">
      <c r="F7452" t="str">
        <f t="shared" si="117"/>
        <v/>
      </c>
    </row>
    <row r="7453" spans="6:6">
      <c r="F7453" t="str">
        <f t="shared" si="117"/>
        <v/>
      </c>
    </row>
    <row r="7454" spans="6:6">
      <c r="F7454" t="str">
        <f t="shared" si="117"/>
        <v/>
      </c>
    </row>
    <row r="7455" spans="6:6">
      <c r="F7455" t="str">
        <f t="shared" si="117"/>
        <v/>
      </c>
    </row>
    <row r="7456" spans="6:6">
      <c r="F7456" t="str">
        <f t="shared" si="117"/>
        <v/>
      </c>
    </row>
    <row r="7457" spans="6:6">
      <c r="F7457" t="str">
        <f t="shared" si="117"/>
        <v/>
      </c>
    </row>
    <row r="7458" spans="6:6">
      <c r="F7458" t="str">
        <f t="shared" si="117"/>
        <v/>
      </c>
    </row>
    <row r="7459" spans="6:6">
      <c r="F7459" t="str">
        <f t="shared" si="117"/>
        <v/>
      </c>
    </row>
    <row r="7460" spans="6:6">
      <c r="F7460" t="str">
        <f t="shared" si="117"/>
        <v/>
      </c>
    </row>
    <row r="7461" spans="6:6">
      <c r="F7461" t="str">
        <f t="shared" si="117"/>
        <v/>
      </c>
    </row>
    <row r="7462" spans="6:6">
      <c r="F7462" t="str">
        <f t="shared" si="117"/>
        <v/>
      </c>
    </row>
    <row r="7463" spans="6:6">
      <c r="F7463" t="str">
        <f t="shared" si="117"/>
        <v/>
      </c>
    </row>
    <row r="7464" spans="6:6">
      <c r="F7464" t="str">
        <f t="shared" si="117"/>
        <v/>
      </c>
    </row>
    <row r="7465" spans="6:6">
      <c r="F7465" t="str">
        <f t="shared" si="117"/>
        <v/>
      </c>
    </row>
    <row r="7466" spans="6:6">
      <c r="F7466" t="str">
        <f t="shared" si="117"/>
        <v/>
      </c>
    </row>
    <row r="7467" spans="6:6">
      <c r="F7467" t="str">
        <f t="shared" si="117"/>
        <v/>
      </c>
    </row>
    <row r="7468" spans="6:6">
      <c r="F7468" t="str">
        <f t="shared" si="117"/>
        <v/>
      </c>
    </row>
    <row r="7469" spans="6:6">
      <c r="F7469" t="str">
        <f t="shared" si="117"/>
        <v/>
      </c>
    </row>
    <row r="7470" spans="6:6">
      <c r="F7470" t="str">
        <f t="shared" si="117"/>
        <v/>
      </c>
    </row>
    <row r="7471" spans="6:6">
      <c r="F7471" t="str">
        <f t="shared" si="117"/>
        <v/>
      </c>
    </row>
    <row r="7472" spans="6:6">
      <c r="F7472" t="str">
        <f t="shared" si="117"/>
        <v/>
      </c>
    </row>
    <row r="7473" spans="6:6">
      <c r="F7473" t="str">
        <f t="shared" si="117"/>
        <v/>
      </c>
    </row>
    <row r="7474" spans="6:6">
      <c r="F7474" t="str">
        <f t="shared" si="117"/>
        <v/>
      </c>
    </row>
    <row r="7475" spans="6:6">
      <c r="F7475" t="str">
        <f t="shared" si="117"/>
        <v/>
      </c>
    </row>
    <row r="7476" spans="6:6">
      <c r="F7476" t="str">
        <f t="shared" si="117"/>
        <v/>
      </c>
    </row>
    <row r="7477" spans="6:6">
      <c r="F7477" t="str">
        <f t="shared" si="117"/>
        <v/>
      </c>
    </row>
    <row r="7478" spans="6:6">
      <c r="F7478" t="str">
        <f t="shared" si="117"/>
        <v/>
      </c>
    </row>
    <row r="7479" spans="6:6">
      <c r="F7479" t="str">
        <f t="shared" si="117"/>
        <v/>
      </c>
    </row>
    <row r="7480" spans="6:6">
      <c r="F7480" t="str">
        <f t="shared" si="117"/>
        <v/>
      </c>
    </row>
    <row r="7481" spans="6:6">
      <c r="F7481" t="str">
        <f t="shared" si="117"/>
        <v/>
      </c>
    </row>
    <row r="7482" spans="6:6">
      <c r="F7482" t="str">
        <f t="shared" si="117"/>
        <v/>
      </c>
    </row>
    <row r="7483" spans="6:6">
      <c r="F7483" t="str">
        <f t="shared" si="117"/>
        <v/>
      </c>
    </row>
    <row r="7484" spans="6:6">
      <c r="F7484" t="str">
        <f t="shared" si="117"/>
        <v/>
      </c>
    </row>
    <row r="7485" spans="6:6">
      <c r="F7485" t="str">
        <f t="shared" si="117"/>
        <v/>
      </c>
    </row>
    <row r="7486" spans="6:6">
      <c r="F7486" t="str">
        <f t="shared" si="117"/>
        <v/>
      </c>
    </row>
    <row r="7487" spans="6:6">
      <c r="F7487" t="str">
        <f t="shared" si="117"/>
        <v/>
      </c>
    </row>
    <row r="7488" spans="6:6">
      <c r="F7488" t="str">
        <f t="shared" si="117"/>
        <v/>
      </c>
    </row>
    <row r="7489" spans="6:6">
      <c r="F7489" t="str">
        <f t="shared" si="117"/>
        <v/>
      </c>
    </row>
    <row r="7490" spans="6:6">
      <c r="F7490" t="str">
        <f t="shared" si="117"/>
        <v/>
      </c>
    </row>
    <row r="7491" spans="6:6">
      <c r="F7491" t="str">
        <f t="shared" si="117"/>
        <v/>
      </c>
    </row>
    <row r="7492" spans="6:6">
      <c r="F7492" t="str">
        <f t="shared" si="117"/>
        <v/>
      </c>
    </row>
    <row r="7493" spans="6:6">
      <c r="F7493" t="str">
        <f t="shared" si="117"/>
        <v/>
      </c>
    </row>
    <row r="7494" spans="6:6">
      <c r="F7494" t="str">
        <f t="shared" si="117"/>
        <v/>
      </c>
    </row>
    <row r="7495" spans="6:6">
      <c r="F7495" t="str">
        <f t="shared" si="117"/>
        <v/>
      </c>
    </row>
    <row r="7496" spans="6:6">
      <c r="F7496" t="str">
        <f t="shared" si="117"/>
        <v/>
      </c>
    </row>
    <row r="7497" spans="6:6">
      <c r="F7497" t="str">
        <f t="shared" si="117"/>
        <v/>
      </c>
    </row>
    <row r="7498" spans="6:6">
      <c r="F7498" t="str">
        <f t="shared" si="117"/>
        <v/>
      </c>
    </row>
    <row r="7499" spans="6:6">
      <c r="F7499" t="str">
        <f t="shared" si="117"/>
        <v/>
      </c>
    </row>
    <row r="7500" spans="6:6">
      <c r="F7500" t="str">
        <f t="shared" si="117"/>
        <v/>
      </c>
    </row>
    <row r="7501" spans="6:6">
      <c r="F7501" t="str">
        <f t="shared" ref="F7501:F7564" si="118">RIGHT(D7501,2)</f>
        <v/>
      </c>
    </row>
    <row r="7502" spans="6:6">
      <c r="F7502" t="str">
        <f t="shared" si="118"/>
        <v/>
      </c>
    </row>
    <row r="7503" spans="6:6">
      <c r="F7503" t="str">
        <f t="shared" si="118"/>
        <v/>
      </c>
    </row>
    <row r="7504" spans="6:6">
      <c r="F7504" t="str">
        <f t="shared" si="118"/>
        <v/>
      </c>
    </row>
    <row r="7505" spans="6:6">
      <c r="F7505" t="str">
        <f t="shared" si="118"/>
        <v/>
      </c>
    </row>
    <row r="7506" spans="6:6">
      <c r="F7506" t="str">
        <f t="shared" si="118"/>
        <v/>
      </c>
    </row>
    <row r="7507" spans="6:6">
      <c r="F7507" t="str">
        <f t="shared" si="118"/>
        <v/>
      </c>
    </row>
    <row r="7508" spans="6:6">
      <c r="F7508" t="str">
        <f t="shared" si="118"/>
        <v/>
      </c>
    </row>
    <row r="7509" spans="6:6">
      <c r="F7509" t="str">
        <f t="shared" si="118"/>
        <v/>
      </c>
    </row>
    <row r="7510" spans="6:6">
      <c r="F7510" t="str">
        <f t="shared" si="118"/>
        <v/>
      </c>
    </row>
    <row r="7511" spans="6:6">
      <c r="F7511" t="str">
        <f t="shared" si="118"/>
        <v/>
      </c>
    </row>
    <row r="7512" spans="6:6">
      <c r="F7512" t="str">
        <f t="shared" si="118"/>
        <v/>
      </c>
    </row>
    <row r="7513" spans="6:6">
      <c r="F7513" t="str">
        <f t="shared" si="118"/>
        <v/>
      </c>
    </row>
    <row r="7514" spans="6:6">
      <c r="F7514" t="str">
        <f t="shared" si="118"/>
        <v/>
      </c>
    </row>
    <row r="7515" spans="6:6">
      <c r="F7515" t="str">
        <f t="shared" si="118"/>
        <v/>
      </c>
    </row>
    <row r="7516" spans="6:6">
      <c r="F7516" t="str">
        <f t="shared" si="118"/>
        <v/>
      </c>
    </row>
    <row r="7517" spans="6:6">
      <c r="F7517" t="str">
        <f t="shared" si="118"/>
        <v/>
      </c>
    </row>
    <row r="7518" spans="6:6">
      <c r="F7518" t="str">
        <f t="shared" si="118"/>
        <v/>
      </c>
    </row>
    <row r="7519" spans="6:6">
      <c r="F7519" t="str">
        <f t="shared" si="118"/>
        <v/>
      </c>
    </row>
    <row r="7520" spans="6:6">
      <c r="F7520" t="str">
        <f t="shared" si="118"/>
        <v/>
      </c>
    </row>
    <row r="7521" spans="6:6">
      <c r="F7521" t="str">
        <f t="shared" si="118"/>
        <v/>
      </c>
    </row>
    <row r="7522" spans="6:6">
      <c r="F7522" t="str">
        <f t="shared" si="118"/>
        <v/>
      </c>
    </row>
    <row r="7523" spans="6:6">
      <c r="F7523" t="str">
        <f t="shared" si="118"/>
        <v/>
      </c>
    </row>
    <row r="7524" spans="6:6">
      <c r="F7524" t="str">
        <f t="shared" si="118"/>
        <v/>
      </c>
    </row>
    <row r="7525" spans="6:6">
      <c r="F7525" t="str">
        <f t="shared" si="118"/>
        <v/>
      </c>
    </row>
    <row r="7526" spans="6:6">
      <c r="F7526" t="str">
        <f t="shared" si="118"/>
        <v/>
      </c>
    </row>
    <row r="7527" spans="6:6">
      <c r="F7527" t="str">
        <f t="shared" si="118"/>
        <v/>
      </c>
    </row>
    <row r="7528" spans="6:6">
      <c r="F7528" t="str">
        <f t="shared" si="118"/>
        <v/>
      </c>
    </row>
    <row r="7529" spans="6:6">
      <c r="F7529" t="str">
        <f t="shared" si="118"/>
        <v/>
      </c>
    </row>
    <row r="7530" spans="6:6">
      <c r="F7530" t="str">
        <f t="shared" si="118"/>
        <v/>
      </c>
    </row>
    <row r="7531" spans="6:6">
      <c r="F7531" t="str">
        <f t="shared" si="118"/>
        <v/>
      </c>
    </row>
    <row r="7532" spans="6:6">
      <c r="F7532" t="str">
        <f t="shared" si="118"/>
        <v/>
      </c>
    </row>
    <row r="7533" spans="6:6">
      <c r="F7533" t="str">
        <f t="shared" si="118"/>
        <v/>
      </c>
    </row>
    <row r="7534" spans="6:6">
      <c r="F7534" t="str">
        <f t="shared" si="118"/>
        <v/>
      </c>
    </row>
    <row r="7535" spans="6:6">
      <c r="F7535" t="str">
        <f t="shared" si="118"/>
        <v/>
      </c>
    </row>
    <row r="7536" spans="6:6">
      <c r="F7536" t="str">
        <f t="shared" si="118"/>
        <v/>
      </c>
    </row>
    <row r="7537" spans="6:6">
      <c r="F7537" t="str">
        <f t="shared" si="118"/>
        <v/>
      </c>
    </row>
    <row r="7538" spans="6:6">
      <c r="F7538" t="str">
        <f t="shared" si="118"/>
        <v/>
      </c>
    </row>
    <row r="7539" spans="6:6">
      <c r="F7539" t="str">
        <f t="shared" si="118"/>
        <v/>
      </c>
    </row>
    <row r="7540" spans="6:6">
      <c r="F7540" t="str">
        <f t="shared" si="118"/>
        <v/>
      </c>
    </row>
    <row r="7541" spans="6:6">
      <c r="F7541" t="str">
        <f t="shared" si="118"/>
        <v/>
      </c>
    </row>
    <row r="7542" spans="6:6">
      <c r="F7542" t="str">
        <f t="shared" si="118"/>
        <v/>
      </c>
    </row>
    <row r="7543" spans="6:6">
      <c r="F7543" t="str">
        <f t="shared" si="118"/>
        <v/>
      </c>
    </row>
    <row r="7544" spans="6:6">
      <c r="F7544" t="str">
        <f t="shared" si="118"/>
        <v/>
      </c>
    </row>
    <row r="7545" spans="6:6">
      <c r="F7545" t="str">
        <f t="shared" si="118"/>
        <v/>
      </c>
    </row>
    <row r="7546" spans="6:6">
      <c r="F7546" t="str">
        <f t="shared" si="118"/>
        <v/>
      </c>
    </row>
    <row r="7547" spans="6:6">
      <c r="F7547" t="str">
        <f t="shared" si="118"/>
        <v/>
      </c>
    </row>
    <row r="7548" spans="6:6">
      <c r="F7548" t="str">
        <f t="shared" si="118"/>
        <v/>
      </c>
    </row>
    <row r="7549" spans="6:6">
      <c r="F7549" t="str">
        <f t="shared" si="118"/>
        <v/>
      </c>
    </row>
    <row r="7550" spans="6:6">
      <c r="F7550" t="str">
        <f t="shared" si="118"/>
        <v/>
      </c>
    </row>
    <row r="7551" spans="6:6">
      <c r="F7551" t="str">
        <f t="shared" si="118"/>
        <v/>
      </c>
    </row>
    <row r="7552" spans="6:6">
      <c r="F7552" t="str">
        <f t="shared" si="118"/>
        <v/>
      </c>
    </row>
    <row r="7553" spans="6:6">
      <c r="F7553" t="str">
        <f t="shared" si="118"/>
        <v/>
      </c>
    </row>
    <row r="7554" spans="6:6">
      <c r="F7554" t="str">
        <f t="shared" si="118"/>
        <v/>
      </c>
    </row>
    <row r="7555" spans="6:6">
      <c r="F7555" t="str">
        <f t="shared" si="118"/>
        <v/>
      </c>
    </row>
    <row r="7556" spans="6:6">
      <c r="F7556" t="str">
        <f t="shared" si="118"/>
        <v/>
      </c>
    </row>
    <row r="7557" spans="6:6">
      <c r="F7557" t="str">
        <f t="shared" si="118"/>
        <v/>
      </c>
    </row>
    <row r="7558" spans="6:6">
      <c r="F7558" t="str">
        <f t="shared" si="118"/>
        <v/>
      </c>
    </row>
    <row r="7559" spans="6:6">
      <c r="F7559" t="str">
        <f t="shared" si="118"/>
        <v/>
      </c>
    </row>
    <row r="7560" spans="6:6">
      <c r="F7560" t="str">
        <f t="shared" si="118"/>
        <v/>
      </c>
    </row>
    <row r="7561" spans="6:6">
      <c r="F7561" t="str">
        <f t="shared" si="118"/>
        <v/>
      </c>
    </row>
    <row r="7562" spans="6:6">
      <c r="F7562" t="str">
        <f t="shared" si="118"/>
        <v/>
      </c>
    </row>
    <row r="7563" spans="6:6">
      <c r="F7563" t="str">
        <f t="shared" si="118"/>
        <v/>
      </c>
    </row>
    <row r="7564" spans="6:6">
      <c r="F7564" t="str">
        <f t="shared" si="118"/>
        <v/>
      </c>
    </row>
    <row r="7565" spans="6:6">
      <c r="F7565" t="str">
        <f t="shared" ref="F7565:F7628" si="119">RIGHT(D7565,2)</f>
        <v/>
      </c>
    </row>
    <row r="7566" spans="6:6">
      <c r="F7566" t="str">
        <f t="shared" si="119"/>
        <v/>
      </c>
    </row>
    <row r="7567" spans="6:6">
      <c r="F7567" t="str">
        <f t="shared" si="119"/>
        <v/>
      </c>
    </row>
    <row r="7568" spans="6:6">
      <c r="F7568" t="str">
        <f t="shared" si="119"/>
        <v/>
      </c>
    </row>
    <row r="7569" spans="6:6">
      <c r="F7569" t="str">
        <f t="shared" si="119"/>
        <v/>
      </c>
    </row>
    <row r="7570" spans="6:6">
      <c r="F7570" t="str">
        <f t="shared" si="119"/>
        <v/>
      </c>
    </row>
    <row r="7571" spans="6:6">
      <c r="F7571" t="str">
        <f t="shared" si="119"/>
        <v/>
      </c>
    </row>
    <row r="7572" spans="6:6">
      <c r="F7572" t="str">
        <f t="shared" si="119"/>
        <v/>
      </c>
    </row>
    <row r="7573" spans="6:6">
      <c r="F7573" t="str">
        <f t="shared" si="119"/>
        <v/>
      </c>
    </row>
    <row r="7574" spans="6:6">
      <c r="F7574" t="str">
        <f t="shared" si="119"/>
        <v/>
      </c>
    </row>
    <row r="7575" spans="6:6">
      <c r="F7575" t="str">
        <f t="shared" si="119"/>
        <v/>
      </c>
    </row>
    <row r="7576" spans="6:6">
      <c r="F7576" t="str">
        <f t="shared" si="119"/>
        <v/>
      </c>
    </row>
    <row r="7577" spans="6:6">
      <c r="F7577" t="str">
        <f t="shared" si="119"/>
        <v/>
      </c>
    </row>
    <row r="7578" spans="6:6">
      <c r="F7578" t="str">
        <f t="shared" si="119"/>
        <v/>
      </c>
    </row>
    <row r="7579" spans="6:6">
      <c r="F7579" t="str">
        <f t="shared" si="119"/>
        <v/>
      </c>
    </row>
    <row r="7580" spans="6:6">
      <c r="F7580" t="str">
        <f t="shared" si="119"/>
        <v/>
      </c>
    </row>
    <row r="7581" spans="6:6">
      <c r="F7581" t="str">
        <f t="shared" si="119"/>
        <v/>
      </c>
    </row>
    <row r="7582" spans="6:6">
      <c r="F7582" t="str">
        <f t="shared" si="119"/>
        <v/>
      </c>
    </row>
    <row r="7583" spans="6:6">
      <c r="F7583" t="str">
        <f t="shared" si="119"/>
        <v/>
      </c>
    </row>
    <row r="7584" spans="6:6">
      <c r="F7584" t="str">
        <f t="shared" si="119"/>
        <v/>
      </c>
    </row>
    <row r="7585" spans="6:6">
      <c r="F7585" t="str">
        <f t="shared" si="119"/>
        <v/>
      </c>
    </row>
    <row r="7586" spans="6:6">
      <c r="F7586" t="str">
        <f t="shared" si="119"/>
        <v/>
      </c>
    </row>
    <row r="7587" spans="6:6">
      <c r="F7587" t="str">
        <f t="shared" si="119"/>
        <v/>
      </c>
    </row>
    <row r="7588" spans="6:6">
      <c r="F7588" t="str">
        <f t="shared" si="119"/>
        <v/>
      </c>
    </row>
    <row r="7589" spans="6:6">
      <c r="F7589" t="str">
        <f t="shared" si="119"/>
        <v/>
      </c>
    </row>
    <row r="7590" spans="6:6">
      <c r="F7590" t="str">
        <f t="shared" si="119"/>
        <v/>
      </c>
    </row>
    <row r="7591" spans="6:6">
      <c r="F7591" t="str">
        <f t="shared" si="119"/>
        <v/>
      </c>
    </row>
    <row r="7592" spans="6:6">
      <c r="F7592" t="str">
        <f t="shared" si="119"/>
        <v/>
      </c>
    </row>
    <row r="7593" spans="6:6">
      <c r="F7593" t="str">
        <f t="shared" si="119"/>
        <v/>
      </c>
    </row>
    <row r="7594" spans="6:6">
      <c r="F7594" t="str">
        <f t="shared" si="119"/>
        <v/>
      </c>
    </row>
    <row r="7595" spans="6:6">
      <c r="F7595" t="str">
        <f t="shared" si="119"/>
        <v/>
      </c>
    </row>
    <row r="7596" spans="6:6">
      <c r="F7596" t="str">
        <f t="shared" si="119"/>
        <v/>
      </c>
    </row>
    <row r="7597" spans="6:6">
      <c r="F7597" t="str">
        <f t="shared" si="119"/>
        <v/>
      </c>
    </row>
    <row r="7598" spans="6:6">
      <c r="F7598" t="str">
        <f t="shared" si="119"/>
        <v/>
      </c>
    </row>
    <row r="7599" spans="6:6">
      <c r="F7599" t="str">
        <f t="shared" si="119"/>
        <v/>
      </c>
    </row>
    <row r="7600" spans="6:6">
      <c r="F7600" t="str">
        <f t="shared" si="119"/>
        <v/>
      </c>
    </row>
    <row r="7601" spans="6:6">
      <c r="F7601" t="str">
        <f t="shared" si="119"/>
        <v/>
      </c>
    </row>
    <row r="7602" spans="6:6">
      <c r="F7602" t="str">
        <f t="shared" si="119"/>
        <v/>
      </c>
    </row>
    <row r="7603" spans="6:6">
      <c r="F7603" t="str">
        <f t="shared" si="119"/>
        <v/>
      </c>
    </row>
    <row r="7604" spans="6:6">
      <c r="F7604" t="str">
        <f t="shared" si="119"/>
        <v/>
      </c>
    </row>
    <row r="7605" spans="6:6">
      <c r="F7605" t="str">
        <f t="shared" si="119"/>
        <v/>
      </c>
    </row>
    <row r="7606" spans="6:6">
      <c r="F7606" t="str">
        <f t="shared" si="119"/>
        <v/>
      </c>
    </row>
    <row r="7607" spans="6:6">
      <c r="F7607" t="str">
        <f t="shared" si="119"/>
        <v/>
      </c>
    </row>
    <row r="7608" spans="6:6">
      <c r="F7608" t="str">
        <f t="shared" si="119"/>
        <v/>
      </c>
    </row>
    <row r="7609" spans="6:6">
      <c r="F7609" t="str">
        <f t="shared" si="119"/>
        <v/>
      </c>
    </row>
    <row r="7610" spans="6:6">
      <c r="F7610" t="str">
        <f t="shared" si="119"/>
        <v/>
      </c>
    </row>
    <row r="7611" spans="6:6">
      <c r="F7611" t="str">
        <f t="shared" si="119"/>
        <v/>
      </c>
    </row>
    <row r="7612" spans="6:6">
      <c r="F7612" t="str">
        <f t="shared" si="119"/>
        <v/>
      </c>
    </row>
    <row r="7613" spans="6:6">
      <c r="F7613" t="str">
        <f t="shared" si="119"/>
        <v/>
      </c>
    </row>
    <row r="7614" spans="6:6">
      <c r="F7614" t="str">
        <f t="shared" si="119"/>
        <v/>
      </c>
    </row>
    <row r="7615" spans="6:6">
      <c r="F7615" t="str">
        <f t="shared" si="119"/>
        <v/>
      </c>
    </row>
    <row r="7616" spans="6:6">
      <c r="F7616" t="str">
        <f t="shared" si="119"/>
        <v/>
      </c>
    </row>
    <row r="7617" spans="6:6">
      <c r="F7617" t="str">
        <f t="shared" si="119"/>
        <v/>
      </c>
    </row>
    <row r="7618" spans="6:6">
      <c r="F7618" t="str">
        <f t="shared" si="119"/>
        <v/>
      </c>
    </row>
    <row r="7619" spans="6:6">
      <c r="F7619" t="str">
        <f t="shared" si="119"/>
        <v/>
      </c>
    </row>
    <row r="7620" spans="6:6">
      <c r="F7620" t="str">
        <f t="shared" si="119"/>
        <v/>
      </c>
    </row>
    <row r="7621" spans="6:6">
      <c r="F7621" t="str">
        <f t="shared" si="119"/>
        <v/>
      </c>
    </row>
    <row r="7622" spans="6:6">
      <c r="F7622" t="str">
        <f t="shared" si="119"/>
        <v/>
      </c>
    </row>
    <row r="7623" spans="6:6">
      <c r="F7623" t="str">
        <f t="shared" si="119"/>
        <v/>
      </c>
    </row>
    <row r="7624" spans="6:6">
      <c r="F7624" t="str">
        <f t="shared" si="119"/>
        <v/>
      </c>
    </row>
    <row r="7625" spans="6:6">
      <c r="F7625" t="str">
        <f t="shared" si="119"/>
        <v/>
      </c>
    </row>
    <row r="7626" spans="6:6">
      <c r="F7626" t="str">
        <f t="shared" si="119"/>
        <v/>
      </c>
    </row>
    <row r="7627" spans="6:6">
      <c r="F7627" t="str">
        <f t="shared" si="119"/>
        <v/>
      </c>
    </row>
    <row r="7628" spans="6:6">
      <c r="F7628" t="str">
        <f t="shared" si="119"/>
        <v/>
      </c>
    </row>
    <row r="7629" spans="6:6">
      <c r="F7629" t="str">
        <f t="shared" ref="F7629:F7632" si="120">RIGHT(D7629,2)</f>
        <v/>
      </c>
    </row>
    <row r="7630" spans="6:6">
      <c r="F7630" t="str">
        <f t="shared" si="120"/>
        <v/>
      </c>
    </row>
    <row r="7631" spans="6:6">
      <c r="F7631" t="str">
        <f t="shared" si="120"/>
        <v/>
      </c>
    </row>
    <row r="7632" spans="6:6">
      <c r="F7632" t="str">
        <f t="shared" si="120"/>
        <v/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Sales Summary</vt:lpstr>
      <vt:lpstr>All Item Detail</vt:lpstr>
      <vt:lpstr>Scorecard Aquasonic</vt:lpstr>
      <vt:lpstr>All Item Detail Data</vt:lpstr>
      <vt:lpstr>Last Week Data</vt:lpstr>
      <vt:lpstr>Luminate Sales Data</vt:lpstr>
      <vt:lpstr>Luminate Markdown</vt:lpstr>
      <vt:lpstr>Luminate Warehouse Inv</vt:lpstr>
      <vt:lpstr>Luminate Item Data</vt:lpstr>
      <vt:lpstr>Email Template</vt:lpstr>
      <vt:lpstr>Content Scores</vt:lpstr>
      <vt:lpstr>Luminate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Dunnaway, Jonas R.</dc:creator>
  <cp:lastModifiedBy>Kaden D. Helms</cp:lastModifiedBy>
  <cp:lastPrinted>2022-01-10T01:01:15Z</cp:lastPrinted>
  <dcterms:created xsi:type="dcterms:W3CDTF">2019-01-21T16:46:59Z</dcterms:created>
  <dcterms:modified xsi:type="dcterms:W3CDTF">2025-11-24T04:32:32Z</dcterms:modified>
</cp:coreProperties>
</file>