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manda Anderson\AquaSonic (Onyx)\"/>
    </mc:Choice>
  </mc:AlternateContent>
  <xr:revisionPtr revIDLastSave="0" documentId="13_ncr:1_{327A7032-03D0-429E-B8B6-70AB640A8645}" xr6:coauthVersionLast="47" xr6:coauthVersionMax="47" xr10:uidLastSave="{00000000-0000-0000-0000-000000000000}"/>
  <bookViews>
    <workbookView xWindow="-22785" yWindow="120" windowWidth="21600" windowHeight="11295" activeTab="2" xr2:uid="{0B10EAD2-72D8-7147-9671-EE23DB1FD745}"/>
  </bookViews>
  <sheets>
    <sheet name="SKU Info" sheetId="1" r:id="rId1"/>
    <sheet name="Core Shipments" sheetId="3" r:id="rId2"/>
    <sheet name="Sales TOTAL" sheetId="2" r:id="rId3"/>
    <sheet name="Sales (YEARLY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W86" i="2" l="1"/>
  <c r="IY86" i="2" s="1"/>
  <c r="IW74" i="2"/>
  <c r="JA74" i="2" s="1"/>
  <c r="IW84" i="2"/>
  <c r="JA84" i="2" s="1"/>
  <c r="IP87" i="2"/>
  <c r="IO77" i="2"/>
  <c r="IW64" i="2"/>
  <c r="JA64" i="2" s="1"/>
  <c r="IW65" i="2"/>
  <c r="IY65" i="2" s="1"/>
  <c r="IW66" i="2"/>
  <c r="IY66" i="2" s="1"/>
  <c r="IN87" i="2"/>
  <c r="IW62" i="2"/>
  <c r="JA62" i="2" s="1"/>
  <c r="IK77" i="2"/>
  <c r="IW85" i="2"/>
  <c r="JA85" i="2" s="1"/>
  <c r="IW76" i="2"/>
  <c r="JA76" i="2" s="1"/>
  <c r="IW72" i="2"/>
  <c r="JA72" i="2" s="1"/>
  <c r="II67" i="2"/>
  <c r="II87" i="2"/>
  <c r="IW75" i="2"/>
  <c r="JA75" i="2" s="1"/>
  <c r="IG67" i="2"/>
  <c r="IG87" i="2"/>
  <c r="IF67" i="2"/>
  <c r="ID67" i="2"/>
  <c r="IW73" i="2"/>
  <c r="IY73" i="2" s="1"/>
  <c r="IW61" i="2"/>
  <c r="IY61" i="2" s="1"/>
  <c r="IW70" i="2"/>
  <c r="IY70" i="2" s="1"/>
  <c r="IW81" i="2"/>
  <c r="JA81" i="2" s="1"/>
  <c r="IW83" i="2"/>
  <c r="JA83" i="2" s="1"/>
  <c r="IC87" i="2"/>
  <c r="IU87" i="2"/>
  <c r="IT87" i="2"/>
  <c r="IS87" i="2"/>
  <c r="IR87" i="2"/>
  <c r="IQ87" i="2"/>
  <c r="IM87" i="2"/>
  <c r="IL87" i="2"/>
  <c r="IK87" i="2"/>
  <c r="IJ87" i="2"/>
  <c r="IH87" i="2"/>
  <c r="IF87" i="2"/>
  <c r="IU77" i="2"/>
  <c r="IT77" i="2"/>
  <c r="IS77" i="2"/>
  <c r="IR77" i="2"/>
  <c r="IQ77" i="2"/>
  <c r="IP77" i="2"/>
  <c r="IN77" i="2"/>
  <c r="IM77" i="2"/>
  <c r="IL77" i="2"/>
  <c r="IH77" i="2"/>
  <c r="IE77" i="2"/>
  <c r="IU67" i="2"/>
  <c r="IT67" i="2"/>
  <c r="IS67" i="2"/>
  <c r="IR67" i="2"/>
  <c r="IQ67" i="2"/>
  <c r="IP67" i="2"/>
  <c r="IO67" i="2"/>
  <c r="IN67" i="2"/>
  <c r="IM67" i="2"/>
  <c r="IL67" i="2"/>
  <c r="IE67" i="2"/>
  <c r="IW71" i="2"/>
  <c r="JA71" i="2" s="1"/>
  <c r="IW63" i="2"/>
  <c r="IY63" i="2" s="1"/>
  <c r="IW60" i="2"/>
  <c r="AB65" i="4"/>
  <c r="AF65" i="4" s="1"/>
  <c r="HX67" i="2"/>
  <c r="HW67" i="2"/>
  <c r="IY60" i="2"/>
  <c r="HX87" i="2"/>
  <c r="HW87" i="2"/>
  <c r="IB67" i="2"/>
  <c r="IA67" i="2"/>
  <c r="HZ67" i="2"/>
  <c r="IB87" i="2"/>
  <c r="IA87" i="2"/>
  <c r="HZ87" i="2"/>
  <c r="HY87" i="2"/>
  <c r="HY67" i="2"/>
  <c r="ID87" i="2"/>
  <c r="ID77" i="2"/>
  <c r="IC77" i="2"/>
  <c r="IB77" i="2"/>
  <c r="IA77" i="2"/>
  <c r="HZ77" i="2"/>
  <c r="HY77" i="2"/>
  <c r="IC67" i="2"/>
  <c r="CM3" i="3"/>
  <c r="CM4" i="3"/>
  <c r="CM5" i="3"/>
  <c r="CN5" i="3" s="1"/>
  <c r="CM6" i="3"/>
  <c r="CN6" i="3" s="1"/>
  <c r="CM7" i="3"/>
  <c r="CN7" i="3" s="1"/>
  <c r="CM8" i="3"/>
  <c r="CN8" i="3" s="1"/>
  <c r="CM9" i="3"/>
  <c r="CN9" i="3" s="1"/>
  <c r="CM2" i="3"/>
  <c r="CG10" i="3"/>
  <c r="CH10" i="3"/>
  <c r="CI10" i="3"/>
  <c r="CJ10" i="3"/>
  <c r="AB62" i="4"/>
  <c r="AF62" i="4" s="1"/>
  <c r="AB63" i="4"/>
  <c r="AF63" i="4" s="1"/>
  <c r="AB64" i="4"/>
  <c r="AD64" i="4" s="1"/>
  <c r="AB67" i="4"/>
  <c r="AB4" i="4"/>
  <c r="AF4" i="4" s="1"/>
  <c r="AB5" i="4"/>
  <c r="AD5" i="4" s="1"/>
  <c r="AB6" i="4"/>
  <c r="AF6" i="4" s="1"/>
  <c r="AB7" i="4"/>
  <c r="AF7" i="4" s="1"/>
  <c r="AB8" i="4"/>
  <c r="AF8" i="4" s="1"/>
  <c r="AB9" i="4"/>
  <c r="AF9" i="4" s="1"/>
  <c r="AB10" i="4"/>
  <c r="AD10" i="4" s="1"/>
  <c r="AB11" i="4"/>
  <c r="AF11" i="4" s="1"/>
  <c r="AB12" i="4"/>
  <c r="AB13" i="4"/>
  <c r="AB14" i="4"/>
  <c r="AB15" i="4"/>
  <c r="AD15" i="4" s="1"/>
  <c r="AB16" i="4"/>
  <c r="AF16" i="4" s="1"/>
  <c r="AB17" i="4"/>
  <c r="AD17" i="4" s="1"/>
  <c r="AB18" i="4"/>
  <c r="AD18" i="4" s="1"/>
  <c r="AB19" i="4"/>
  <c r="AF19" i="4" s="1"/>
  <c r="AB20" i="4"/>
  <c r="AF20" i="4" s="1"/>
  <c r="AB21" i="4"/>
  <c r="AD21" i="4" s="1"/>
  <c r="AB22" i="4"/>
  <c r="AF22" i="4" s="1"/>
  <c r="AB23" i="4"/>
  <c r="AF23" i="4" s="1"/>
  <c r="AB24" i="4"/>
  <c r="AF24" i="4" s="1"/>
  <c r="AB25" i="4"/>
  <c r="AD25" i="4" s="1"/>
  <c r="AB26" i="4"/>
  <c r="AD26" i="4" s="1"/>
  <c r="AB27" i="4"/>
  <c r="AF27" i="4" s="1"/>
  <c r="AB28" i="4"/>
  <c r="AB29" i="4"/>
  <c r="AF29" i="4" s="1"/>
  <c r="AB30" i="4"/>
  <c r="AB31" i="4"/>
  <c r="AB32" i="4"/>
  <c r="AD32" i="4" s="1"/>
  <c r="AB33" i="4"/>
  <c r="AF33" i="4" s="1"/>
  <c r="AB34" i="4"/>
  <c r="AD34" i="4" s="1"/>
  <c r="AB35" i="4"/>
  <c r="AF35" i="4" s="1"/>
  <c r="AB36" i="4"/>
  <c r="AD36" i="4" s="1"/>
  <c r="AB37" i="4"/>
  <c r="AF37" i="4" s="1"/>
  <c r="AB38" i="4"/>
  <c r="AF38" i="4" s="1"/>
  <c r="AB39" i="4"/>
  <c r="AF39" i="4" s="1"/>
  <c r="AB40" i="4"/>
  <c r="AD40" i="4" s="1"/>
  <c r="AB41" i="4"/>
  <c r="AD41" i="4" s="1"/>
  <c r="AB42" i="4"/>
  <c r="AD42" i="4" s="1"/>
  <c r="AB43" i="4"/>
  <c r="AF43" i="4" s="1"/>
  <c r="AB44" i="4"/>
  <c r="AD44" i="4" s="1"/>
  <c r="AB45" i="4"/>
  <c r="AD45" i="4" s="1"/>
  <c r="AB46" i="4"/>
  <c r="AF46" i="4" s="1"/>
  <c r="AB47" i="4"/>
  <c r="AD47" i="4" s="1"/>
  <c r="AB48" i="4"/>
  <c r="AD48" i="4" s="1"/>
  <c r="AB49" i="4"/>
  <c r="AF49" i="4" s="1"/>
  <c r="AB50" i="4"/>
  <c r="AB51" i="4"/>
  <c r="AF51" i="4" s="1"/>
  <c r="AB52" i="4"/>
  <c r="AD52" i="4" s="1"/>
  <c r="AB53" i="4"/>
  <c r="AF53" i="4" s="1"/>
  <c r="AB54" i="4"/>
  <c r="AF54" i="4" s="1"/>
  <c r="AB55" i="4"/>
  <c r="AF55" i="4" s="1"/>
  <c r="AB56" i="4"/>
  <c r="AD56" i="4" s="1"/>
  <c r="AB3" i="4"/>
  <c r="AF3" i="4" s="1"/>
  <c r="IW3" i="2"/>
  <c r="IW4" i="2"/>
  <c r="IW5" i="2"/>
  <c r="IW6" i="2"/>
  <c r="JA6" i="2" s="1"/>
  <c r="IW7" i="2"/>
  <c r="IW8" i="2"/>
  <c r="IY8" i="2" s="1"/>
  <c r="IW9" i="2"/>
  <c r="IY9" i="2" s="1"/>
  <c r="IW10" i="2"/>
  <c r="JA10" i="2" s="1"/>
  <c r="IW11" i="2"/>
  <c r="JA11" i="2" s="1"/>
  <c r="IW12" i="2"/>
  <c r="JA12" i="2" s="1"/>
  <c r="IW13" i="2"/>
  <c r="IY13" i="2" s="1"/>
  <c r="IW14" i="2"/>
  <c r="JA14" i="2" s="1"/>
  <c r="IW15" i="2"/>
  <c r="IY15" i="2" s="1"/>
  <c r="IW16" i="2"/>
  <c r="IY16" i="2" s="1"/>
  <c r="IW17" i="2"/>
  <c r="IW18" i="2"/>
  <c r="IW19" i="2"/>
  <c r="IW20" i="2"/>
  <c r="IW21" i="2"/>
  <c r="IW22" i="2"/>
  <c r="IW23" i="2"/>
  <c r="IW24" i="2"/>
  <c r="IY24" i="2" s="1"/>
  <c r="IW25" i="2"/>
  <c r="IY25" i="2" s="1"/>
  <c r="IW26" i="2"/>
  <c r="IY26" i="2" s="1"/>
  <c r="IW27" i="2"/>
  <c r="JA27" i="2" s="1"/>
  <c r="IW28" i="2"/>
  <c r="JA28" i="2" s="1"/>
  <c r="IW29" i="2"/>
  <c r="IY29" i="2" s="1"/>
  <c r="IW30" i="2"/>
  <c r="IY30" i="2" s="1"/>
  <c r="IW31" i="2"/>
  <c r="IY31" i="2" s="1"/>
  <c r="IW32" i="2"/>
  <c r="IY32" i="2" s="1"/>
  <c r="IW33" i="2"/>
  <c r="IW34" i="2"/>
  <c r="IW35" i="2"/>
  <c r="IW36" i="2"/>
  <c r="IY36" i="2" s="1"/>
  <c r="IW37" i="2"/>
  <c r="IW38" i="2"/>
  <c r="IY38" i="2" s="1"/>
  <c r="IW39" i="2"/>
  <c r="IY39" i="2" s="1"/>
  <c r="IW40" i="2"/>
  <c r="IY40" i="2" s="1"/>
  <c r="IW41" i="2"/>
  <c r="IY41" i="2" s="1"/>
  <c r="IW42" i="2"/>
  <c r="JA42" i="2" s="1"/>
  <c r="IW43" i="2"/>
  <c r="IY43" i="2" s="1"/>
  <c r="IW44" i="2"/>
  <c r="IY44" i="2" s="1"/>
  <c r="IW45" i="2"/>
  <c r="IY45" i="2" s="1"/>
  <c r="IW46" i="2"/>
  <c r="IY46" i="2" s="1"/>
  <c r="IW47" i="2"/>
  <c r="JA47" i="2" s="1"/>
  <c r="IW48" i="2"/>
  <c r="JA48" i="2" s="1"/>
  <c r="IW49" i="2"/>
  <c r="IW50" i="2"/>
  <c r="IW51" i="2"/>
  <c r="IY51" i="2" s="1"/>
  <c r="IW52" i="2"/>
  <c r="IY52" i="2" s="1"/>
  <c r="IW53" i="2"/>
  <c r="IW54" i="2"/>
  <c r="IY54" i="2" s="1"/>
  <c r="IW55" i="2"/>
  <c r="IY55" i="2" s="1"/>
  <c r="IW2" i="2"/>
  <c r="JA2" i="2" s="1"/>
  <c r="HR56" i="2"/>
  <c r="HS56" i="2"/>
  <c r="HT56" i="2"/>
  <c r="HU56" i="2"/>
  <c r="HV56" i="2"/>
  <c r="HW56" i="2"/>
  <c r="HX56" i="2"/>
  <c r="HR67" i="2"/>
  <c r="HS67" i="2"/>
  <c r="HT67" i="2"/>
  <c r="HU67" i="2"/>
  <c r="HR77" i="2"/>
  <c r="HS77" i="2"/>
  <c r="HT77" i="2"/>
  <c r="HU77" i="2"/>
  <c r="HV77" i="2"/>
  <c r="HW77" i="2"/>
  <c r="HX77" i="2"/>
  <c r="HR87" i="2"/>
  <c r="HS87" i="2"/>
  <c r="HT87" i="2"/>
  <c r="HU87" i="2"/>
  <c r="HV87" i="2"/>
  <c r="CN4" i="3"/>
  <c r="CD10" i="3"/>
  <c r="CE10" i="3"/>
  <c r="CF10" i="3"/>
  <c r="V67" i="4"/>
  <c r="Z67" i="4" s="1"/>
  <c r="P67" i="4"/>
  <c r="T67" i="4" s="1"/>
  <c r="F67" i="4"/>
  <c r="J67" i="4"/>
  <c r="N67" i="4" s="1"/>
  <c r="H67" i="4"/>
  <c r="D68" i="4"/>
  <c r="HF67" i="2"/>
  <c r="HG67" i="2"/>
  <c r="HH67" i="2"/>
  <c r="HI67" i="2"/>
  <c r="HJ67" i="2"/>
  <c r="HK67" i="2"/>
  <c r="HL67" i="2"/>
  <c r="HM67" i="2"/>
  <c r="HN67" i="2"/>
  <c r="HO67" i="2"/>
  <c r="HP67" i="2"/>
  <c r="HQ67" i="2"/>
  <c r="HE67" i="2"/>
  <c r="HF77" i="2"/>
  <c r="HG77" i="2"/>
  <c r="HH77" i="2"/>
  <c r="HI77" i="2"/>
  <c r="HJ77" i="2"/>
  <c r="HK77" i="2"/>
  <c r="HL77" i="2"/>
  <c r="HM77" i="2"/>
  <c r="HN77" i="2"/>
  <c r="HO77" i="2"/>
  <c r="HP77" i="2"/>
  <c r="HQ77" i="2"/>
  <c r="HE77" i="2"/>
  <c r="HF87" i="2"/>
  <c r="HG87" i="2"/>
  <c r="HH87" i="2"/>
  <c r="HI87" i="2"/>
  <c r="HJ87" i="2"/>
  <c r="HK87" i="2"/>
  <c r="HL87" i="2"/>
  <c r="HM87" i="2"/>
  <c r="HN87" i="2"/>
  <c r="HO87" i="2"/>
  <c r="HP87" i="2"/>
  <c r="HQ87" i="2"/>
  <c r="HE87" i="2"/>
  <c r="BZ10" i="3"/>
  <c r="CA10" i="3"/>
  <c r="CB10" i="3"/>
  <c r="CC10" i="3"/>
  <c r="BX10" i="3"/>
  <c r="BY10" i="3"/>
  <c r="BW10" i="3"/>
  <c r="CN2" i="3"/>
  <c r="BV10" i="3"/>
  <c r="AF12" i="4"/>
  <c r="AD13" i="4"/>
  <c r="AF14" i="4"/>
  <c r="AF28" i="4"/>
  <c r="AF30" i="4"/>
  <c r="AF31" i="4"/>
  <c r="JA3" i="2"/>
  <c r="IY4" i="2"/>
  <c r="IY5" i="2"/>
  <c r="IY17" i="2"/>
  <c r="JA18" i="2"/>
  <c r="IY19" i="2"/>
  <c r="IY20" i="2"/>
  <c r="IY21" i="2"/>
  <c r="IY22" i="2"/>
  <c r="IY33" i="2"/>
  <c r="IY34" i="2"/>
  <c r="JA35" i="2"/>
  <c r="IY37" i="2"/>
  <c r="IY49" i="2"/>
  <c r="IY50" i="2"/>
  <c r="IY53" i="2"/>
  <c r="GV87" i="2"/>
  <c r="GW87" i="2"/>
  <c r="GX87" i="2"/>
  <c r="GY87" i="2"/>
  <c r="GZ87" i="2"/>
  <c r="HA87" i="2"/>
  <c r="HB87" i="2"/>
  <c r="HC87" i="2"/>
  <c r="HD87" i="2"/>
  <c r="GV77" i="2"/>
  <c r="GW77" i="2"/>
  <c r="GX77" i="2"/>
  <c r="GY77" i="2"/>
  <c r="GZ77" i="2"/>
  <c r="HA77" i="2"/>
  <c r="HB77" i="2"/>
  <c r="HC77" i="2"/>
  <c r="HD77" i="2"/>
  <c r="GV67" i="2"/>
  <c r="GW67" i="2"/>
  <c r="GX67" i="2"/>
  <c r="GY67" i="2"/>
  <c r="GZ67" i="2"/>
  <c r="HA67" i="2"/>
  <c r="HB67" i="2"/>
  <c r="HC67" i="2"/>
  <c r="HD67" i="2"/>
  <c r="GV56" i="2"/>
  <c r="GW56" i="2"/>
  <c r="GX56" i="2"/>
  <c r="GY56" i="2"/>
  <c r="GZ56" i="2"/>
  <c r="HA56" i="2"/>
  <c r="HB56" i="2"/>
  <c r="HC56" i="2"/>
  <c r="HD56" i="2"/>
  <c r="HE56" i="2"/>
  <c r="HF56" i="2"/>
  <c r="HG56" i="2"/>
  <c r="HH56" i="2"/>
  <c r="HI56" i="2"/>
  <c r="HJ56" i="2"/>
  <c r="HK56" i="2"/>
  <c r="HL56" i="2"/>
  <c r="HM56" i="2"/>
  <c r="HN56" i="2"/>
  <c r="HO56" i="2"/>
  <c r="HP56" i="2"/>
  <c r="HQ56" i="2"/>
  <c r="GU67" i="2"/>
  <c r="GU77" i="2"/>
  <c r="GU87" i="2"/>
  <c r="IY7" i="2"/>
  <c r="IY23" i="2"/>
  <c r="GU56" i="2"/>
  <c r="CN3" i="3"/>
  <c r="BS10" i="3"/>
  <c r="BT10" i="3"/>
  <c r="BU10" i="3"/>
  <c r="BR10" i="3"/>
  <c r="GT87" i="2"/>
  <c r="GS87" i="2"/>
  <c r="GR87" i="2"/>
  <c r="GQ87" i="2"/>
  <c r="GP87" i="2"/>
  <c r="GO87" i="2"/>
  <c r="GN87" i="2"/>
  <c r="GM87" i="2"/>
  <c r="GL87" i="2"/>
  <c r="GK87" i="2"/>
  <c r="GJ87" i="2"/>
  <c r="GI87" i="2"/>
  <c r="GH87" i="2"/>
  <c r="GG87" i="2"/>
  <c r="GF87" i="2"/>
  <c r="GE87" i="2"/>
  <c r="GD87" i="2"/>
  <c r="GC87" i="2"/>
  <c r="GB87" i="2"/>
  <c r="GA87" i="2"/>
  <c r="FZ87" i="2"/>
  <c r="FY87" i="2"/>
  <c r="FX87" i="2"/>
  <c r="FW87" i="2"/>
  <c r="FV87" i="2"/>
  <c r="FU87" i="2"/>
  <c r="FT87" i="2"/>
  <c r="FS87" i="2"/>
  <c r="FR87" i="2"/>
  <c r="FQ87" i="2"/>
  <c r="FP87" i="2"/>
  <c r="FO87" i="2"/>
  <c r="FN87" i="2"/>
  <c r="FM87" i="2"/>
  <c r="FL87" i="2"/>
  <c r="FK87" i="2"/>
  <c r="FJ87" i="2"/>
  <c r="FI87" i="2"/>
  <c r="FH87" i="2"/>
  <c r="FG87" i="2"/>
  <c r="FF87" i="2"/>
  <c r="FE87" i="2"/>
  <c r="FD87" i="2"/>
  <c r="FC87" i="2"/>
  <c r="FB87" i="2"/>
  <c r="FA87" i="2"/>
  <c r="EZ87" i="2"/>
  <c r="EY87" i="2"/>
  <c r="EX87" i="2"/>
  <c r="EW87" i="2"/>
  <c r="EV87" i="2"/>
  <c r="EU87" i="2"/>
  <c r="ET87" i="2"/>
  <c r="ES87" i="2"/>
  <c r="ER87" i="2"/>
  <c r="EQ87" i="2"/>
  <c r="EP87" i="2"/>
  <c r="EO87" i="2"/>
  <c r="EN87" i="2"/>
  <c r="EM87" i="2"/>
  <c r="EL87" i="2"/>
  <c r="EK87" i="2"/>
  <c r="EJ87" i="2"/>
  <c r="EI87" i="2"/>
  <c r="EH87" i="2"/>
  <c r="EG87" i="2"/>
  <c r="EF87" i="2"/>
  <c r="EE87" i="2"/>
  <c r="ED87" i="2"/>
  <c r="EC87" i="2"/>
  <c r="EB87" i="2"/>
  <c r="EA87" i="2"/>
  <c r="DZ87" i="2"/>
  <c r="DY87" i="2"/>
  <c r="DX87" i="2"/>
  <c r="DW87" i="2"/>
  <c r="DV87" i="2"/>
  <c r="DU87" i="2"/>
  <c r="DT87" i="2"/>
  <c r="DS87" i="2"/>
  <c r="DR87" i="2"/>
  <c r="DQ87" i="2"/>
  <c r="DP87" i="2"/>
  <c r="DO87" i="2"/>
  <c r="DN87" i="2"/>
  <c r="DM87" i="2"/>
  <c r="DL87" i="2"/>
  <c r="DK87" i="2"/>
  <c r="DJ87" i="2"/>
  <c r="DI87" i="2"/>
  <c r="DH87" i="2"/>
  <c r="DG87" i="2"/>
  <c r="DF87" i="2"/>
  <c r="DE87" i="2"/>
  <c r="DD87" i="2"/>
  <c r="DC87" i="2"/>
  <c r="DB87" i="2"/>
  <c r="DA87" i="2"/>
  <c r="CZ87" i="2"/>
  <c r="CY87" i="2"/>
  <c r="CX87" i="2"/>
  <c r="CW87" i="2"/>
  <c r="CV87" i="2"/>
  <c r="CU87" i="2"/>
  <c r="CT87" i="2"/>
  <c r="CS87" i="2"/>
  <c r="CR87" i="2"/>
  <c r="CQ87" i="2"/>
  <c r="CP87" i="2"/>
  <c r="CO87" i="2"/>
  <c r="CN87" i="2"/>
  <c r="CM87" i="2"/>
  <c r="CL87" i="2"/>
  <c r="CK87" i="2"/>
  <c r="CJ87" i="2"/>
  <c r="CI87" i="2"/>
  <c r="CH87" i="2"/>
  <c r="GT77" i="2"/>
  <c r="GS77" i="2"/>
  <c r="GR77" i="2"/>
  <c r="GQ77" i="2"/>
  <c r="GP77" i="2"/>
  <c r="GO77" i="2"/>
  <c r="GN77" i="2"/>
  <c r="GM77" i="2"/>
  <c r="GL77" i="2"/>
  <c r="GK77" i="2"/>
  <c r="GJ77" i="2"/>
  <c r="GI77" i="2"/>
  <c r="GH77" i="2"/>
  <c r="GG77" i="2"/>
  <c r="GF77" i="2"/>
  <c r="GE77" i="2"/>
  <c r="GD77" i="2"/>
  <c r="GC77" i="2"/>
  <c r="GB77" i="2"/>
  <c r="GA77" i="2"/>
  <c r="FZ77" i="2"/>
  <c r="FY77" i="2"/>
  <c r="FX77" i="2"/>
  <c r="FW77" i="2"/>
  <c r="FV77" i="2"/>
  <c r="FU77" i="2"/>
  <c r="FT77" i="2"/>
  <c r="FS77" i="2"/>
  <c r="FR77" i="2"/>
  <c r="FQ77" i="2"/>
  <c r="FP77" i="2"/>
  <c r="FO77" i="2"/>
  <c r="FN77" i="2"/>
  <c r="FM77" i="2"/>
  <c r="FL77" i="2"/>
  <c r="FK77" i="2"/>
  <c r="FJ77" i="2"/>
  <c r="FI77" i="2"/>
  <c r="FH77" i="2"/>
  <c r="FG77" i="2"/>
  <c r="FF77" i="2"/>
  <c r="FE77" i="2"/>
  <c r="FD77" i="2"/>
  <c r="FC77" i="2"/>
  <c r="FB77" i="2"/>
  <c r="FA77" i="2"/>
  <c r="EZ77" i="2"/>
  <c r="EY77" i="2"/>
  <c r="EX77" i="2"/>
  <c r="EW77" i="2"/>
  <c r="EV77" i="2"/>
  <c r="EU77" i="2"/>
  <c r="ET77" i="2"/>
  <c r="ES77" i="2"/>
  <c r="ER77" i="2"/>
  <c r="EQ77" i="2"/>
  <c r="EP77" i="2"/>
  <c r="EO77" i="2"/>
  <c r="EN77" i="2"/>
  <c r="EM77" i="2"/>
  <c r="EL77" i="2"/>
  <c r="EK77" i="2"/>
  <c r="EJ77" i="2"/>
  <c r="EI77" i="2"/>
  <c r="EH77" i="2"/>
  <c r="EG77" i="2"/>
  <c r="EF77" i="2"/>
  <c r="EE77" i="2"/>
  <c r="ED77" i="2"/>
  <c r="EC77" i="2"/>
  <c r="EB77" i="2"/>
  <c r="EA77" i="2"/>
  <c r="DZ77" i="2"/>
  <c r="DY77" i="2"/>
  <c r="DX77" i="2"/>
  <c r="DW77" i="2"/>
  <c r="DV77" i="2"/>
  <c r="DU77" i="2"/>
  <c r="DT77" i="2"/>
  <c r="DS77" i="2"/>
  <c r="DR77" i="2"/>
  <c r="DQ77" i="2"/>
  <c r="DP77" i="2"/>
  <c r="DO77" i="2"/>
  <c r="DN77" i="2"/>
  <c r="DM77" i="2"/>
  <c r="DL77" i="2"/>
  <c r="DK77" i="2"/>
  <c r="DJ77" i="2"/>
  <c r="DI77" i="2"/>
  <c r="DH77" i="2"/>
  <c r="DG77" i="2"/>
  <c r="DF77" i="2"/>
  <c r="DE77" i="2"/>
  <c r="DD77" i="2"/>
  <c r="DC77" i="2"/>
  <c r="DB77" i="2"/>
  <c r="DA77" i="2"/>
  <c r="CZ77" i="2"/>
  <c r="CY77" i="2"/>
  <c r="CX77" i="2"/>
  <c r="CW77" i="2"/>
  <c r="CV77" i="2"/>
  <c r="CU77" i="2"/>
  <c r="CT77" i="2"/>
  <c r="CS77" i="2"/>
  <c r="CR77" i="2"/>
  <c r="CQ77" i="2"/>
  <c r="CP77" i="2"/>
  <c r="CO77" i="2"/>
  <c r="CN77" i="2"/>
  <c r="CM77" i="2"/>
  <c r="CL77" i="2"/>
  <c r="CK77" i="2"/>
  <c r="CJ77" i="2"/>
  <c r="CI77" i="2"/>
  <c r="CH77" i="2"/>
  <c r="V62" i="4"/>
  <c r="Z62" i="4" s="1"/>
  <c r="V63" i="4"/>
  <c r="V64" i="4"/>
  <c r="Z64" i="4" s="1"/>
  <c r="V65" i="4"/>
  <c r="Z65" i="4" s="1"/>
  <c r="V66" i="4"/>
  <c r="Z66" i="4" s="1"/>
  <c r="V61" i="4"/>
  <c r="V4" i="4"/>
  <c r="Z4" i="4" s="1"/>
  <c r="V5" i="4"/>
  <c r="X5" i="4" s="1"/>
  <c r="V6" i="4"/>
  <c r="Z6" i="4" s="1"/>
  <c r="V7" i="4"/>
  <c r="X7" i="4" s="1"/>
  <c r="V8" i="4"/>
  <c r="Z8" i="4" s="1"/>
  <c r="V9" i="4"/>
  <c r="X9" i="4" s="1"/>
  <c r="V10" i="4"/>
  <c r="X10" i="4" s="1"/>
  <c r="V11" i="4"/>
  <c r="X11" i="4" s="1"/>
  <c r="V12" i="4"/>
  <c r="Z12" i="4" s="1"/>
  <c r="V13" i="4"/>
  <c r="Z13" i="4" s="1"/>
  <c r="V14" i="4"/>
  <c r="Z14" i="4" s="1"/>
  <c r="V15" i="4"/>
  <c r="Z15" i="4" s="1"/>
  <c r="V16" i="4"/>
  <c r="Z16" i="4" s="1"/>
  <c r="V17" i="4"/>
  <c r="Z17" i="4" s="1"/>
  <c r="V18" i="4"/>
  <c r="X18" i="4" s="1"/>
  <c r="V19" i="4"/>
  <c r="Z19" i="4" s="1"/>
  <c r="V20" i="4"/>
  <c r="Z20" i="4" s="1"/>
  <c r="V21" i="4"/>
  <c r="X21" i="4" s="1"/>
  <c r="V22" i="4"/>
  <c r="Z22" i="4" s="1"/>
  <c r="V23" i="4"/>
  <c r="Z23" i="4" s="1"/>
  <c r="V24" i="4"/>
  <c r="Z24" i="4" s="1"/>
  <c r="V25" i="4"/>
  <c r="X25" i="4" s="1"/>
  <c r="V26" i="4"/>
  <c r="Z26" i="4" s="1"/>
  <c r="V27" i="4"/>
  <c r="Z27" i="4" s="1"/>
  <c r="V28" i="4"/>
  <c r="Z28" i="4" s="1"/>
  <c r="V29" i="4"/>
  <c r="X29" i="4" s="1"/>
  <c r="V30" i="4"/>
  <c r="Z30" i="4" s="1"/>
  <c r="V31" i="4"/>
  <c r="Z31" i="4" s="1"/>
  <c r="V32" i="4"/>
  <c r="Z32" i="4" s="1"/>
  <c r="V33" i="4"/>
  <c r="X33" i="4" s="1"/>
  <c r="V34" i="4"/>
  <c r="X34" i="4" s="1"/>
  <c r="V35" i="4"/>
  <c r="Z35" i="4" s="1"/>
  <c r="V36" i="4"/>
  <c r="X36" i="4" s="1"/>
  <c r="V37" i="4"/>
  <c r="Z37" i="4" s="1"/>
  <c r="V38" i="4"/>
  <c r="Z38" i="4" s="1"/>
  <c r="V39" i="4"/>
  <c r="X39" i="4" s="1"/>
  <c r="V40" i="4"/>
  <c r="Z40" i="4" s="1"/>
  <c r="V41" i="4"/>
  <c r="X41" i="4" s="1"/>
  <c r="V42" i="4"/>
  <c r="Z42" i="4" s="1"/>
  <c r="V43" i="4"/>
  <c r="Z43" i="4" s="1"/>
  <c r="V44" i="4"/>
  <c r="X44" i="4" s="1"/>
  <c r="V45" i="4"/>
  <c r="X45" i="4" s="1"/>
  <c r="V46" i="4"/>
  <c r="Z46" i="4" s="1"/>
  <c r="V47" i="4"/>
  <c r="Z47" i="4" s="1"/>
  <c r="V48" i="4"/>
  <c r="Z48" i="4" s="1"/>
  <c r="V49" i="4"/>
  <c r="X49" i="4" s="1"/>
  <c r="V50" i="4"/>
  <c r="X50" i="4" s="1"/>
  <c r="V51" i="4"/>
  <c r="Z51" i="4" s="1"/>
  <c r="V52" i="4"/>
  <c r="Z52" i="4" s="1"/>
  <c r="V53" i="4"/>
  <c r="Z53" i="4" s="1"/>
  <c r="V54" i="4"/>
  <c r="Z54" i="4" s="1"/>
  <c r="V55" i="4"/>
  <c r="Z55" i="4" s="1"/>
  <c r="V56" i="4"/>
  <c r="Z56" i="4" s="1"/>
  <c r="V3" i="4"/>
  <c r="GJ67" i="2"/>
  <c r="GK67" i="2"/>
  <c r="GL67" i="2"/>
  <c r="GM67" i="2"/>
  <c r="GN67" i="2"/>
  <c r="GO67" i="2"/>
  <c r="GP67" i="2"/>
  <c r="GQ67" i="2"/>
  <c r="GR67" i="2"/>
  <c r="GS67" i="2"/>
  <c r="GT67" i="2"/>
  <c r="GJ56" i="2"/>
  <c r="GK56" i="2"/>
  <c r="GL56" i="2"/>
  <c r="GM56" i="2"/>
  <c r="GN56" i="2"/>
  <c r="GO56" i="2"/>
  <c r="GP56" i="2"/>
  <c r="GQ56" i="2"/>
  <c r="GR56" i="2"/>
  <c r="GS56" i="2"/>
  <c r="GT56" i="2"/>
  <c r="P4" i="4"/>
  <c r="R4" i="4" s="1"/>
  <c r="P5" i="4"/>
  <c r="T5" i="4" s="1"/>
  <c r="P6" i="4"/>
  <c r="T6" i="4" s="1"/>
  <c r="P7" i="4"/>
  <c r="T7" i="4" s="1"/>
  <c r="P8" i="4"/>
  <c r="T8" i="4" s="1"/>
  <c r="P9" i="4"/>
  <c r="T9" i="4" s="1"/>
  <c r="P10" i="4"/>
  <c r="R10" i="4" s="1"/>
  <c r="P11" i="4"/>
  <c r="T11" i="4" s="1"/>
  <c r="P12" i="4"/>
  <c r="R12" i="4" s="1"/>
  <c r="P13" i="4"/>
  <c r="T13" i="4" s="1"/>
  <c r="P14" i="4"/>
  <c r="R14" i="4" s="1"/>
  <c r="P15" i="4"/>
  <c r="T15" i="4" s="1"/>
  <c r="P16" i="4"/>
  <c r="T16" i="4" s="1"/>
  <c r="P17" i="4"/>
  <c r="T17" i="4" s="1"/>
  <c r="P18" i="4"/>
  <c r="R18" i="4" s="1"/>
  <c r="P19" i="4"/>
  <c r="T19" i="4" s="1"/>
  <c r="P20" i="4"/>
  <c r="T20" i="4" s="1"/>
  <c r="P21" i="4"/>
  <c r="T21" i="4" s="1"/>
  <c r="P22" i="4"/>
  <c r="T22" i="4" s="1"/>
  <c r="P23" i="4"/>
  <c r="T23" i="4" s="1"/>
  <c r="P24" i="4"/>
  <c r="T24" i="4" s="1"/>
  <c r="P25" i="4"/>
  <c r="T25" i="4" s="1"/>
  <c r="P26" i="4"/>
  <c r="R26" i="4" s="1"/>
  <c r="P27" i="4"/>
  <c r="T27" i="4" s="1"/>
  <c r="P28" i="4"/>
  <c r="T28" i="4" s="1"/>
  <c r="P29" i="4"/>
  <c r="T29" i="4" s="1"/>
  <c r="P30" i="4"/>
  <c r="R30" i="4" s="1"/>
  <c r="P31" i="4"/>
  <c r="T31" i="4" s="1"/>
  <c r="P32" i="4"/>
  <c r="T32" i="4" s="1"/>
  <c r="P33" i="4"/>
  <c r="T33" i="4" s="1"/>
  <c r="P34" i="4"/>
  <c r="R34" i="4" s="1"/>
  <c r="P35" i="4"/>
  <c r="T35" i="4" s="1"/>
  <c r="P36" i="4"/>
  <c r="R36" i="4" s="1"/>
  <c r="P37" i="4"/>
  <c r="T37" i="4" s="1"/>
  <c r="P38" i="4"/>
  <c r="T38" i="4" s="1"/>
  <c r="P39" i="4"/>
  <c r="T39" i="4" s="1"/>
  <c r="P40" i="4"/>
  <c r="T40" i="4" s="1"/>
  <c r="P41" i="4"/>
  <c r="T41" i="4" s="1"/>
  <c r="P42" i="4"/>
  <c r="R42" i="4" s="1"/>
  <c r="P43" i="4"/>
  <c r="T43" i="4" s="1"/>
  <c r="P44" i="4"/>
  <c r="T44" i="4" s="1"/>
  <c r="P45" i="4"/>
  <c r="T45" i="4" s="1"/>
  <c r="P46" i="4"/>
  <c r="R46" i="4" s="1"/>
  <c r="P47" i="4"/>
  <c r="T47" i="4" s="1"/>
  <c r="P48" i="4"/>
  <c r="T48" i="4" s="1"/>
  <c r="P49" i="4"/>
  <c r="R49" i="4" s="1"/>
  <c r="P50" i="4"/>
  <c r="R50" i="4" s="1"/>
  <c r="P51" i="4"/>
  <c r="T51" i="4" s="1"/>
  <c r="P52" i="4"/>
  <c r="R52" i="4" s="1"/>
  <c r="P53" i="4"/>
  <c r="T53" i="4" s="1"/>
  <c r="P54" i="4"/>
  <c r="T54" i="4" s="1"/>
  <c r="P55" i="4"/>
  <c r="T55" i="4" s="1"/>
  <c r="P56" i="4"/>
  <c r="T56" i="4" s="1"/>
  <c r="P3" i="4"/>
  <c r="P62" i="4"/>
  <c r="R62" i="4" s="1"/>
  <c r="P63" i="4"/>
  <c r="R63" i="4" s="1"/>
  <c r="P64" i="4"/>
  <c r="R64" i="4" s="1"/>
  <c r="P65" i="4"/>
  <c r="T65" i="4" s="1"/>
  <c r="P66" i="4"/>
  <c r="T66" i="4" s="1"/>
  <c r="P61" i="4"/>
  <c r="J4" i="4"/>
  <c r="N4" i="4" s="1"/>
  <c r="J5" i="4"/>
  <c r="N5" i="4" s="1"/>
  <c r="J6" i="4"/>
  <c r="N6" i="4" s="1"/>
  <c r="J7" i="4"/>
  <c r="J8" i="4"/>
  <c r="N8" i="4" s="1"/>
  <c r="J9" i="4"/>
  <c r="N9" i="4" s="1"/>
  <c r="J10" i="4"/>
  <c r="L10" i="4" s="1"/>
  <c r="J11" i="4"/>
  <c r="N11" i="4" s="1"/>
  <c r="J12" i="4"/>
  <c r="N12" i="4" s="1"/>
  <c r="J13" i="4"/>
  <c r="N13" i="4" s="1"/>
  <c r="J14" i="4"/>
  <c r="L14" i="4" s="1"/>
  <c r="J15" i="4"/>
  <c r="N15" i="4" s="1"/>
  <c r="J16" i="4"/>
  <c r="N16" i="4" s="1"/>
  <c r="J17" i="4"/>
  <c r="N17" i="4" s="1"/>
  <c r="J18" i="4"/>
  <c r="L18" i="4" s="1"/>
  <c r="J19" i="4"/>
  <c r="N19" i="4" s="1"/>
  <c r="J20" i="4"/>
  <c r="N20" i="4" s="1"/>
  <c r="J21" i="4"/>
  <c r="N21" i="4" s="1"/>
  <c r="J22" i="4"/>
  <c r="N22" i="4" s="1"/>
  <c r="J23" i="4"/>
  <c r="N23" i="4" s="1"/>
  <c r="J24" i="4"/>
  <c r="N24" i="4" s="1"/>
  <c r="J25" i="4"/>
  <c r="N25" i="4" s="1"/>
  <c r="J26" i="4"/>
  <c r="L26" i="4" s="1"/>
  <c r="J27" i="4"/>
  <c r="N27" i="4" s="1"/>
  <c r="J28" i="4"/>
  <c r="N28" i="4" s="1"/>
  <c r="J29" i="4"/>
  <c r="N29" i="4" s="1"/>
  <c r="J30" i="4"/>
  <c r="L30" i="4" s="1"/>
  <c r="J31" i="4"/>
  <c r="N31" i="4" s="1"/>
  <c r="J32" i="4"/>
  <c r="N32" i="4" s="1"/>
  <c r="J33" i="4"/>
  <c r="N33" i="4" s="1"/>
  <c r="J34" i="4"/>
  <c r="N34" i="4" s="1"/>
  <c r="J35" i="4"/>
  <c r="N35" i="4" s="1"/>
  <c r="J36" i="4"/>
  <c r="L36" i="4" s="1"/>
  <c r="J37" i="4"/>
  <c r="N37" i="4" s="1"/>
  <c r="J38" i="4"/>
  <c r="L38" i="4" s="1"/>
  <c r="J39" i="4"/>
  <c r="N39" i="4" s="1"/>
  <c r="J40" i="4"/>
  <c r="N40" i="4" s="1"/>
  <c r="J41" i="4"/>
  <c r="N41" i="4" s="1"/>
  <c r="J42" i="4"/>
  <c r="L42" i="4" s="1"/>
  <c r="J43" i="4"/>
  <c r="N43" i="4" s="1"/>
  <c r="J44" i="4"/>
  <c r="N44" i="4" s="1"/>
  <c r="J45" i="4"/>
  <c r="N45" i="4" s="1"/>
  <c r="J46" i="4"/>
  <c r="N46" i="4" s="1"/>
  <c r="J47" i="4"/>
  <c r="N47" i="4" s="1"/>
  <c r="J48" i="4"/>
  <c r="N48" i="4" s="1"/>
  <c r="J49" i="4"/>
  <c r="N49" i="4" s="1"/>
  <c r="J50" i="4"/>
  <c r="L50" i="4" s="1"/>
  <c r="J51" i="4"/>
  <c r="N51" i="4" s="1"/>
  <c r="J52" i="4"/>
  <c r="L52" i="4" s="1"/>
  <c r="J53" i="4"/>
  <c r="N53" i="4" s="1"/>
  <c r="J54" i="4"/>
  <c r="L54" i="4" s="1"/>
  <c r="J55" i="4"/>
  <c r="L55" i="4" s="1"/>
  <c r="J56" i="4"/>
  <c r="N56" i="4" s="1"/>
  <c r="J3" i="4"/>
  <c r="J62" i="4"/>
  <c r="L62" i="4" s="1"/>
  <c r="J63" i="4"/>
  <c r="N63" i="4" s="1"/>
  <c r="J64" i="4"/>
  <c r="N64" i="4" s="1"/>
  <c r="J65" i="4"/>
  <c r="N65" i="4" s="1"/>
  <c r="J66" i="4"/>
  <c r="N66" i="4" s="1"/>
  <c r="J61" i="4"/>
  <c r="D4" i="4"/>
  <c r="F4" i="4" s="1"/>
  <c r="D5" i="4"/>
  <c r="D6" i="4"/>
  <c r="H6" i="4" s="1"/>
  <c r="D7" i="4"/>
  <c r="F7" i="4" s="1"/>
  <c r="D8" i="4"/>
  <c r="H8" i="4" s="1"/>
  <c r="D9" i="4"/>
  <c r="F9" i="4" s="1"/>
  <c r="D10" i="4"/>
  <c r="H10" i="4" s="1"/>
  <c r="D11" i="4"/>
  <c r="F11" i="4" s="1"/>
  <c r="D12" i="4"/>
  <c r="D13" i="4"/>
  <c r="H13" i="4" s="1"/>
  <c r="D14" i="4"/>
  <c r="H14" i="4" s="1"/>
  <c r="D15" i="4"/>
  <c r="H15" i="4" s="1"/>
  <c r="D16" i="4"/>
  <c r="H16" i="4" s="1"/>
  <c r="D17" i="4"/>
  <c r="F17" i="4" s="1"/>
  <c r="D18" i="4"/>
  <c r="F18" i="4" s="1"/>
  <c r="D19" i="4"/>
  <c r="F19" i="4" s="1"/>
  <c r="D20" i="4"/>
  <c r="D21" i="4"/>
  <c r="H21" i="4" s="1"/>
  <c r="D22" i="4"/>
  <c r="H22" i="4" s="1"/>
  <c r="D23" i="4"/>
  <c r="F23" i="4" s="1"/>
  <c r="D24" i="4"/>
  <c r="D25" i="4"/>
  <c r="H25" i="4" s="1"/>
  <c r="D26" i="4"/>
  <c r="H26" i="4" s="1"/>
  <c r="D27" i="4"/>
  <c r="H27" i="4" s="1"/>
  <c r="D28" i="4"/>
  <c r="H28" i="4" s="1"/>
  <c r="D29" i="4"/>
  <c r="H29" i="4" s="1"/>
  <c r="D30" i="4"/>
  <c r="F30" i="4" s="1"/>
  <c r="D31" i="4"/>
  <c r="F31" i="4" s="1"/>
  <c r="D32" i="4"/>
  <c r="D33" i="4"/>
  <c r="H33" i="4" s="1"/>
  <c r="D34" i="4"/>
  <c r="F34" i="4" s="1"/>
  <c r="D35" i="4"/>
  <c r="H35" i="4" s="1"/>
  <c r="D36" i="4"/>
  <c r="F36" i="4" s="1"/>
  <c r="D37" i="4"/>
  <c r="H37" i="4" s="1"/>
  <c r="D38" i="4"/>
  <c r="F38" i="4" s="1"/>
  <c r="D39" i="4"/>
  <c r="F39" i="4" s="1"/>
  <c r="D40" i="4"/>
  <c r="H40" i="4" s="1"/>
  <c r="D41" i="4"/>
  <c r="H41" i="4" s="1"/>
  <c r="D42" i="4"/>
  <c r="F42" i="4" s="1"/>
  <c r="D43" i="4"/>
  <c r="H43" i="4" s="1"/>
  <c r="D44" i="4"/>
  <c r="H44" i="4" s="1"/>
  <c r="D45" i="4"/>
  <c r="H45" i="4" s="1"/>
  <c r="D46" i="4"/>
  <c r="F46" i="4" s="1"/>
  <c r="D47" i="4"/>
  <c r="H47" i="4" s="1"/>
  <c r="D48" i="4"/>
  <c r="H48" i="4" s="1"/>
  <c r="D49" i="4"/>
  <c r="F49" i="4" s="1"/>
  <c r="D50" i="4"/>
  <c r="F50" i="4" s="1"/>
  <c r="D51" i="4"/>
  <c r="H51" i="4" s="1"/>
  <c r="D52" i="4"/>
  <c r="F52" i="4" s="1"/>
  <c r="D53" i="4"/>
  <c r="H53" i="4" s="1"/>
  <c r="D54" i="4"/>
  <c r="H54" i="4" s="1"/>
  <c r="D55" i="4"/>
  <c r="H55" i="4" s="1"/>
  <c r="D56" i="4"/>
  <c r="H56" i="4" s="1"/>
  <c r="D3" i="4"/>
  <c r="H3" i="4" s="1"/>
  <c r="H66" i="4"/>
  <c r="H65" i="4"/>
  <c r="H64" i="4"/>
  <c r="F63" i="4"/>
  <c r="H62" i="4"/>
  <c r="BO10" i="3"/>
  <c r="BP10" i="3"/>
  <c r="BQ10" i="3"/>
  <c r="GF67" i="2"/>
  <c r="GG67" i="2"/>
  <c r="GH67" i="2"/>
  <c r="GI67" i="2"/>
  <c r="GF56" i="2"/>
  <c r="GG56" i="2"/>
  <c r="GH56" i="2"/>
  <c r="GI56" i="2"/>
  <c r="GC67" i="2"/>
  <c r="GD67" i="2"/>
  <c r="GE67" i="2"/>
  <c r="GC56" i="2"/>
  <c r="GD56" i="2"/>
  <c r="GE56" i="2"/>
  <c r="BL10" i="3"/>
  <c r="BM10" i="3"/>
  <c r="BN10" i="3"/>
  <c r="FZ67" i="2"/>
  <c r="GA67" i="2"/>
  <c r="GB67" i="2"/>
  <c r="FZ56" i="2"/>
  <c r="GA56" i="2"/>
  <c r="GB56" i="2"/>
  <c r="FV67" i="2"/>
  <c r="FW67" i="2"/>
  <c r="FX67" i="2"/>
  <c r="FY67" i="2"/>
  <c r="FV56" i="2"/>
  <c r="FW56" i="2"/>
  <c r="FX56" i="2"/>
  <c r="FY56" i="2"/>
  <c r="BI10" i="3"/>
  <c r="BJ10" i="3"/>
  <c r="BK10" i="3"/>
  <c r="BC10" i="3"/>
  <c r="BD10" i="3"/>
  <c r="BE10" i="3"/>
  <c r="BF10" i="3"/>
  <c r="BG10" i="3"/>
  <c r="BH10" i="3"/>
  <c r="FQ67" i="2"/>
  <c r="FR67" i="2"/>
  <c r="FS67" i="2"/>
  <c r="FT67" i="2"/>
  <c r="FU67" i="2"/>
  <c r="FP67" i="2"/>
  <c r="FR56" i="2"/>
  <c r="FS56" i="2"/>
  <c r="FT56" i="2"/>
  <c r="FU56" i="2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FN67" i="2"/>
  <c r="FO67" i="2"/>
  <c r="FN56" i="2"/>
  <c r="FO56" i="2"/>
  <c r="FP56" i="2"/>
  <c r="FQ56" i="2"/>
  <c r="FJ67" i="2"/>
  <c r="FK67" i="2"/>
  <c r="FL67" i="2"/>
  <c r="FM67" i="2"/>
  <c r="FJ56" i="2"/>
  <c r="FK56" i="2"/>
  <c r="FL56" i="2"/>
  <c r="FM56" i="2"/>
  <c r="FF67" i="2"/>
  <c r="FG67" i="2"/>
  <c r="FH67" i="2"/>
  <c r="FI67" i="2"/>
  <c r="FF56" i="2"/>
  <c r="FG56" i="2"/>
  <c r="FH56" i="2"/>
  <c r="FI56" i="2"/>
  <c r="EY56" i="2"/>
  <c r="EZ56" i="2"/>
  <c r="FA56" i="2"/>
  <c r="FB56" i="2"/>
  <c r="FC56" i="2"/>
  <c r="FD56" i="2"/>
  <c r="FE56" i="2"/>
  <c r="EY67" i="2"/>
  <c r="EZ67" i="2"/>
  <c r="FA67" i="2"/>
  <c r="FB67" i="2"/>
  <c r="FC67" i="2"/>
  <c r="FD67" i="2"/>
  <c r="FE67" i="2"/>
  <c r="ET67" i="2"/>
  <c r="EU67" i="2"/>
  <c r="EV67" i="2"/>
  <c r="EW67" i="2"/>
  <c r="EX67" i="2"/>
  <c r="ET56" i="2"/>
  <c r="EU56" i="2"/>
  <c r="EV56" i="2"/>
  <c r="EW56" i="2"/>
  <c r="EX56" i="2"/>
  <c r="EN67" i="2"/>
  <c r="EO67" i="2"/>
  <c r="EP67" i="2"/>
  <c r="EQ67" i="2"/>
  <c r="ER67" i="2"/>
  <c r="ES67" i="2"/>
  <c r="EN56" i="2"/>
  <c r="EO56" i="2"/>
  <c r="EP56" i="2"/>
  <c r="EQ56" i="2"/>
  <c r="ER56" i="2"/>
  <c r="ES56" i="2"/>
  <c r="EK67" i="2"/>
  <c r="EL67" i="2"/>
  <c r="EM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DB67" i="2"/>
  <c r="DC67" i="2"/>
  <c r="DD67" i="2"/>
  <c r="DE67" i="2"/>
  <c r="DF67" i="2"/>
  <c r="DG67" i="2"/>
  <c r="DH67" i="2"/>
  <c r="DI67" i="2"/>
  <c r="DJ67" i="2"/>
  <c r="DK67" i="2"/>
  <c r="DL67" i="2"/>
  <c r="DM67" i="2"/>
  <c r="DN67" i="2"/>
  <c r="DO67" i="2"/>
  <c r="DP67" i="2"/>
  <c r="DQ67" i="2"/>
  <c r="DR67" i="2"/>
  <c r="DS67" i="2"/>
  <c r="DT67" i="2"/>
  <c r="DU67" i="2"/>
  <c r="DV67" i="2"/>
  <c r="DW67" i="2"/>
  <c r="DX67" i="2"/>
  <c r="DY67" i="2"/>
  <c r="DZ67" i="2"/>
  <c r="EA67" i="2"/>
  <c r="EB67" i="2"/>
  <c r="EC67" i="2"/>
  <c r="ED67" i="2"/>
  <c r="EE67" i="2"/>
  <c r="EF67" i="2"/>
  <c r="EG67" i="2"/>
  <c r="EH67" i="2"/>
  <c r="EI67" i="2"/>
  <c r="EJ67" i="2"/>
  <c r="EI56" i="2"/>
  <c r="EJ56" i="2"/>
  <c r="EK56" i="2"/>
  <c r="EL56" i="2"/>
  <c r="EM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Z56" i="2"/>
  <c r="DA56" i="2"/>
  <c r="DB56" i="2"/>
  <c r="DC56" i="2"/>
  <c r="DD56" i="2"/>
  <c r="DE56" i="2"/>
  <c r="DF56" i="2"/>
  <c r="DG56" i="2"/>
  <c r="DH56" i="2"/>
  <c r="DI56" i="2"/>
  <c r="DJ56" i="2"/>
  <c r="DK56" i="2"/>
  <c r="DL56" i="2"/>
  <c r="DM56" i="2"/>
  <c r="DN56" i="2"/>
  <c r="DO56" i="2"/>
  <c r="DP56" i="2"/>
  <c r="DQ56" i="2"/>
  <c r="DR56" i="2"/>
  <c r="DS56" i="2"/>
  <c r="DT56" i="2"/>
  <c r="DU56" i="2"/>
  <c r="DV56" i="2"/>
  <c r="DW56" i="2"/>
  <c r="DX56" i="2"/>
  <c r="DY56" i="2"/>
  <c r="DZ56" i="2"/>
  <c r="EA56" i="2"/>
  <c r="EB56" i="2"/>
  <c r="EC56" i="2"/>
  <c r="ED56" i="2"/>
  <c r="EE56" i="2"/>
  <c r="EF56" i="2"/>
  <c r="EG56" i="2"/>
  <c r="EH56" i="2"/>
  <c r="E56" i="2"/>
  <c r="IO87" i="2" l="1"/>
  <c r="IK67" i="2"/>
  <c r="IJ67" i="2"/>
  <c r="IJ77" i="2"/>
  <c r="II77" i="2"/>
  <c r="IW82" i="2"/>
  <c r="JA82" i="2" s="1"/>
  <c r="IH67" i="2"/>
  <c r="IG77" i="2"/>
  <c r="IF77" i="2"/>
  <c r="IE87" i="2"/>
  <c r="IW80" i="2"/>
  <c r="AF17" i="4"/>
  <c r="AB66" i="4"/>
  <c r="AD66" i="4" s="1"/>
  <c r="AB61" i="4"/>
  <c r="AD61" i="4" s="1"/>
  <c r="HV67" i="2"/>
  <c r="AD4" i="4"/>
  <c r="AD23" i="4"/>
  <c r="L67" i="4"/>
  <c r="AD7" i="4"/>
  <c r="AH67" i="4"/>
  <c r="AD20" i="4"/>
  <c r="IW77" i="2"/>
  <c r="AF67" i="4"/>
  <c r="AL67" i="4" s="1"/>
  <c r="AB68" i="4"/>
  <c r="AD67" i="4"/>
  <c r="X67" i="4"/>
  <c r="R67" i="4"/>
  <c r="AD28" i="4"/>
  <c r="AD12" i="4"/>
  <c r="AF36" i="4"/>
  <c r="AF13" i="4"/>
  <c r="AL13" i="4" s="1"/>
  <c r="JA86" i="2"/>
  <c r="IY76" i="2"/>
  <c r="JA66" i="2"/>
  <c r="IW67" i="2"/>
  <c r="AF21" i="4"/>
  <c r="AF32" i="4"/>
  <c r="AF15" i="4"/>
  <c r="AL15" i="4" s="1"/>
  <c r="AD3" i="4"/>
  <c r="JA22" i="2"/>
  <c r="AD24" i="4"/>
  <c r="AD14" i="4"/>
  <c r="AF52" i="4"/>
  <c r="AF41" i="4"/>
  <c r="AF66" i="4"/>
  <c r="AL66" i="4" s="1"/>
  <c r="AF48" i="4"/>
  <c r="AL48" i="4" s="1"/>
  <c r="AF44" i="4"/>
  <c r="AD63" i="4"/>
  <c r="AD62" i="4"/>
  <c r="AF61" i="4"/>
  <c r="AF45" i="4"/>
  <c r="AD37" i="4"/>
  <c r="AF5" i="4"/>
  <c r="AD29" i="4"/>
  <c r="AD53" i="4"/>
  <c r="AD55" i="4"/>
  <c r="AD38" i="4"/>
  <c r="AF47" i="4"/>
  <c r="AL47" i="4" s="1"/>
  <c r="AD30" i="4"/>
  <c r="AD22" i="4"/>
  <c r="AD6" i="4"/>
  <c r="AD33" i="4"/>
  <c r="AD9" i="4"/>
  <c r="AD39" i="4"/>
  <c r="AD46" i="4"/>
  <c r="AD54" i="4"/>
  <c r="AD8" i="4"/>
  <c r="AJ18" i="4"/>
  <c r="AD16" i="4"/>
  <c r="AF25" i="4"/>
  <c r="AD31" i="4"/>
  <c r="AF40" i="4"/>
  <c r="AL40" i="4" s="1"/>
  <c r="AF56" i="4"/>
  <c r="AL56" i="4" s="1"/>
  <c r="AF64" i="4"/>
  <c r="AL53" i="4"/>
  <c r="AD65" i="4"/>
  <c r="AH32" i="4"/>
  <c r="AH24" i="4"/>
  <c r="AD49" i="4"/>
  <c r="AL65" i="4"/>
  <c r="AH66" i="4"/>
  <c r="AH65" i="4"/>
  <c r="AH64" i="4"/>
  <c r="AH63" i="4"/>
  <c r="AH62" i="4"/>
  <c r="AH38" i="4"/>
  <c r="AH16" i="4"/>
  <c r="AH6" i="4"/>
  <c r="AL37" i="4"/>
  <c r="AH5" i="4"/>
  <c r="AH28" i="4"/>
  <c r="AH20" i="4"/>
  <c r="AH12" i="4"/>
  <c r="AH48" i="4"/>
  <c r="AH3" i="4"/>
  <c r="AH47" i="4"/>
  <c r="AH37" i="4"/>
  <c r="AH25" i="4"/>
  <c r="AH15" i="4"/>
  <c r="AJ36" i="4"/>
  <c r="AH56" i="4"/>
  <c r="AH46" i="4"/>
  <c r="AH36" i="4"/>
  <c r="AH14" i="4"/>
  <c r="AH4" i="4"/>
  <c r="AL51" i="4"/>
  <c r="AL43" i="4"/>
  <c r="AL35" i="4"/>
  <c r="AL27" i="4"/>
  <c r="AL6" i="4"/>
  <c r="AH55" i="4"/>
  <c r="AH45" i="4"/>
  <c r="AH33" i="4"/>
  <c r="AH23" i="4"/>
  <c r="AH13" i="4"/>
  <c r="AH50" i="4"/>
  <c r="AH42" i="4"/>
  <c r="AH34" i="4"/>
  <c r="AH26" i="4"/>
  <c r="AH18" i="4"/>
  <c r="AH10" i="4"/>
  <c r="AL16" i="4"/>
  <c r="AH54" i="4"/>
  <c r="AH44" i="4"/>
  <c r="AH22" i="4"/>
  <c r="AL22" i="4"/>
  <c r="AH53" i="4"/>
  <c r="AH41" i="4"/>
  <c r="AH21" i="4"/>
  <c r="AH9" i="4"/>
  <c r="AH31" i="4"/>
  <c r="AL28" i="4"/>
  <c r="AH52" i="4"/>
  <c r="AH40" i="4"/>
  <c r="AH30" i="4"/>
  <c r="AH8" i="4"/>
  <c r="AL8" i="4"/>
  <c r="AH49" i="4"/>
  <c r="AH39" i="4"/>
  <c r="AH29" i="4"/>
  <c r="AH17" i="4"/>
  <c r="AH7" i="4"/>
  <c r="AB57" i="4"/>
  <c r="AD50" i="4"/>
  <c r="AJ50" i="4" s="1"/>
  <c r="AF10" i="4"/>
  <c r="AF18" i="4"/>
  <c r="AF26" i="4"/>
  <c r="AF34" i="4"/>
  <c r="AF42" i="4"/>
  <c r="AF50" i="4"/>
  <c r="AD11" i="4"/>
  <c r="AD19" i="4"/>
  <c r="AD27" i="4"/>
  <c r="AD43" i="4"/>
  <c r="AD51" i="4"/>
  <c r="AH51" i="4"/>
  <c r="AH43" i="4"/>
  <c r="AH35" i="4"/>
  <c r="AH27" i="4"/>
  <c r="AH19" i="4"/>
  <c r="AH11" i="4"/>
  <c r="AD35" i="4"/>
  <c r="X4" i="4"/>
  <c r="IY83" i="2"/>
  <c r="JA73" i="2"/>
  <c r="IY81" i="2"/>
  <c r="IY80" i="2"/>
  <c r="JA80" i="2"/>
  <c r="IY84" i="2"/>
  <c r="IY85" i="2"/>
  <c r="JA70" i="2"/>
  <c r="IY71" i="2"/>
  <c r="IY74" i="2"/>
  <c r="IY72" i="2"/>
  <c r="IY75" i="2"/>
  <c r="L44" i="4"/>
  <c r="H24" i="4"/>
  <c r="AL24" i="4" s="1"/>
  <c r="Z63" i="4"/>
  <c r="T64" i="4"/>
  <c r="Z36" i="4"/>
  <c r="F12" i="4"/>
  <c r="H32" i="4"/>
  <c r="R28" i="4"/>
  <c r="T36" i="4"/>
  <c r="H20" i="4"/>
  <c r="AL20" i="4" s="1"/>
  <c r="L28" i="4"/>
  <c r="X12" i="4"/>
  <c r="X52" i="4"/>
  <c r="AJ52" i="4" s="1"/>
  <c r="P68" i="4"/>
  <c r="L12" i="4"/>
  <c r="Z39" i="4"/>
  <c r="T52" i="4"/>
  <c r="X62" i="4"/>
  <c r="IY28" i="2"/>
  <c r="R22" i="4"/>
  <c r="IY14" i="2"/>
  <c r="L23" i="4"/>
  <c r="R39" i="4"/>
  <c r="N55" i="4"/>
  <c r="AL55" i="4" s="1"/>
  <c r="R23" i="4"/>
  <c r="J57" i="4"/>
  <c r="V68" i="4"/>
  <c r="R15" i="4"/>
  <c r="R6" i="4"/>
  <c r="D57" i="4"/>
  <c r="IY6" i="2"/>
  <c r="P57" i="4"/>
  <c r="Z11" i="4"/>
  <c r="X17" i="4"/>
  <c r="V57" i="4"/>
  <c r="X43" i="4"/>
  <c r="Z25" i="4"/>
  <c r="Z7" i="4"/>
  <c r="T49" i="4"/>
  <c r="R38" i="4"/>
  <c r="L7" i="4"/>
  <c r="N7" i="4"/>
  <c r="L39" i="4"/>
  <c r="L65" i="4"/>
  <c r="J68" i="4"/>
  <c r="H5" i="4"/>
  <c r="F33" i="4"/>
  <c r="H49" i="4"/>
  <c r="F22" i="4"/>
  <c r="R20" i="4"/>
  <c r="R41" i="4"/>
  <c r="F62" i="4"/>
  <c r="F41" i="4"/>
  <c r="R7" i="4"/>
  <c r="R33" i="4"/>
  <c r="T46" i="4"/>
  <c r="R55" i="4"/>
  <c r="Z9" i="4"/>
  <c r="X31" i="4"/>
  <c r="Z44" i="4"/>
  <c r="Z49" i="4"/>
  <c r="R65" i="4"/>
  <c r="L4" i="4"/>
  <c r="H30" i="4"/>
  <c r="H52" i="4"/>
  <c r="L20" i="4"/>
  <c r="T12" i="4"/>
  <c r="X23" i="4"/>
  <c r="X27" i="4"/>
  <c r="N62" i="4"/>
  <c r="F6" i="4"/>
  <c r="R25" i="4"/>
  <c r="L15" i="4"/>
  <c r="L31" i="4"/>
  <c r="N36" i="4"/>
  <c r="L47" i="4"/>
  <c r="N52" i="4"/>
  <c r="R17" i="4"/>
  <c r="T30" i="4"/>
  <c r="R47" i="4"/>
  <c r="X15" i="4"/>
  <c r="X19" i="4"/>
  <c r="Z41" i="4"/>
  <c r="X55" i="4"/>
  <c r="T62" i="4"/>
  <c r="X35" i="4"/>
  <c r="H19" i="4"/>
  <c r="AL19" i="4" s="1"/>
  <c r="T4" i="4"/>
  <c r="X28" i="4"/>
  <c r="X51" i="4"/>
  <c r="R66" i="4"/>
  <c r="X65" i="4"/>
  <c r="H46" i="4"/>
  <c r="H11" i="4"/>
  <c r="F14" i="4"/>
  <c r="H38" i="4"/>
  <c r="R9" i="4"/>
  <c r="T14" i="4"/>
  <c r="R31" i="4"/>
  <c r="R44" i="4"/>
  <c r="X3" i="4"/>
  <c r="X20" i="4"/>
  <c r="Z33" i="4"/>
  <c r="AL33" i="4" s="1"/>
  <c r="X47" i="4"/>
  <c r="F65" i="4"/>
  <c r="T63" i="4"/>
  <c r="L8" i="4"/>
  <c r="X63" i="4"/>
  <c r="X66" i="4"/>
  <c r="X61" i="4"/>
  <c r="Z61" i="4"/>
  <c r="X64" i="4"/>
  <c r="R61" i="4"/>
  <c r="T61" i="4"/>
  <c r="L63" i="4"/>
  <c r="L66" i="4"/>
  <c r="L61" i="4"/>
  <c r="N61" i="4"/>
  <c r="L64" i="4"/>
  <c r="H63" i="4"/>
  <c r="F66" i="4"/>
  <c r="F61" i="4"/>
  <c r="H61" i="4"/>
  <c r="F64" i="4"/>
  <c r="X42" i="4"/>
  <c r="AJ42" i="4" s="1"/>
  <c r="X13" i="4"/>
  <c r="Z10" i="4"/>
  <c r="Z34" i="4"/>
  <c r="X37" i="4"/>
  <c r="X53" i="4"/>
  <c r="Z5" i="4"/>
  <c r="X8" i="4"/>
  <c r="X16" i="4"/>
  <c r="Z21" i="4"/>
  <c r="AL21" i="4" s="1"/>
  <c r="X24" i="4"/>
  <c r="Z29" i="4"/>
  <c r="AL29" i="4" s="1"/>
  <c r="X32" i="4"/>
  <c r="X40" i="4"/>
  <c r="Z45" i="4"/>
  <c r="X48" i="4"/>
  <c r="X56" i="4"/>
  <c r="Z50" i="4"/>
  <c r="X26" i="4"/>
  <c r="Z18" i="4"/>
  <c r="Z3" i="4"/>
  <c r="X6" i="4"/>
  <c r="X14" i="4"/>
  <c r="X22" i="4"/>
  <c r="X30" i="4"/>
  <c r="X38" i="4"/>
  <c r="X46" i="4"/>
  <c r="X54" i="4"/>
  <c r="R5" i="4"/>
  <c r="T10" i="4"/>
  <c r="R13" i="4"/>
  <c r="T18" i="4"/>
  <c r="R21" i="4"/>
  <c r="T26" i="4"/>
  <c r="R29" i="4"/>
  <c r="T34" i="4"/>
  <c r="R37" i="4"/>
  <c r="T42" i="4"/>
  <c r="R45" i="4"/>
  <c r="T50" i="4"/>
  <c r="R53" i="4"/>
  <c r="R8" i="4"/>
  <c r="R16" i="4"/>
  <c r="R24" i="4"/>
  <c r="R32" i="4"/>
  <c r="R40" i="4"/>
  <c r="R48" i="4"/>
  <c r="R56" i="4"/>
  <c r="R3" i="4"/>
  <c r="R11" i="4"/>
  <c r="R19" i="4"/>
  <c r="R27" i="4"/>
  <c r="R35" i="4"/>
  <c r="R43" i="4"/>
  <c r="R51" i="4"/>
  <c r="T3" i="4"/>
  <c r="R54" i="4"/>
  <c r="L34" i="4"/>
  <c r="AJ34" i="4" s="1"/>
  <c r="L5" i="4"/>
  <c r="N10" i="4"/>
  <c r="L13" i="4"/>
  <c r="N18" i="4"/>
  <c r="L21" i="4"/>
  <c r="N26" i="4"/>
  <c r="L29" i="4"/>
  <c r="L37" i="4"/>
  <c r="N42" i="4"/>
  <c r="L45" i="4"/>
  <c r="N50" i="4"/>
  <c r="L53" i="4"/>
  <c r="L16" i="4"/>
  <c r="L24" i="4"/>
  <c r="L32" i="4"/>
  <c r="L40" i="4"/>
  <c r="L48" i="4"/>
  <c r="L56" i="4"/>
  <c r="L3" i="4"/>
  <c r="L11" i="4"/>
  <c r="L19" i="4"/>
  <c r="L27" i="4"/>
  <c r="L35" i="4"/>
  <c r="L43" i="4"/>
  <c r="L51" i="4"/>
  <c r="N3" i="4"/>
  <c r="L6" i="4"/>
  <c r="L22" i="4"/>
  <c r="L46" i="4"/>
  <c r="L9" i="4"/>
  <c r="N14" i="4"/>
  <c r="L17" i="4"/>
  <c r="L25" i="4"/>
  <c r="N30" i="4"/>
  <c r="L33" i="4"/>
  <c r="N38" i="4"/>
  <c r="L41" i="4"/>
  <c r="L49" i="4"/>
  <c r="N54" i="4"/>
  <c r="AL54" i="4" s="1"/>
  <c r="F55" i="4"/>
  <c r="F25" i="4"/>
  <c r="F44" i="4"/>
  <c r="H9" i="4"/>
  <c r="F20" i="4"/>
  <c r="H12" i="4"/>
  <c r="AL12" i="4" s="1"/>
  <c r="F15" i="4"/>
  <c r="H36" i="4"/>
  <c r="F10" i="4"/>
  <c r="AJ10" i="4" s="1"/>
  <c r="H23" i="4"/>
  <c r="AL23" i="4" s="1"/>
  <c r="F26" i="4"/>
  <c r="H31" i="4"/>
  <c r="AL31" i="4" s="1"/>
  <c r="H39" i="4"/>
  <c r="F5" i="4"/>
  <c r="F13" i="4"/>
  <c r="H18" i="4"/>
  <c r="F21" i="4"/>
  <c r="F29" i="4"/>
  <c r="H34" i="4"/>
  <c r="F37" i="4"/>
  <c r="H42" i="4"/>
  <c r="F45" i="4"/>
  <c r="H50" i="4"/>
  <c r="F53" i="4"/>
  <c r="H17" i="4"/>
  <c r="AL17" i="4" s="1"/>
  <c r="F28" i="4"/>
  <c r="H4" i="4"/>
  <c r="AL4" i="4" s="1"/>
  <c r="F47" i="4"/>
  <c r="H7" i="4"/>
  <c r="F8" i="4"/>
  <c r="F24" i="4"/>
  <c r="F56" i="4"/>
  <c r="F16" i="4"/>
  <c r="F32" i="4"/>
  <c r="F40" i="4"/>
  <c r="F48" i="4"/>
  <c r="F3" i="4"/>
  <c r="F27" i="4"/>
  <c r="F35" i="4"/>
  <c r="F43" i="4"/>
  <c r="F51" i="4"/>
  <c r="F54" i="4"/>
  <c r="IY18" i="2"/>
  <c r="IY12" i="2"/>
  <c r="JA60" i="2"/>
  <c r="IY35" i="2"/>
  <c r="IY2" i="2"/>
  <c r="IY11" i="2"/>
  <c r="IY47" i="2"/>
  <c r="IY10" i="2"/>
  <c r="JA61" i="2"/>
  <c r="IY3" i="2"/>
  <c r="JA33" i="2"/>
  <c r="JA8" i="2"/>
  <c r="IY48" i="2"/>
  <c r="JA55" i="2"/>
  <c r="JA39" i="2"/>
  <c r="JA31" i="2"/>
  <c r="JA23" i="2"/>
  <c r="JA15" i="2"/>
  <c r="JA7" i="2"/>
  <c r="JA41" i="2"/>
  <c r="JA16" i="2"/>
  <c r="JA54" i="2"/>
  <c r="JA46" i="2"/>
  <c r="JA38" i="2"/>
  <c r="JA30" i="2"/>
  <c r="JA17" i="2"/>
  <c r="JA40" i="2"/>
  <c r="JA32" i="2"/>
  <c r="IY27" i="2"/>
  <c r="JA65" i="2"/>
  <c r="JA53" i="2"/>
  <c r="JA45" i="2"/>
  <c r="JA37" i="2"/>
  <c r="JA29" i="2"/>
  <c r="JA21" i="2"/>
  <c r="JA13" i="2"/>
  <c r="JA5" i="2"/>
  <c r="JA25" i="2"/>
  <c r="JA24" i="2"/>
  <c r="IY42" i="2"/>
  <c r="JA52" i="2"/>
  <c r="JA44" i="2"/>
  <c r="JA36" i="2"/>
  <c r="JA20" i="2"/>
  <c r="JA4" i="2"/>
  <c r="JA49" i="2"/>
  <c r="JA63" i="2"/>
  <c r="JA51" i="2"/>
  <c r="JA43" i="2"/>
  <c r="JA19" i="2"/>
  <c r="JA9" i="2"/>
  <c r="JA50" i="2"/>
  <c r="JA34" i="2"/>
  <c r="JA26" i="2"/>
  <c r="IY64" i="2"/>
  <c r="CN10" i="3"/>
  <c r="CM10" i="3"/>
  <c r="IY62" i="2"/>
  <c r="IW56" i="2"/>
  <c r="IY82" i="2" l="1"/>
  <c r="IW87" i="2"/>
  <c r="AH61" i="4"/>
  <c r="JA77" i="2"/>
  <c r="AJ30" i="4"/>
  <c r="JA87" i="2"/>
  <c r="IY67" i="2"/>
  <c r="AH68" i="4"/>
  <c r="JA67" i="2"/>
  <c r="IY87" i="2"/>
  <c r="AF68" i="4"/>
  <c r="IY77" i="2"/>
  <c r="AD68" i="4"/>
  <c r="AJ67" i="4"/>
  <c r="AL32" i="4"/>
  <c r="AJ13" i="4"/>
  <c r="AJ45" i="4"/>
  <c r="AL62" i="4"/>
  <c r="AL25" i="4"/>
  <c r="AL39" i="4"/>
  <c r="AJ20" i="4"/>
  <c r="AL38" i="4"/>
  <c r="AL63" i="4"/>
  <c r="AL61" i="4"/>
  <c r="AL45" i="4"/>
  <c r="AL44" i="4"/>
  <c r="AL41" i="4"/>
  <c r="AJ62" i="4"/>
  <c r="AJ38" i="4"/>
  <c r="AJ39" i="4"/>
  <c r="AJ49" i="4"/>
  <c r="AJ8" i="4"/>
  <c r="AJ41" i="4"/>
  <c r="AL14" i="4"/>
  <c r="AL9" i="4"/>
  <c r="AL64" i="4"/>
  <c r="AJ61" i="4"/>
  <c r="AJ9" i="4"/>
  <c r="AL52" i="4"/>
  <c r="AL3" i="4"/>
  <c r="AL26" i="4"/>
  <c r="AJ29" i="4"/>
  <c r="AJ21" i="4"/>
  <c r="AJ66" i="4"/>
  <c r="AJ63" i="4"/>
  <c r="AJ64" i="4"/>
  <c r="AJ65" i="4"/>
  <c r="AJ48" i="4"/>
  <c r="AJ44" i="4"/>
  <c r="AJ32" i="4"/>
  <c r="AJ28" i="4"/>
  <c r="AJ5" i="4"/>
  <c r="AJ46" i="4"/>
  <c r="AJ14" i="4"/>
  <c r="AJ6" i="4"/>
  <c r="AL49" i="4"/>
  <c r="AJ16" i="4"/>
  <c r="AJ55" i="4"/>
  <c r="AJ17" i="4"/>
  <c r="AJ37" i="4"/>
  <c r="AL11" i="4"/>
  <c r="AJ7" i="4"/>
  <c r="AL5" i="4"/>
  <c r="AL7" i="4"/>
  <c r="AJ23" i="4"/>
  <c r="AJ12" i="4"/>
  <c r="AL18" i="4"/>
  <c r="AJ40" i="4"/>
  <c r="AJ25" i="4"/>
  <c r="AJ33" i="4"/>
  <c r="AJ56" i="4"/>
  <c r="AJ53" i="4"/>
  <c r="AL36" i="4"/>
  <c r="AL46" i="4"/>
  <c r="AJ31" i="4"/>
  <c r="AL30" i="4"/>
  <c r="AJ54" i="4"/>
  <c r="AJ4" i="4"/>
  <c r="AJ24" i="4"/>
  <c r="AJ15" i="4"/>
  <c r="AJ51" i="4"/>
  <c r="AJ35" i="4"/>
  <c r="AJ19" i="4"/>
  <c r="AJ11" i="4"/>
  <c r="AH57" i="4"/>
  <c r="AJ43" i="4"/>
  <c r="AL10" i="4"/>
  <c r="AJ3" i="4"/>
  <c r="AL50" i="4"/>
  <c r="AJ27" i="4"/>
  <c r="AJ47" i="4"/>
  <c r="AJ22" i="4"/>
  <c r="AL42" i="4"/>
  <c r="AJ26" i="4"/>
  <c r="AL34" i="4"/>
  <c r="AF57" i="4"/>
  <c r="AD57" i="4"/>
  <c r="Z68" i="4"/>
  <c r="H68" i="4"/>
  <c r="N68" i="4"/>
  <c r="X68" i="4"/>
  <c r="X57" i="4"/>
  <c r="Z57" i="4"/>
  <c r="T68" i="4"/>
  <c r="R68" i="4"/>
  <c r="T57" i="4"/>
  <c r="R57" i="4"/>
  <c r="L68" i="4"/>
  <c r="L57" i="4"/>
  <c r="N57" i="4"/>
  <c r="F68" i="4"/>
  <c r="H57" i="4"/>
  <c r="F57" i="4"/>
  <c r="JA56" i="2"/>
  <c r="IY56" i="2"/>
  <c r="AJ68" i="4" l="1"/>
  <c r="AL68" i="4"/>
  <c r="AJ57" i="4"/>
  <c r="AL57" i="4"/>
</calcChain>
</file>

<file path=xl/sharedStrings.xml><?xml version="1.0" encoding="utf-8"?>
<sst xmlns="http://schemas.openxmlformats.org/spreadsheetml/2006/main" count="709" uniqueCount="236">
  <si>
    <t>UPC</t>
  </si>
  <si>
    <t>GLN</t>
  </si>
  <si>
    <t>AQUASONIC BLACK ULTRA SONIC TOOTHBRUSH</t>
  </si>
  <si>
    <t>AS-TBSH-BS</t>
  </si>
  <si>
    <t>AQUASONIC VIBE ULTRA TOOTHBRUSH-WHITE</t>
  </si>
  <si>
    <t>AS-TBSH-WH</t>
  </si>
  <si>
    <t>AQUASONIC VIBE ULTRA TOOTHBRUSH-RSGLD</t>
  </si>
  <si>
    <t>AS-TBSH-RG</t>
  </si>
  <si>
    <t>AQUASONIC VIBE ULTRA TOOTHBRUSH CHARCL</t>
  </si>
  <si>
    <t>AS-TBSH-CH</t>
  </si>
  <si>
    <t>AS-TBSH-PRO</t>
  </si>
  <si>
    <t>AQUA FLOSSER RCHRGBLE ORAL IRRIGATOR</t>
  </si>
  <si>
    <t>AS-FLOS-REG</t>
  </si>
  <si>
    <t>AQUASONIC AQUA FLOSSER PRO</t>
  </si>
  <si>
    <t>AS-FLOS-PRO</t>
  </si>
  <si>
    <t>COMPLETE FAMILY ORAL CARE</t>
  </si>
  <si>
    <t>AS-HDCS-SET</t>
  </si>
  <si>
    <t>AQUASONIC DUO ULTRA TOOTHBRUSHES</t>
  </si>
  <si>
    <t>AS-TBSH-DUO</t>
  </si>
  <si>
    <t>AQUASONIC DUO PRO ULTRA TOOTHBRUSHES</t>
  </si>
  <si>
    <t>AS-TBSH-DUOP</t>
  </si>
  <si>
    <t>AQUASONIC PROSPIN ULTRA TOOTHBRUSH</t>
  </si>
  <si>
    <t>AS-TBSH-SPIN</t>
  </si>
  <si>
    <t>BBY SKU</t>
  </si>
  <si>
    <t>Title</t>
  </si>
  <si>
    <t>MFG</t>
  </si>
  <si>
    <t>BBY Cost</t>
  </si>
  <si>
    <t>MSRP</t>
  </si>
  <si>
    <t>Online</t>
  </si>
  <si>
    <t>Link</t>
  </si>
  <si>
    <t>Units</t>
  </si>
  <si>
    <t>YES</t>
  </si>
  <si>
    <t xml:space="preserve">https://www.bestbuy.com/site/aquasonic-rechargeable-electric-toothbrush-and-oral-irrigator-set-white/6454802.p?skuId=6454802 </t>
  </si>
  <si>
    <t>In Stock</t>
  </si>
  <si>
    <t>https://www.bestbuy.com/site/aquasonic-pro-water-flosser-white/6454807.p?skuId=6454807</t>
  </si>
  <si>
    <t xml:space="preserve">https://www.bestbuy.com/site/aquasonic-duo-series-rechargeable-electric-toothbrush-set-white-satin-black/6454803.p?skuId=6454803 </t>
  </si>
  <si>
    <t xml:space="preserve">https://www.bestbuy.com/site/aquasonic-vibe-series-rechargeable-electric-toothbrush-charcoal-metallic/6454805.p?skuId=6454805 </t>
  </si>
  <si>
    <t>https://www.bestbuy.com/site/aquasonic-vibe-series-rechargeable-electric-toothbrush-satin-rose-gold/6454808.p?skuId=6454808</t>
  </si>
  <si>
    <t>https://www.bestbuy.com/site/aquasonic-vibe-series-rechargeable-electric-toothbrush-optic-white/6454798.p?skuId=6454798</t>
  </si>
  <si>
    <t>https://www.bestbuy.com/site/aquasonic-black-series-pro-rechargeable-electric-toothbrush-black/6454801.p?skuId=6454801</t>
  </si>
  <si>
    <t>Notes</t>
  </si>
  <si>
    <t>Currently OOS</t>
  </si>
  <si>
    <t xml:space="preserve">https://www.bestbuy.com/site/aquasonic-duo-series-pro-rechargeable-electric-toothbrush-set-midnight-black-optic-white/6454800.p?skuId=6454800 </t>
  </si>
  <si>
    <t xml:space="preserve">https://www.bestbuy.com/site/aquasonic-black-series-rechargeable-electric-toothbrush-black/6454806.p?skuId=6454806 </t>
  </si>
  <si>
    <t xml:space="preserve">https://www.bestbuy.com/site/aquasonic-aqua-flosser-oral-irrigator-white/6454799.p?skuId=6454799 </t>
  </si>
  <si>
    <t>Holding until product update</t>
  </si>
  <si>
    <t>NO</t>
  </si>
  <si>
    <t xml:space="preserve">AquaSonic Black UltraSonic ToothBrush Ultimate Bundle </t>
  </si>
  <si>
    <t xml:space="preserve">AquaSonic - Duo Series Pro Rechargeable Electric Toothbrush Ultimate Bundle </t>
  </si>
  <si>
    <t>AS-TBSH-BS-HB</t>
  </si>
  <si>
    <t>AS-TBSH-DUOP-HB</t>
  </si>
  <si>
    <t>AquaSonic - Duo Series Pro Rechargeable Electric Toothbrush Ultimate Bundle</t>
  </si>
  <si>
    <t>Hidden for now - focus on the Holiday exclusive</t>
  </si>
  <si>
    <t>https://www.bestbuy.com/site/aquasonic-black-ultrasonic-toothbrush-ultimate-bundle-black/6488842.p?skuId=6488842</t>
  </si>
  <si>
    <t>https://www.bestbuy.com/site/aquasonic-ultrasonic-uv-sanitizing-toothbrush-set-limited-edition-bundle-midnight-black-optic-white/6488843.p?skuId=6488843</t>
  </si>
  <si>
    <t>BBY-AS-TBSH-RG</t>
  </si>
  <si>
    <t>BBY-AS-TBSH-CH</t>
  </si>
  <si>
    <t>BBY-AS-TBSH-WH</t>
  </si>
  <si>
    <t>BBY-AS-PLSE-BK</t>
  </si>
  <si>
    <t>BBY-AS-PLSE-WH</t>
  </si>
  <si>
    <t>BBY-AS-PLSE-RG</t>
  </si>
  <si>
    <t>AS-HEADC-PRO-WH</t>
  </si>
  <si>
    <t>AS-HEAD-DUOP</t>
  </si>
  <si>
    <t>AS-HEADC-PLS-BK</t>
  </si>
  <si>
    <t>AS-HEADC-PLS-WH</t>
  </si>
  <si>
    <t>AQUASONIC DUO PRO 8-PACK BRUSH HEADS</t>
  </si>
  <si>
    <t>https://www.bestbuy.com/site/aquasonic-vibe-series-rechargeable-electric-toothbrush-rose-gold/6500849.p?skuId=6500849</t>
  </si>
  <si>
    <t>https://www.bestbuy.com/site/aquasonic-vibe-series-rechargeable-electric-toothbrush-charcoal-metallic/6500855.p?skuId=6500855#anchor=productVariations</t>
  </si>
  <si>
    <t>https://www.bestbuy.com/site/aquasonic-vibe-series-rechargeable-electric-toothbrush-optic-white/6500856.p?skuId=6500856#anchor=productVariations</t>
  </si>
  <si>
    <t>https://www.bestbuy.com/site/aquasonic-pulse-series-rechargeable-electric-toothbrush-optic-white/6501074.p?skuId=6501074</t>
  </si>
  <si>
    <t>https://www.bestbuy.com/site/aquasonic-pulse-series-rechargeable-electric-toothbrush-rose-gold/6500866.p?skuId=6500866#anchor=productVariations</t>
  </si>
  <si>
    <t>https://www.bestbuy.com/site/aquasonic-pulse-series-rechargeable-electric-toothbrush-midnight-black/6500859.p?skuId=6500859#anchor=productVariations</t>
  </si>
  <si>
    <t>https://www.bestbuy.com/site/aquasonic-proflex-replacement-brush-heads-8-pack-white-black/6500870.p?skuId=6500870</t>
  </si>
  <si>
    <t>https://www.bestbuy.com/site/aquasonic-activated-charcoal-replacement-brush-heads-2-pack-white/6500868.p?skuId=6500868</t>
  </si>
  <si>
    <t>https://www.bestbuy.com/site/aquasonic-activated-charcoal-replacement-brush-heads-2-pack-black/6500874.p?skuId=6500874#anchor=productVariations</t>
  </si>
  <si>
    <t>https://www.bestbuy.com/site/aquasonic-activated-charcoal-replacement-brush-heads-2-pack-white/6500876.p?skuId=6500876#anchor=productVariations</t>
  </si>
  <si>
    <t>AquaSonic - Activated Charcoal Pulse Replacement Brush Heads (2-Pack) - White</t>
  </si>
  <si>
    <t>AquaSonic - Activated Charcoal Pulse Replacement Brush Heads (2-Pack) - Black</t>
  </si>
  <si>
    <t>AquaSonic - Activated Charcoal Vibe, Black Series, Pro Series, Duo Pro Replacement Brush Heads (2-Pack) - White</t>
  </si>
  <si>
    <t>AquaSonic - Ultrasonic Rechargeable Electric Toothbrush Ultimate Bundle - Rose Gold</t>
  </si>
  <si>
    <t>AquaSonic - Ultrasonic Rechargeable Electric Toothbrush Ultimate Bundle - Charcoal Metallic</t>
  </si>
  <si>
    <t>AquaSonic - Ultrasonic Rechargeable Electric Toothbrush Ultimate Bundle - Optic White</t>
  </si>
  <si>
    <t>Aquasonic - Sonic Rechargeable Electric Toothbrush with Activated Charcoal Whitening Bristles - Midnight Black</t>
  </si>
  <si>
    <t>Aquasonic - Sonic Rechargeable Electric Toothbrush with Activated Charcoal Whitening Bristles - Rose Gold</t>
  </si>
  <si>
    <t>Aquasonic - Sonic Rechargeable Electric Toothbrush with Activated Charcoal Whitening Bristles - Optic White</t>
  </si>
  <si>
    <t>AQUASONIC VIBE ULTRA TOOTHBRUSH CHARCL KEEP OFFLINE</t>
  </si>
  <si>
    <t>AQUA FLOSSER RCHRGBLE ORAL IRRIGATOR -ADDING INVENTORY</t>
  </si>
  <si>
    <t>AQUASONIC BLACK ULTRA SONIC TOOTHBRUSH. - KEEP OFFLINE</t>
  </si>
  <si>
    <t>AQUASONIC VIBE ULTRA TOOTHBRUSH-RSGLD - KEEP OFFLINE</t>
  </si>
  <si>
    <t>AQUASONIC VIBE ULTRA TOOTHBRUSH-WHITE - KEEP OFFLINE</t>
  </si>
  <si>
    <t>AQUASONIC DUO PRO ULTRA TOOTHBRUSHES - KEEP OFFLINE</t>
  </si>
  <si>
    <t xml:space="preserve">COMPLETE FAMILY ORAL CARE </t>
  </si>
  <si>
    <t>AS-HDSC-SET</t>
  </si>
  <si>
    <t>Pure Daily Care</t>
  </si>
  <si>
    <t>BBY-PDC-NANO-5PC</t>
  </si>
  <si>
    <t>BBY-PDC-NANO-PRO</t>
  </si>
  <si>
    <t>BBY-PDC-NANO-CLNC</t>
  </si>
  <si>
    <t>BBY-PDC-NDSW-WH</t>
  </si>
  <si>
    <t>BBY-PDC-DERM-PRO</t>
  </si>
  <si>
    <t>BBY-PDC-RDIO-SNG</t>
  </si>
  <si>
    <t>BBY-PDC-HALO-SLV</t>
  </si>
  <si>
    <t>BBY-PDC-RNEW-WH</t>
  </si>
  <si>
    <t>BBY-PDC-DERM-CLNC</t>
  </si>
  <si>
    <t>BBY-PDC-LUMA-MSK</t>
  </si>
  <si>
    <t>BBY-PDC-LUMA-WAND</t>
  </si>
  <si>
    <t>NanoSteamer - Large 3-in-1 Nano Ionic Facial Steamer with Bonus 5 Piece Stainless Steel Skin Kit</t>
  </si>
  <si>
    <t>NanoStemer PRO - Professional Ionic 4 in 1 Facial Steamer W/ 5 Staineless Steel Blemish Kit and a Headband</t>
  </si>
  <si>
    <t>NanoSteamer Clinical - 10-in-1 Smart Steam Dermatologist Grade Ionic Facial Steamer with 2 Multi-Position Steam Nozzles - Digital LCD Screen - Extraction Set - 6 Pre-Programmed Professional Modes</t>
  </si>
  <si>
    <t>NuDerma Skin Wand - Portable Handheld High Frequency Skin Therapy Machine</t>
  </si>
  <si>
    <t>NuDerma Professional Skin Therapy Wand - Portable Handheld High Frequency Skin Therapy Machine with 6 Neon &amp; Argon Wands - Acne Treatment - Skin Tightening - Wrinkle Reducing – Facial Skin Lifter</t>
  </si>
  <si>
    <t>DermaWave Clinical Radio Frequency Machine</t>
  </si>
  <si>
    <t xml:space="preserve">Halo Face Cleansing Brush with Red &amp; Blue LED Light
</t>
  </si>
  <si>
    <t xml:space="preserve">ReNew Skin Scrubber
</t>
  </si>
  <si>
    <t>NuDerma Clinical Skin Therapy Wand - Portable Handheld High Frequency Skin Therapy Machine w 6 FUSION Neon + Argon Wands - Natural Acne Treatment - Skin Tightening - Wrinkle Reducing - Facial Skin</t>
  </si>
  <si>
    <t>Luma LED Skin Therapy Mask - Home Skin Rejuvenation &amp; Anti-Aging Light Therapy - 7 Color LED - Facial Skin Care - Skin Tightening - Wrinkles and Fine Lines - Boost Collagen - Inflammation Fighter</t>
  </si>
  <si>
    <t>Luma Skin Therapy Wand - 4-in-1 Natural Facial Skincare Treatments</t>
  </si>
  <si>
    <t>https://www.bestbuy.com/site/pure-daily-care-nanosteamer-facial-steamer-white/6505518.p?skuId=6505518</t>
  </si>
  <si>
    <t>https://www.bestbuy.com/site/pure-daily-care-nuderma-skin-therapy-wand/6505523.p?skuId=6505523</t>
  </si>
  <si>
    <t>https://www.bestbuy.com/site/pure-daily-care-nuderma-professional-skin-therapy-wand/6505515.p?skuId=6505515</t>
  </si>
  <si>
    <t>https://www.bestbuy.com/site/pure-daily-care-dermawave-clinical-radio-frequency-machine/6505522.p?skuId=6505522</t>
  </si>
  <si>
    <t>https://www.bestbuy.com/site/pure-daily-care-halo-face-cleansing-brush-light-gray/6505519.p?skuId=6505519</t>
  </si>
  <si>
    <t>https://www.bestbuy.com/site/pure-daily-care-renew-skin-scrubber-white/6505516.p?skuId=6505516</t>
  </si>
  <si>
    <t>https://www.bestbuy.com/site/pure-daily-care-nuderma-clinical-skin-therapy-wand/6505521.p?skuId=6505521</t>
  </si>
  <si>
    <t>https://www.bestbuy.com/site/pure-daily-care-luma-skin-therapy-wand/6505517.p?skuId=6505517</t>
  </si>
  <si>
    <t>https://www.bestbuy.com/site/pure-daily-care-luma-light-therapy-mask/6505524.p?skuId=6505524</t>
  </si>
  <si>
    <t>https://www.bestbuy.com/site/pure-daily-care-nanosteamer-pro-facial-steamer-white/6505526.p?skuId=6505526</t>
  </si>
  <si>
    <t>https://www.bestbuy.com/site/pure-daily-care-nanosteamer-clinical-facial-steamer-white/6505525.p?skuId=6505525</t>
  </si>
  <si>
    <t>Cost changing to 55.96, retail to 69.95 on 8/1/22</t>
  </si>
  <si>
    <t>Cost change to 119.96, retail to $149.95 on 8/1/22</t>
  </si>
  <si>
    <t>Cost change to 71.96, retail to 89.95 on 8/1/22</t>
  </si>
  <si>
    <t>AQUASONIC BLACK SERIES PLUS TOOTHBRUSH</t>
  </si>
  <si>
    <t>EOL on 6/21/22</t>
  </si>
  <si>
    <t xml:space="preserve">AQUASONIC BLACK SERIES PLUS TOOTHBRUSH </t>
  </si>
  <si>
    <t>AS-TBSH-PLUS</t>
  </si>
  <si>
    <t>BBY COST</t>
  </si>
  <si>
    <t>Total Sales</t>
  </si>
  <si>
    <t>`</t>
  </si>
  <si>
    <t>BBY</t>
  </si>
  <si>
    <t>No</t>
  </si>
  <si>
    <t>AS-ELITE-BK</t>
  </si>
  <si>
    <t>AS-ELITE-RG</t>
  </si>
  <si>
    <t>AS-ELITE-WH</t>
  </si>
  <si>
    <t>AS-ICON-NV</t>
  </si>
  <si>
    <t>AS-ICON-WH</t>
  </si>
  <si>
    <t>AS-HEAD-ICON-2NV</t>
  </si>
  <si>
    <t>AS-HEAD-ICON-2WH</t>
  </si>
  <si>
    <t>AS-ELITE-DUO</t>
  </si>
  <si>
    <t>AS-HEAD-P3WH</t>
  </si>
  <si>
    <t>AS-HEAD-P3BK</t>
  </si>
  <si>
    <t>AS-HEAD-P8WH</t>
  </si>
  <si>
    <t>AS-HEAD-P8BK</t>
  </si>
  <si>
    <t>Aquasonic Elite Series Electric Toothbrush - Black</t>
  </si>
  <si>
    <t>Aquasonic Elite Series Electric Toothbrush - Rose Gold</t>
  </si>
  <si>
    <t>Aquasonic Elite Series Electric Toothbrush - White</t>
  </si>
  <si>
    <t>AquaSonic Icon Rechargeable Power Toothbrush | Magnetic Holder &amp; Slim Travel Case - Navy</t>
  </si>
  <si>
    <t>AquaSonic Icon Rechargeable Power Toothbrush | Magnetic Holder &amp; Slim Travel Case - Optic White</t>
  </si>
  <si>
    <t>AquaSonic Icon Navy Replacement Brush Heads - 2 Pack</t>
  </si>
  <si>
    <t>AquaSonic Icon White Replacement Brush Heads - 2 Pack</t>
  </si>
  <si>
    <t>AquaSonic Elite Duo Series Electric Toothbrush Set</t>
  </si>
  <si>
    <t>AquaSonic ProFlex White Brush Heads - 3 Pack</t>
  </si>
  <si>
    <t>AquaSonic ProFlex Black Brush Heads - 3 Pack</t>
  </si>
  <si>
    <t>AquaSonic ProFlex White Brush Heads - 8 Pack</t>
  </si>
  <si>
    <t>AquaSonic ProFlex Black Brush Heads - 8 Pack</t>
  </si>
  <si>
    <t>AS-WHITE-KIT</t>
  </si>
  <si>
    <t>3-IN-1 TEETH WHITENING SYSTEM SMB</t>
  </si>
  <si>
    <t>AS-ELITE-FLOS-BK</t>
  </si>
  <si>
    <t>PDC-NANO-5PC-HYAL1</t>
  </si>
  <si>
    <t>PDC-LUMA-MSK-HYAL1</t>
  </si>
  <si>
    <t>PDC-LUMA-WAND-HYAL1</t>
  </si>
  <si>
    <t>PDC-SKIN-HYAL1</t>
  </si>
  <si>
    <t>Luma LED Skin Therapy Mask and Hyaluronic Acid Serum: The Anti-Aging Duo</t>
  </si>
  <si>
    <t>4-in-1 Natural Facial Skincare Treatments with a Bonus High Energy Hyaluronic Serum</t>
  </si>
  <si>
    <t>High Energy Hyaluronic Serum (1oz) - Hydrating Clinical Grade Hyaluronic Acid</t>
  </si>
  <si>
    <t>https://www.bestbuy.com/site/aquasonic-elite-series-electric-toothbrush-black/6550471.p?skuId=6550471</t>
  </si>
  <si>
    <t xml:space="preserve">https://www.bestbuy.com/site/aquasonic-elite-series-electric-toothbrush-black/6550471.p?skuId=6550471 </t>
  </si>
  <si>
    <t xml:space="preserve">https://www.bestbuy.com/site/aquasonic-elite-series-electric-toothbrush-black/6550471.p?skuId=6550471  </t>
  </si>
  <si>
    <t xml:space="preserve">https://www.bestbuy.com/site/aquasonic-icon-rechargeable-power-toothbrush--magnetic-holder-slim-travel-case-navy/6550477.p?skuId=6550477 </t>
  </si>
  <si>
    <t xml:space="preserve">https://www.bestbuy.com/site/aquasonic-icon-replacement-brushheads-2pk-navy/6550478.p?skuId=6550478 </t>
  </si>
  <si>
    <t>https://www.bestbuy.com/site/aquasonic-elite-duo-series-electric-toothbrush-set-white-and-black/6550544.p?skuId=6550544</t>
  </si>
  <si>
    <t xml:space="preserve">https://www.bestbuy.com/site/aquasonic-proflex-brush-heads-3-pack-white/6550480.p?skuId=6550480 </t>
  </si>
  <si>
    <t xml:space="preserve">https://www.bestbuy.com/site/aquasonic-proflex-brush-heads-8-pack-white/6550476.p?skuId=6550476 </t>
  </si>
  <si>
    <t xml:space="preserve">https://www.bestbuy.com/site/aquasonic-power-bright-3-in-1-teeth-whitening-system-white/6552875.p?skuId=6552875 </t>
  </si>
  <si>
    <t xml:space="preserve">https://www.bestbuy.com/site/pure-daily-care-nano-ionic-facial-steamer-with-5-piece-skin-kit-and-hyaluronic-serum-white/6562452.p?skuId=6562452 </t>
  </si>
  <si>
    <t>https://www.bestbuy.com/site/pure-daily-care-luma-led-skin-therapy-mask-and-hyaluronic-acid-serum-the-anti-aging-duo-white/6562455.p?skuId=6562455</t>
  </si>
  <si>
    <t>https://www.bestbuy.com/site/pure-daily-care-4-in-1-natural-facial-skincare-treatments-with-a-bonus-high-energy-hyaluronic-serum-black/6562454.p?skuId=6562454</t>
  </si>
  <si>
    <t>https://www.bestbuy.com/site/pure-daily-care-high-energy-hyaluronic-serum-1oz-hydrating-clinical-grade-hyaluronic-acid-white/6562453.p?skuId=6562453</t>
  </si>
  <si>
    <t>Moved to Core</t>
  </si>
  <si>
    <t>Colors</t>
  </si>
  <si>
    <t>STARTED IN STORES</t>
  </si>
  <si>
    <t>DOTD</t>
  </si>
  <si>
    <t>Core SKU</t>
  </si>
  <si>
    <t xml:space="preserve">https://www.bestbuy.com/site/aquasonic-elite-water-flosser-black/6552876.p?skuId=6552876 </t>
  </si>
  <si>
    <t>AQUASONIC WATER FLOSSER SMB BLACK</t>
  </si>
  <si>
    <t>AS-ELITE-FLOS-WH</t>
  </si>
  <si>
    <t>AQUASONIC WATER FLOSSER SMB WHITE</t>
  </si>
  <si>
    <t>https://www.bestbuy.com/site/aquasonic-elite-water-flosser-white/6576717.p?skuId=6576717</t>
  </si>
  <si>
    <t>AquaSonic Elite Duo Ultra-Whitening Toothbrush Set - Black &amp; White</t>
  </si>
  <si>
    <t>Aquasonic Icon ADA-Accepted Rechargeable Toothbrush | Magnetic Holder &amp; Slim Travel Case (Navy)</t>
  </si>
  <si>
    <t>Aquasonic Icon ADA-Accepted Rechargeable Toothbrush | Magnetic Holder &amp; Slim Travel Case (White)</t>
  </si>
  <si>
    <t>AquaSonic Elite Flosser - Rechargeable Water Flosser with 4 Tips, 4 Modes &amp; Portable - White</t>
  </si>
  <si>
    <t>AquaSonic Elite Flosser - Rechargeable Water Flosser with 4 Tips, 4 Modes &amp; Portable - Black</t>
  </si>
  <si>
    <t>PDC-NANO-5PC-PR-HYAL1</t>
  </si>
  <si>
    <t>PDC-NANO-5PC-SL1-HYAL1</t>
  </si>
  <si>
    <t>Pure Daily Care - Nano Ionic Facial Steamer with 5 Piece Skin Kit and Hyaluronic Serum - Teal</t>
  </si>
  <si>
    <t>Pure Daily Care - Nano Ionic Facial Steamer with 5 Piece Skin Kit and Hyaluronic Serum - Lilac</t>
  </si>
  <si>
    <t>Pure Daily Care - Nano Ionic Facial Steamer with 5 Piece Skin Kit and Hyaluronic Serum - Silver</t>
  </si>
  <si>
    <t>https://www.bestbuy.com/site/pure-daily-care-nano-ionic-facial-steamer-with-5-piece-skin-kit-and-hyaluronic-serum-lilac/6579043.p?skuId=6579043</t>
  </si>
  <si>
    <t xml:space="preserve">https://www.bestbuy.com/site/pure-daily-care-nano-ionic-facial-steamer-with-5-piece-skin-kit-and-hyaluronic-serum-lilac/6579043.p?skuId=6579043 </t>
  </si>
  <si>
    <t>Drops Offer</t>
  </si>
  <si>
    <t>Aquasonic Icon ADA-Accepted Rechargeable Toothbrush (Navy)</t>
  </si>
  <si>
    <t>AquaSonic Elite Flosser - Black</t>
  </si>
  <si>
    <r>
      <t>AquaSonic - Duo Series Pro Rechargeable Electric Toothbrush Ultimate Bundle _</t>
    </r>
    <r>
      <rPr>
        <b/>
        <sz val="11"/>
        <color rgb="FFFF0000"/>
        <rFont val="Calibri (Body)"/>
      </rPr>
      <t xml:space="preserve"> SPECIAL COST</t>
    </r>
  </si>
  <si>
    <t>Aquasonic Icon ADA-Accepted Rechargeable Toothbrush  (Navy)</t>
  </si>
  <si>
    <t>Moved to core</t>
  </si>
  <si>
    <t>Sales at Cost</t>
  </si>
  <si>
    <t>Sales at MSRP</t>
  </si>
  <si>
    <t>2021 SDF</t>
  </si>
  <si>
    <t>2022 SDF</t>
  </si>
  <si>
    <t>2023 SDF</t>
  </si>
  <si>
    <t>2024 SDF</t>
  </si>
  <si>
    <t xml:space="preserve">2021 CORE </t>
  </si>
  <si>
    <t xml:space="preserve">2022 CORE </t>
  </si>
  <si>
    <t xml:space="preserve">2023 CORE </t>
  </si>
  <si>
    <t xml:space="preserve">2024 CORE </t>
  </si>
  <si>
    <t>SDF TOTALS</t>
  </si>
  <si>
    <t>CORE TOTALS</t>
  </si>
  <si>
    <t>Core Sell thru (TOTAL)</t>
  </si>
  <si>
    <t>Core Sell thru (Online)</t>
  </si>
  <si>
    <t>Core Sell thru (Brick &amp; Mortar)</t>
  </si>
  <si>
    <t>SDF Sell Thru (Online)</t>
  </si>
  <si>
    <t>2025 SDF</t>
  </si>
  <si>
    <t xml:space="preserve">2025 CORE </t>
  </si>
  <si>
    <t>Moved from .com to Core</t>
  </si>
  <si>
    <t>AquaSonic Elite Flosser - White</t>
  </si>
  <si>
    <t>BBY Sku</t>
  </si>
  <si>
    <t>V+VLOOKUP(B82,'[AQUASONIC_SV-CORE_CPFR_EXTRACT_SV_1234_20250929115416.xlsx]Sheet3'!$A:$K,11,False)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</si>
</sst>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 (Body)"/>
    </font>
    <font>
      <sz val="12"/>
      <color rgb="FFFF0000"/>
      <name val="Calibri (Body)"/>
    </font>
    <font>
      <sz val="11"/>
      <color rgb="FFFF0000"/>
      <name val="Calibri"/>
      <family val="2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rgb="FFFF0000"/>
      <name val="Calibri (Body)"/>
    </font>
    <font>
      <sz val="10"/>
      <color rgb="FF1D1C1D"/>
      <name val="Arial"/>
      <family val="2"/>
    </font>
    <font>
      <sz val="10"/>
      <color theme="1"/>
      <name val="Arial"/>
      <family val="2"/>
    </font>
    <font>
      <sz val="10"/>
      <color theme="1"/>
      <name val="Human BBY Office"/>
    </font>
    <font>
      <sz val="11"/>
      <color theme="1"/>
      <name val="Arial"/>
      <family val="2"/>
    </font>
    <font>
      <sz val="10"/>
      <color rgb="FF000000"/>
      <name val="Helvetica Neue"/>
      <family val="2"/>
    </font>
    <font>
      <sz val="12"/>
      <color rgb="FFFF0000"/>
      <name val="Calibri"/>
      <family val="2"/>
      <scheme val="minor"/>
    </font>
    <font>
      <u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 (Body)"/>
    </font>
    <font>
      <sz val="12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FF78F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" fontId="2" fillId="0" borderId="1" xfId="0" applyNumberFormat="1" applyFont="1" applyBorder="1"/>
    <xf numFmtId="0" fontId="2" fillId="0" borderId="1" xfId="0" applyFont="1" applyBorder="1"/>
    <xf numFmtId="164" fontId="0" fillId="0" borderId="1" xfId="0" applyNumberFormat="1" applyBorder="1"/>
    <xf numFmtId="0" fontId="1" fillId="0" borderId="1" xfId="0" applyFont="1" applyBorder="1"/>
    <xf numFmtId="14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0" fontId="3" fillId="2" borderId="1" xfId="0" applyFont="1" applyFill="1" applyBorder="1"/>
    <xf numFmtId="1" fontId="3" fillId="0" borderId="1" xfId="0" applyNumberFormat="1" applyFont="1" applyBorder="1"/>
    <xf numFmtId="0" fontId="3" fillId="0" borderId="1" xfId="0" applyFont="1" applyBorder="1"/>
    <xf numFmtId="164" fontId="4" fillId="0" borderId="1" xfId="0" applyNumberFormat="1" applyFont="1" applyBorder="1"/>
    <xf numFmtId="0" fontId="6" fillId="0" borderId="1" xfId="1" applyBorder="1"/>
    <xf numFmtId="0" fontId="0" fillId="5" borderId="1" xfId="0" applyFill="1" applyBorder="1"/>
    <xf numFmtId="0" fontId="2" fillId="0" borderId="0" xfId="0" applyFont="1"/>
    <xf numFmtId="1" fontId="2" fillId="0" borderId="0" xfId="0" applyNumberFormat="1" applyFont="1"/>
    <xf numFmtId="0" fontId="7" fillId="0" borderId="1" xfId="0" applyFont="1" applyBorder="1"/>
    <xf numFmtId="0" fontId="4" fillId="0" borderId="1" xfId="0" applyFont="1" applyBorder="1"/>
    <xf numFmtId="0" fontId="9" fillId="0" borderId="1" xfId="1" applyFont="1" applyBorder="1"/>
    <xf numFmtId="0" fontId="4" fillId="0" borderId="0" xfId="0" applyFont="1"/>
    <xf numFmtId="3" fontId="0" fillId="0" borderId="1" xfId="0" applyNumberFormat="1" applyBorder="1"/>
    <xf numFmtId="0" fontId="0" fillId="6" borderId="1" xfId="0" applyFill="1" applyBorder="1"/>
    <xf numFmtId="0" fontId="0" fillId="7" borderId="1" xfId="0" applyFill="1" applyBorder="1"/>
    <xf numFmtId="164" fontId="1" fillId="0" borderId="1" xfId="0" applyNumberFormat="1" applyFont="1" applyBorder="1"/>
    <xf numFmtId="0" fontId="2" fillId="7" borderId="1" xfId="0" applyFont="1" applyFill="1" applyBorder="1"/>
    <xf numFmtId="1" fontId="2" fillId="7" borderId="1" xfId="0" applyNumberFormat="1" applyFont="1" applyFill="1" applyBorder="1"/>
    <xf numFmtId="164" fontId="0" fillId="7" borderId="1" xfId="0" applyNumberFormat="1" applyFill="1" applyBorder="1"/>
    <xf numFmtId="1" fontId="2" fillId="8" borderId="1" xfId="0" applyNumberFormat="1" applyFont="1" applyFill="1" applyBorder="1"/>
    <xf numFmtId="3" fontId="1" fillId="0" borderId="1" xfId="0" applyNumberFormat="1" applyFont="1" applyBorder="1"/>
    <xf numFmtId="3" fontId="1" fillId="0" borderId="0" xfId="0" applyNumberFormat="1" applyFont="1"/>
    <xf numFmtId="14" fontId="0" fillId="3" borderId="1" xfId="0" applyNumberFormat="1" applyFill="1" applyBorder="1"/>
    <xf numFmtId="3" fontId="0" fillId="0" borderId="0" xfId="0" applyNumberFormat="1"/>
    <xf numFmtId="0" fontId="2" fillId="9" borderId="1" xfId="0" applyFont="1" applyFill="1" applyBorder="1"/>
    <xf numFmtId="0" fontId="4" fillId="5" borderId="1" xfId="0" applyFont="1" applyFill="1" applyBorder="1"/>
    <xf numFmtId="1" fontId="10" fillId="0" borderId="1" xfId="0" applyNumberFormat="1" applyFont="1" applyBorder="1"/>
    <xf numFmtId="0" fontId="11" fillId="10" borderId="1" xfId="0" applyFont="1" applyFill="1" applyBorder="1" applyAlignment="1">
      <alignment horizontal="center" wrapText="1"/>
    </xf>
    <xf numFmtId="0" fontId="11" fillId="0" borderId="1" xfId="0" applyFont="1" applyBorder="1"/>
    <xf numFmtId="0" fontId="11" fillId="10" borderId="1" xfId="0" applyFont="1" applyFill="1" applyBorder="1"/>
    <xf numFmtId="8" fontId="12" fillId="0" borderId="1" xfId="0" applyNumberFormat="1" applyFont="1" applyBorder="1"/>
    <xf numFmtId="164" fontId="13" fillId="0" borderId="1" xfId="0" applyNumberFormat="1" applyFont="1" applyBorder="1" applyAlignment="1">
      <alignment horizontal="center"/>
    </xf>
    <xf numFmtId="0" fontId="0" fillId="0" borderId="2" xfId="0" applyBorder="1"/>
    <xf numFmtId="0" fontId="2" fillId="8" borderId="0" xfId="0" applyFont="1" applyFill="1"/>
    <xf numFmtId="3" fontId="0" fillId="0" borderId="3" xfId="0" applyNumberFormat="1" applyBorder="1"/>
    <xf numFmtId="3" fontId="0" fillId="0" borderId="4" xfId="0" applyNumberFormat="1" applyBorder="1"/>
    <xf numFmtId="0" fontId="2" fillId="8" borderId="5" xfId="0" applyFont="1" applyFill="1" applyBorder="1"/>
    <xf numFmtId="0" fontId="0" fillId="9" borderId="1" xfId="0" applyFill="1" applyBorder="1"/>
    <xf numFmtId="0" fontId="14" fillId="0" borderId="1" xfId="0" applyFont="1" applyBorder="1"/>
    <xf numFmtId="0" fontId="14" fillId="9" borderId="1" xfId="0" applyFont="1" applyFill="1" applyBorder="1"/>
    <xf numFmtId="0" fontId="1" fillId="0" borderId="0" xfId="0" applyFont="1"/>
    <xf numFmtId="0" fontId="11" fillId="11" borderId="1" xfId="0" applyFont="1" applyFill="1" applyBorder="1" applyAlignment="1">
      <alignment horizontal="left" wrapText="1"/>
    </xf>
    <xf numFmtId="0" fontId="0" fillId="12" borderId="1" xfId="0" applyFill="1" applyBorder="1"/>
    <xf numFmtId="0" fontId="11" fillId="10" borderId="1" xfId="0" applyFont="1" applyFill="1" applyBorder="1" applyAlignment="1">
      <alignment horizontal="left" wrapText="1"/>
    </xf>
    <xf numFmtId="0" fontId="14" fillId="12" borderId="1" xfId="0" applyFont="1" applyFill="1" applyBorder="1"/>
    <xf numFmtId="14" fontId="0" fillId="6" borderId="1" xfId="0" applyNumberFormat="1" applyFill="1" applyBorder="1"/>
    <xf numFmtId="0" fontId="0" fillId="13" borderId="1" xfId="0" applyFill="1" applyBorder="1"/>
    <xf numFmtId="0" fontId="5" fillId="7" borderId="1" xfId="0" applyFont="1" applyFill="1" applyBorder="1"/>
    <xf numFmtId="1" fontId="5" fillId="7" borderId="1" xfId="0" applyNumberFormat="1" applyFont="1" applyFill="1" applyBorder="1"/>
    <xf numFmtId="164" fontId="15" fillId="7" borderId="1" xfId="0" applyNumberFormat="1" applyFont="1" applyFill="1" applyBorder="1"/>
    <xf numFmtId="0" fontId="15" fillId="7" borderId="1" xfId="0" applyFont="1" applyFill="1" applyBorder="1"/>
    <xf numFmtId="0" fontId="15" fillId="5" borderId="1" xfId="0" applyFont="1" applyFill="1" applyBorder="1"/>
    <xf numFmtId="0" fontId="16" fillId="0" borderId="1" xfId="1" applyFont="1" applyBorder="1"/>
    <xf numFmtId="0" fontId="15" fillId="0" borderId="0" xfId="0" applyFont="1"/>
    <xf numFmtId="14" fontId="0" fillId="3" borderId="5" xfId="0" applyNumberFormat="1" applyFill="1" applyBorder="1"/>
    <xf numFmtId="3" fontId="0" fillId="0" borderId="5" xfId="0" applyNumberFormat="1" applyBorder="1"/>
    <xf numFmtId="0" fontId="17" fillId="0" borderId="1" xfId="0" applyFont="1" applyBorder="1"/>
    <xf numFmtId="1" fontId="3" fillId="8" borderId="1" xfId="0" applyNumberFormat="1" applyFont="1" applyFill="1" applyBorder="1"/>
    <xf numFmtId="0" fontId="0" fillId="8" borderId="1" xfId="0" applyFill="1" applyBorder="1"/>
    <xf numFmtId="0" fontId="14" fillId="0" borderId="2" xfId="0" applyFont="1" applyBorder="1"/>
    <xf numFmtId="0" fontId="0" fillId="3" borderId="2" xfId="0" applyFill="1" applyBorder="1"/>
    <xf numFmtId="164" fontId="1" fillId="0" borderId="0" xfId="0" applyNumberFormat="1" applyFont="1"/>
    <xf numFmtId="0" fontId="0" fillId="3" borderId="6" xfId="0" applyFill="1" applyBorder="1"/>
    <xf numFmtId="0" fontId="0" fillId="3" borderId="7" xfId="0" applyFill="1" applyBorder="1"/>
    <xf numFmtId="0" fontId="0" fillId="18" borderId="0" xfId="0" applyFill="1"/>
    <xf numFmtId="0" fontId="1" fillId="4" borderId="0" xfId="0" applyFont="1" applyFill="1"/>
    <xf numFmtId="0" fontId="1" fillId="4" borderId="1" xfId="0" applyFont="1" applyFill="1" applyBorder="1"/>
    <xf numFmtId="0" fontId="14" fillId="0" borderId="0" xfId="0" applyFont="1"/>
    <xf numFmtId="14" fontId="0" fillId="4" borderId="1" xfId="0" applyNumberFormat="1" applyFill="1" applyBorder="1"/>
    <xf numFmtId="164" fontId="0" fillId="0" borderId="0" xfId="0" applyNumberFormat="1"/>
    <xf numFmtId="0" fontId="1" fillId="0" borderId="6" xfId="0" applyFont="1" applyBorder="1"/>
    <xf numFmtId="0" fontId="14" fillId="6" borderId="1" xfId="0" applyFont="1" applyFill="1" applyBorder="1"/>
    <xf numFmtId="0" fontId="14" fillId="13" borderId="1" xfId="0" applyFont="1" applyFill="1" applyBorder="1"/>
    <xf numFmtId="14" fontId="0" fillId="4" borderId="0" xfId="0" applyNumberFormat="1" applyFill="1"/>
    <xf numFmtId="0" fontId="0" fillId="4" borderId="1" xfId="0" applyFill="1" applyBorder="1" applyAlignment="1">
      <alignment horizontal="center" wrapText="1"/>
    </xf>
    <xf numFmtId="0" fontId="19" fillId="17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78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estbuy.com/site/aquasonic-vibe-series-rechargeable-electric-toothbrush-rose-gold/6500849.p?skuId=6500849" TargetMode="External"/><Relationship Id="rId18" Type="http://schemas.openxmlformats.org/officeDocument/2006/relationships/hyperlink" Target="https://www.bestbuy.com/site/aquasonic-pulse-series-rechargeable-electric-toothbrush-midnight-black/6500859.p?skuId=6500859" TargetMode="External"/><Relationship Id="rId26" Type="http://schemas.openxmlformats.org/officeDocument/2006/relationships/hyperlink" Target="https://www.bestbuy.com/site/aquasonic-elite-series-electric-toothbrush-black/6550471.p?skuId=6550471" TargetMode="External"/><Relationship Id="rId39" Type="http://schemas.openxmlformats.org/officeDocument/2006/relationships/hyperlink" Target="https://www.bestbuy.com/site/pure-daily-care-luma-led-skin-therapy-mask-and-hyaluronic-acid-serum-the-anti-aging-duo-white/6562455.p?skuId=6562455" TargetMode="External"/><Relationship Id="rId21" Type="http://schemas.openxmlformats.org/officeDocument/2006/relationships/hyperlink" Target="https://www.bestbuy.com/site/aquasonic-activated-charcoal-replacement-brush-heads-2-pack-black/6500874.p?skuId=6500874" TargetMode="External"/><Relationship Id="rId34" Type="http://schemas.openxmlformats.org/officeDocument/2006/relationships/hyperlink" Target="https://www.bestbuy.com/site/aquasonic-proflex-brush-heads-3-pack-white/6550480.p?skuId=6550480" TargetMode="External"/><Relationship Id="rId42" Type="http://schemas.openxmlformats.org/officeDocument/2006/relationships/hyperlink" Target="https://www.bestbuy.com/site/aquasonic-elite-water-flosser-black/6552876.p?skuId=6552876" TargetMode="External"/><Relationship Id="rId7" Type="http://schemas.openxmlformats.org/officeDocument/2006/relationships/hyperlink" Target="https://www.bestbuy.com/site/aquasonic-black-series-pro-rechargeable-electric-toothbrush-black/6454801.p?skuId=6454801" TargetMode="External"/><Relationship Id="rId2" Type="http://schemas.openxmlformats.org/officeDocument/2006/relationships/hyperlink" Target="https://www.bestbuy.com/site/aquasonic-pro-water-flosser-white/6454807.p?skuId=6454807" TargetMode="External"/><Relationship Id="rId16" Type="http://schemas.openxmlformats.org/officeDocument/2006/relationships/hyperlink" Target="https://www.bestbuy.com/site/aquasonic-pulse-series-rechargeable-electric-toothbrush-optic-white/6501074.p?skuId=6501074" TargetMode="External"/><Relationship Id="rId29" Type="http://schemas.openxmlformats.org/officeDocument/2006/relationships/hyperlink" Target="https://www.bestbuy.com/site/aquasonic-icon-rechargeable-power-toothbrush--magnetic-holder-slim-travel-case-navy/6550477.p?skuId=6550477" TargetMode="External"/><Relationship Id="rId1" Type="http://schemas.openxmlformats.org/officeDocument/2006/relationships/hyperlink" Target="https://www.bestbuy.com/site/aquasonic-rechargeable-electric-toothbrush-and-oral-irrigator-set-white/6454802.p?skuId=6454802" TargetMode="External"/><Relationship Id="rId6" Type="http://schemas.openxmlformats.org/officeDocument/2006/relationships/hyperlink" Target="https://www.bestbuy.com/site/aquasonic-vibe-series-rechargeable-electric-toothbrush-optic-white/6454798.p?skuId=6454798" TargetMode="External"/><Relationship Id="rId11" Type="http://schemas.openxmlformats.org/officeDocument/2006/relationships/hyperlink" Target="https://www.bestbuy.com/site/aquasonic-black-ultrasonic-toothbrush-ultimate-bundle-black/6488842.p?skuId=6488842" TargetMode="External"/><Relationship Id="rId24" Type="http://schemas.openxmlformats.org/officeDocument/2006/relationships/hyperlink" Target="https://www.bestbuy.com/site/pure-daily-care-luma-light-therapy-mask/6505524.p?skuId=6505524" TargetMode="External"/><Relationship Id="rId32" Type="http://schemas.openxmlformats.org/officeDocument/2006/relationships/hyperlink" Target="https://www.bestbuy.com/site/aquasonic-elite-duo-series-electric-toothbrush-set-white-and-black/6550544.p?skuId=6550544" TargetMode="External"/><Relationship Id="rId37" Type="http://schemas.openxmlformats.org/officeDocument/2006/relationships/hyperlink" Target="https://www.bestbuy.com/site/aquasonic-power-bright-3-in-1-teeth-whitening-system-white/6552875.p?skuId=6552875" TargetMode="External"/><Relationship Id="rId40" Type="http://schemas.openxmlformats.org/officeDocument/2006/relationships/hyperlink" Target="https://www.bestbuy.com/site/pure-daily-care-4-in-1-natural-facial-skincare-treatments-with-a-bonus-high-energy-hyaluronic-serum-black/6562454.p?skuId=6562454" TargetMode="External"/><Relationship Id="rId45" Type="http://schemas.openxmlformats.org/officeDocument/2006/relationships/hyperlink" Target="https://www.bestbuy.com/site/pure-daily-care-nano-ionic-facial-steamer-with-5-piece-skin-kit-and-hyaluronic-serum-lilac/6579043.p?skuId=6579043" TargetMode="External"/><Relationship Id="rId5" Type="http://schemas.openxmlformats.org/officeDocument/2006/relationships/hyperlink" Target="https://www.bestbuy.com/site/aquasonic-vibe-series-rechargeable-electric-toothbrush-satin-rose-gold/6454808.p?skuId=6454808" TargetMode="External"/><Relationship Id="rId15" Type="http://schemas.openxmlformats.org/officeDocument/2006/relationships/hyperlink" Target="https://www.bestbuy.com/site/aquasonic-vibe-series-rechargeable-electric-toothbrush-optic-white/6500856.p?skuId=6500856" TargetMode="External"/><Relationship Id="rId23" Type="http://schemas.openxmlformats.org/officeDocument/2006/relationships/hyperlink" Target="https://www.bestbuy.com/site/pure-daily-care-nuderma-professional-skin-therapy-wand/6505515.p?skuId=6505515" TargetMode="External"/><Relationship Id="rId28" Type="http://schemas.openxmlformats.org/officeDocument/2006/relationships/hyperlink" Target="https://www.bestbuy.com/site/aquasonic-icon-rechargeable-power-toothbrush--magnetic-holder-slim-travel-case-navy/6550477.p?skuId=6550477" TargetMode="External"/><Relationship Id="rId36" Type="http://schemas.openxmlformats.org/officeDocument/2006/relationships/hyperlink" Target="https://www.bestbuy.com/site/aquasonic-proflex-brush-heads-8-pack-white/6550476.p?skuId=6550476" TargetMode="External"/><Relationship Id="rId10" Type="http://schemas.openxmlformats.org/officeDocument/2006/relationships/hyperlink" Target="https://www.bestbuy.com/site/aquasonic-aqua-flosser-oral-irrigator-white/6454799.p?skuId=6454799" TargetMode="External"/><Relationship Id="rId19" Type="http://schemas.openxmlformats.org/officeDocument/2006/relationships/hyperlink" Target="https://www.bestbuy.com/site/aquasonic-proflex-replacement-brush-heads-8-pack-white-black/6500870.p?skuId=6500870" TargetMode="External"/><Relationship Id="rId31" Type="http://schemas.openxmlformats.org/officeDocument/2006/relationships/hyperlink" Target="https://www.bestbuy.com/site/aquasonic-icon-replacement-brushheads-2pk-navy/6550478.p?skuId=6550478" TargetMode="External"/><Relationship Id="rId44" Type="http://schemas.openxmlformats.org/officeDocument/2006/relationships/hyperlink" Target="https://www.bestbuy.com/site/pure-daily-care-nano-ionic-facial-steamer-with-5-piece-skin-kit-and-hyaluronic-serum-lilac/6579043.p?skuId=6579043" TargetMode="External"/><Relationship Id="rId4" Type="http://schemas.openxmlformats.org/officeDocument/2006/relationships/hyperlink" Target="https://www.bestbuy.com/site/aquasonic-vibe-series-rechargeable-electric-toothbrush-charcoal-metallic/6454805.p?skuId=6454805" TargetMode="External"/><Relationship Id="rId9" Type="http://schemas.openxmlformats.org/officeDocument/2006/relationships/hyperlink" Target="https://www.bestbuy.com/site/aquasonic-black-series-rechargeable-electric-toothbrush-black/6454806.p?skuId=6454806" TargetMode="External"/><Relationship Id="rId14" Type="http://schemas.openxmlformats.org/officeDocument/2006/relationships/hyperlink" Target="https://www.bestbuy.com/site/aquasonic-vibe-series-rechargeable-electric-toothbrush-charcoal-metallic/6500855.p?skuId=6500855" TargetMode="External"/><Relationship Id="rId22" Type="http://schemas.openxmlformats.org/officeDocument/2006/relationships/hyperlink" Target="https://www.bestbuy.com/site/aquasonic-activated-charcoal-replacement-brush-heads-2-pack-white/6500876.p?skuId=6500876" TargetMode="External"/><Relationship Id="rId27" Type="http://schemas.openxmlformats.org/officeDocument/2006/relationships/hyperlink" Target="https://www.bestbuy.com/site/aquasonic-elite-series-electric-toothbrush-black/6550471.p?skuId=6550471" TargetMode="External"/><Relationship Id="rId30" Type="http://schemas.openxmlformats.org/officeDocument/2006/relationships/hyperlink" Target="https://www.bestbuy.com/site/aquasonic-icon-replacement-brushheads-2pk-navy/6550478.p?skuId=6550478" TargetMode="External"/><Relationship Id="rId35" Type="http://schemas.openxmlformats.org/officeDocument/2006/relationships/hyperlink" Target="https://www.bestbuy.com/site/aquasonic-proflex-brush-heads-8-pack-white/6550476.p?skuId=6550476" TargetMode="External"/><Relationship Id="rId43" Type="http://schemas.openxmlformats.org/officeDocument/2006/relationships/hyperlink" Target="https://www.bestbuy.com/site/aquasonic-elite-water-flosser-white/6576717.p?skuId=6576717" TargetMode="External"/><Relationship Id="rId8" Type="http://schemas.openxmlformats.org/officeDocument/2006/relationships/hyperlink" Target="https://www.bestbuy.com/site/aquasonic-duo-series-pro-rechargeable-electric-toothbrush-set-midnight-black-optic-white/6454800.p?skuId=6454800" TargetMode="External"/><Relationship Id="rId3" Type="http://schemas.openxmlformats.org/officeDocument/2006/relationships/hyperlink" Target="https://www.bestbuy.com/site/aquasonic-duo-series-rechargeable-electric-toothbrush-set-white-satin-black/6454803.p?skuId=6454803" TargetMode="External"/><Relationship Id="rId12" Type="http://schemas.openxmlformats.org/officeDocument/2006/relationships/hyperlink" Target="https://www.bestbuy.com/site/aquasonic-ultrasonic-uv-sanitizing-toothbrush-set-limited-edition-bundle-midnight-black-optic-white/6488843.p?skuId=6488843" TargetMode="External"/><Relationship Id="rId17" Type="http://schemas.openxmlformats.org/officeDocument/2006/relationships/hyperlink" Target="https://www.bestbuy.com/site/aquasonic-pulse-series-rechargeable-electric-toothbrush-rose-gold/6500866.p?skuId=6500866" TargetMode="External"/><Relationship Id="rId25" Type="http://schemas.openxmlformats.org/officeDocument/2006/relationships/hyperlink" Target="https://www.bestbuy.com/site/pure-daily-care-nanosteamer-pro-facial-steamer-white/6505526.p?skuId=6505526" TargetMode="External"/><Relationship Id="rId33" Type="http://schemas.openxmlformats.org/officeDocument/2006/relationships/hyperlink" Target="https://www.bestbuy.com/site/aquasonic-proflex-brush-heads-3-pack-white/6550480.p?skuId=6550480" TargetMode="External"/><Relationship Id="rId38" Type="http://schemas.openxmlformats.org/officeDocument/2006/relationships/hyperlink" Target="https://www.bestbuy.com/site/pure-daily-care-nano-ionic-facial-steamer-with-5-piece-skin-kit-and-hyaluronic-serum-white/6562452.p?skuId=6562452" TargetMode="External"/><Relationship Id="rId20" Type="http://schemas.openxmlformats.org/officeDocument/2006/relationships/hyperlink" Target="https://www.bestbuy.com/site/aquasonic-activated-charcoal-replacement-brush-heads-2-pack-white/6500868.p?skuId=6500868" TargetMode="External"/><Relationship Id="rId41" Type="http://schemas.openxmlformats.org/officeDocument/2006/relationships/hyperlink" Target="https://www.bestbuy.com/site/pure-daily-care-high-energy-hyaluronic-serum-1oz-hydrating-clinical-grade-hyaluronic-acid-white/6562453.p?skuId=65624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1760-B018-434F-9649-C1013C070E08}">
  <sheetPr>
    <tabColor theme="7" tint="0.59999389629810485"/>
  </sheetPr>
  <dimension ref="A1:K57"/>
  <sheetViews>
    <sheetView topLeftCell="A26" workbookViewId="0">
      <selection activeCell="C43" sqref="C43"/>
    </sheetView>
  </sheetViews>
  <sheetFormatPr defaultColWidth="8.625" defaultRowHeight="15.75"/>
  <cols>
    <col min="1" max="1" width="8.375" bestFit="1" customWidth="1"/>
    <col min="2" max="3" width="13.125" customWidth="1"/>
    <col min="4" max="4" width="24" customWidth="1"/>
    <col min="5" max="5" width="86.125" customWidth="1"/>
    <col min="6" max="6" width="8.5" customWidth="1"/>
    <col min="7" max="7" width="7.625" customWidth="1"/>
    <col min="8" max="8" width="6.5" customWidth="1"/>
    <col min="9" max="9" width="7.5" customWidth="1"/>
    <col min="10" max="10" width="142.375" bestFit="1" customWidth="1"/>
    <col min="11" max="11" width="40.5" bestFit="1" customWidth="1"/>
  </cols>
  <sheetData>
    <row r="1" spans="1:11">
      <c r="A1" s="8" t="s">
        <v>23</v>
      </c>
      <c r="B1" s="8" t="s">
        <v>1</v>
      </c>
      <c r="C1" s="8" t="s">
        <v>0</v>
      </c>
      <c r="D1" s="8" t="s">
        <v>25</v>
      </c>
      <c r="E1" s="8" t="s">
        <v>24</v>
      </c>
      <c r="F1" s="8" t="s">
        <v>26</v>
      </c>
      <c r="G1" s="8" t="s">
        <v>27</v>
      </c>
      <c r="H1" s="8" t="s">
        <v>28</v>
      </c>
      <c r="I1" s="8" t="s">
        <v>33</v>
      </c>
      <c r="J1" s="8" t="s">
        <v>29</v>
      </c>
      <c r="K1" s="8" t="s">
        <v>40</v>
      </c>
    </row>
    <row r="2" spans="1:11" s="21" customFormat="1" ht="15">
      <c r="A2" s="10">
        <v>6454804</v>
      </c>
      <c r="B2" s="11">
        <v>810016710004</v>
      </c>
      <c r="C2" s="11">
        <v>810016712022</v>
      </c>
      <c r="D2" s="12" t="s">
        <v>22</v>
      </c>
      <c r="E2" s="12" t="s">
        <v>21</v>
      </c>
      <c r="F2" s="13">
        <v>29.96</v>
      </c>
      <c r="G2" s="13">
        <v>39.950000000000003</v>
      </c>
      <c r="H2" s="19"/>
      <c r="I2" s="35"/>
      <c r="J2" s="20" t="s">
        <v>45</v>
      </c>
      <c r="K2" s="20"/>
    </row>
    <row r="3" spans="1:11" s="21" customFormat="1" ht="15">
      <c r="A3" s="10">
        <v>6454800</v>
      </c>
      <c r="B3" s="11">
        <v>810016710004</v>
      </c>
      <c r="C3" s="11">
        <v>810016711094</v>
      </c>
      <c r="D3" s="12" t="s">
        <v>20</v>
      </c>
      <c r="E3" s="12" t="s">
        <v>90</v>
      </c>
      <c r="F3" s="13">
        <v>59.96</v>
      </c>
      <c r="G3" s="13">
        <v>79.95</v>
      </c>
      <c r="H3" s="19" t="s">
        <v>46</v>
      </c>
      <c r="I3" s="35" t="s">
        <v>46</v>
      </c>
      <c r="J3" s="20" t="s">
        <v>42</v>
      </c>
      <c r="K3" s="20" t="s">
        <v>52</v>
      </c>
    </row>
    <row r="4" spans="1:11" s="21" customFormat="1" ht="15">
      <c r="A4" s="10">
        <v>6454806</v>
      </c>
      <c r="B4" s="11">
        <v>810016710004</v>
      </c>
      <c r="C4" s="11">
        <v>810016710127</v>
      </c>
      <c r="D4" s="12" t="s">
        <v>3</v>
      </c>
      <c r="E4" s="12" t="s">
        <v>87</v>
      </c>
      <c r="F4" s="13">
        <v>27.71</v>
      </c>
      <c r="G4" s="13">
        <v>36.950000000000003</v>
      </c>
      <c r="H4" s="19" t="s">
        <v>46</v>
      </c>
      <c r="I4" s="35" t="s">
        <v>46</v>
      </c>
      <c r="J4" s="20" t="s">
        <v>43</v>
      </c>
      <c r="K4" s="20" t="s">
        <v>52</v>
      </c>
    </row>
    <row r="5" spans="1:11" s="21" customFormat="1" ht="15">
      <c r="A5" s="10">
        <v>6454805</v>
      </c>
      <c r="B5" s="11">
        <v>810016710004</v>
      </c>
      <c r="C5" s="11">
        <v>810016710066</v>
      </c>
      <c r="D5" s="12" t="s">
        <v>9</v>
      </c>
      <c r="E5" s="12" t="s">
        <v>85</v>
      </c>
      <c r="F5" s="13">
        <v>27.71</v>
      </c>
      <c r="G5" s="13">
        <v>36.950000000000003</v>
      </c>
      <c r="H5" s="19" t="s">
        <v>46</v>
      </c>
      <c r="I5" s="35" t="s">
        <v>46</v>
      </c>
      <c r="J5" s="20" t="s">
        <v>36</v>
      </c>
      <c r="K5" s="20"/>
    </row>
    <row r="6" spans="1:11" s="21" customFormat="1" ht="15">
      <c r="A6" s="10">
        <v>6454808</v>
      </c>
      <c r="B6" s="11">
        <v>810016710004</v>
      </c>
      <c r="C6" s="11">
        <v>810016710059</v>
      </c>
      <c r="D6" s="12" t="s">
        <v>7</v>
      </c>
      <c r="E6" s="12" t="s">
        <v>88</v>
      </c>
      <c r="F6" s="13">
        <v>27.71</v>
      </c>
      <c r="G6" s="13">
        <v>36.950000000000003</v>
      </c>
      <c r="H6" s="19" t="s">
        <v>46</v>
      </c>
      <c r="I6" s="35" t="s">
        <v>46</v>
      </c>
      <c r="J6" s="20" t="s">
        <v>37</v>
      </c>
      <c r="K6" s="20"/>
    </row>
    <row r="7" spans="1:11" s="21" customFormat="1" ht="15">
      <c r="A7" s="10">
        <v>6454798</v>
      </c>
      <c r="B7" s="11">
        <v>810016710004</v>
      </c>
      <c r="C7" s="11">
        <v>810016710042</v>
      </c>
      <c r="D7" s="12" t="s">
        <v>5</v>
      </c>
      <c r="E7" s="12" t="s">
        <v>89</v>
      </c>
      <c r="F7" s="13">
        <v>27.71</v>
      </c>
      <c r="G7" s="13">
        <v>36.950000000000003</v>
      </c>
      <c r="H7" s="19" t="s">
        <v>46</v>
      </c>
      <c r="I7" s="35" t="s">
        <v>46</v>
      </c>
      <c r="J7" s="20" t="s">
        <v>38</v>
      </c>
      <c r="K7" s="20"/>
    </row>
    <row r="8" spans="1:11" s="21" customFormat="1" ht="15">
      <c r="A8" s="10">
        <v>6454807</v>
      </c>
      <c r="B8" s="11">
        <v>810016710004</v>
      </c>
      <c r="C8" s="11">
        <v>810016710196</v>
      </c>
      <c r="D8" s="12" t="s">
        <v>14</v>
      </c>
      <c r="E8" s="12" t="s">
        <v>13</v>
      </c>
      <c r="F8" s="13">
        <v>37.49</v>
      </c>
      <c r="G8" s="13">
        <v>49.95</v>
      </c>
      <c r="H8" s="19" t="s">
        <v>46</v>
      </c>
      <c r="I8" s="35" t="s">
        <v>46</v>
      </c>
      <c r="J8" s="20" t="s">
        <v>34</v>
      </c>
      <c r="K8" s="20" t="s">
        <v>41</v>
      </c>
    </row>
    <row r="9" spans="1:11" s="21" customFormat="1" ht="15">
      <c r="A9" s="10">
        <v>6505519</v>
      </c>
      <c r="B9" s="11">
        <v>810016710004</v>
      </c>
      <c r="C9" s="11">
        <v>810016715122</v>
      </c>
      <c r="D9" s="12" t="s">
        <v>100</v>
      </c>
      <c r="E9" s="12" t="s">
        <v>111</v>
      </c>
      <c r="F9" s="13">
        <v>31.96</v>
      </c>
      <c r="G9" s="13">
        <v>39.950000000000003</v>
      </c>
      <c r="H9" s="19" t="s">
        <v>46</v>
      </c>
      <c r="I9" s="35" t="s">
        <v>46</v>
      </c>
      <c r="J9" s="20" t="s">
        <v>120</v>
      </c>
      <c r="K9" s="20"/>
    </row>
    <row r="10" spans="1:11" s="21" customFormat="1" ht="15">
      <c r="A10" s="10">
        <v>6454799</v>
      </c>
      <c r="B10" s="11">
        <v>810016710004</v>
      </c>
      <c r="C10" s="11">
        <v>810016710387</v>
      </c>
      <c r="D10" s="12" t="s">
        <v>12</v>
      </c>
      <c r="E10" s="12" t="s">
        <v>86</v>
      </c>
      <c r="F10" s="13">
        <v>29.99</v>
      </c>
      <c r="G10" s="13">
        <v>39.950000000000003</v>
      </c>
      <c r="H10" s="19" t="s">
        <v>31</v>
      </c>
      <c r="I10" s="35" t="s">
        <v>46</v>
      </c>
      <c r="J10" s="20" t="s">
        <v>44</v>
      </c>
      <c r="K10" s="20"/>
    </row>
    <row r="11" spans="1:11" s="21" customFormat="1" ht="15">
      <c r="A11" s="10">
        <v>6454802</v>
      </c>
      <c r="B11" s="11">
        <v>810016710004</v>
      </c>
      <c r="C11" s="11">
        <v>810016710240</v>
      </c>
      <c r="D11" s="12" t="s">
        <v>16</v>
      </c>
      <c r="E11" s="12" t="s">
        <v>91</v>
      </c>
      <c r="F11" s="13">
        <v>37.46</v>
      </c>
      <c r="G11" s="13">
        <v>49.95</v>
      </c>
      <c r="H11" s="19" t="s">
        <v>31</v>
      </c>
      <c r="I11" s="35" t="s">
        <v>46</v>
      </c>
      <c r="J11" s="20" t="s">
        <v>32</v>
      </c>
      <c r="K11" s="20"/>
    </row>
    <row r="12" spans="1:11" s="21" customFormat="1" ht="15">
      <c r="A12" s="10">
        <v>6500849</v>
      </c>
      <c r="B12" s="11">
        <v>810016710004</v>
      </c>
      <c r="C12" s="11">
        <v>810016714842</v>
      </c>
      <c r="D12" s="12" t="s">
        <v>55</v>
      </c>
      <c r="E12" s="12" t="s">
        <v>79</v>
      </c>
      <c r="F12" s="13">
        <v>37.46</v>
      </c>
      <c r="G12" s="13">
        <v>49.95</v>
      </c>
      <c r="H12" s="19" t="s">
        <v>31</v>
      </c>
      <c r="I12" s="35" t="s">
        <v>46</v>
      </c>
      <c r="J12" s="20" t="s">
        <v>66</v>
      </c>
      <c r="K12" s="20"/>
    </row>
    <row r="13" spans="1:11" s="21" customFormat="1" ht="15">
      <c r="A13" s="10">
        <v>6500855</v>
      </c>
      <c r="B13" s="11">
        <v>810016710004</v>
      </c>
      <c r="C13" s="11">
        <v>810016714859</v>
      </c>
      <c r="D13" s="12" t="s">
        <v>56</v>
      </c>
      <c r="E13" s="12" t="s">
        <v>80</v>
      </c>
      <c r="F13" s="13">
        <v>37.46</v>
      </c>
      <c r="G13" s="13">
        <v>49.95</v>
      </c>
      <c r="H13" s="19" t="s">
        <v>31</v>
      </c>
      <c r="I13" s="35" t="s">
        <v>46</v>
      </c>
      <c r="J13" s="20" t="s">
        <v>67</v>
      </c>
      <c r="K13" s="20"/>
    </row>
    <row r="14" spans="1:11" s="21" customFormat="1" ht="15">
      <c r="A14" s="10">
        <v>6500856</v>
      </c>
      <c r="B14" s="11">
        <v>810016710004</v>
      </c>
      <c r="C14" s="11">
        <v>810016714866</v>
      </c>
      <c r="D14" s="12" t="s">
        <v>57</v>
      </c>
      <c r="E14" s="12" t="s">
        <v>81</v>
      </c>
      <c r="F14" s="13">
        <v>37.46</v>
      </c>
      <c r="G14" s="13">
        <v>49.95</v>
      </c>
      <c r="H14" s="19" t="s">
        <v>31</v>
      </c>
      <c r="I14" s="35" t="s">
        <v>46</v>
      </c>
      <c r="J14" s="20" t="s">
        <v>68</v>
      </c>
      <c r="K14" s="20"/>
    </row>
    <row r="15" spans="1:11" s="21" customFormat="1" ht="15">
      <c r="A15" s="10">
        <v>6500876</v>
      </c>
      <c r="B15" s="11">
        <v>810016710004</v>
      </c>
      <c r="C15" s="11">
        <v>810016712961</v>
      </c>
      <c r="D15" s="12" t="s">
        <v>64</v>
      </c>
      <c r="E15" s="12" t="s">
        <v>76</v>
      </c>
      <c r="F15" s="13">
        <v>7.46</v>
      </c>
      <c r="G15" s="13">
        <v>9.9499999999999993</v>
      </c>
      <c r="H15" s="19" t="s">
        <v>31</v>
      </c>
      <c r="I15" s="35" t="s">
        <v>46</v>
      </c>
      <c r="J15" s="20" t="s">
        <v>75</v>
      </c>
      <c r="K15" s="20"/>
    </row>
    <row r="16" spans="1:11" s="21" customFormat="1" ht="15">
      <c r="A16" s="10">
        <v>6454801</v>
      </c>
      <c r="B16" s="11">
        <v>810016710004</v>
      </c>
      <c r="C16" s="11">
        <v>810016710004</v>
      </c>
      <c r="D16" s="12" t="s">
        <v>10</v>
      </c>
      <c r="E16" s="12" t="s">
        <v>132</v>
      </c>
      <c r="F16" s="13">
        <v>37.49</v>
      </c>
      <c r="G16" s="13">
        <v>49.95</v>
      </c>
      <c r="H16" s="19" t="s">
        <v>31</v>
      </c>
      <c r="I16" s="35" t="s">
        <v>46</v>
      </c>
      <c r="J16" s="20" t="s">
        <v>39</v>
      </c>
      <c r="K16" s="20"/>
    </row>
    <row r="17" spans="1:11" s="21" customFormat="1" ht="15">
      <c r="A17" s="10">
        <v>6505518</v>
      </c>
      <c r="B17" s="11">
        <v>810016710004</v>
      </c>
      <c r="C17" s="11">
        <v>810016715061</v>
      </c>
      <c r="D17" s="12" t="s">
        <v>94</v>
      </c>
      <c r="E17" s="12" t="s">
        <v>105</v>
      </c>
      <c r="F17" s="13">
        <v>39.96</v>
      </c>
      <c r="G17" s="13">
        <v>49.95</v>
      </c>
      <c r="H17" s="19" t="s">
        <v>31</v>
      </c>
      <c r="I17" s="35" t="s">
        <v>31</v>
      </c>
      <c r="J17" s="20" t="s">
        <v>116</v>
      </c>
      <c r="K17" s="20"/>
    </row>
    <row r="18" spans="1:11" s="21" customFormat="1" ht="15">
      <c r="A18" s="10">
        <v>6505517</v>
      </c>
      <c r="B18" s="11">
        <v>810016710004</v>
      </c>
      <c r="C18" s="11">
        <v>810016715160</v>
      </c>
      <c r="D18" s="12" t="s">
        <v>104</v>
      </c>
      <c r="E18" s="12" t="s">
        <v>115</v>
      </c>
      <c r="F18" s="13">
        <v>63.99</v>
      </c>
      <c r="G18" s="13">
        <v>79.989999999999995</v>
      </c>
      <c r="H18" s="19" t="s">
        <v>31</v>
      </c>
      <c r="I18" s="35" t="s">
        <v>31</v>
      </c>
      <c r="J18" s="20" t="s">
        <v>123</v>
      </c>
      <c r="K18" s="20"/>
    </row>
    <row r="19" spans="1:11" s="21" customFormat="1" ht="15">
      <c r="A19" s="10">
        <v>6505524</v>
      </c>
      <c r="B19" s="11">
        <v>810016710004</v>
      </c>
      <c r="C19" s="11">
        <v>810016715153</v>
      </c>
      <c r="D19" s="12" t="s">
        <v>103</v>
      </c>
      <c r="E19" s="12" t="s">
        <v>114</v>
      </c>
      <c r="F19" s="13">
        <v>71.959999999999994</v>
      </c>
      <c r="G19" s="13">
        <v>89.95</v>
      </c>
      <c r="H19" s="19" t="s">
        <v>31</v>
      </c>
      <c r="I19" s="35" t="s">
        <v>31</v>
      </c>
      <c r="J19" s="20" t="s">
        <v>124</v>
      </c>
      <c r="K19" s="20"/>
    </row>
    <row r="20" spans="1:11" s="21" customFormat="1" ht="15">
      <c r="A20" s="10">
        <v>6500874</v>
      </c>
      <c r="B20" s="11">
        <v>810016710004</v>
      </c>
      <c r="C20" s="11">
        <v>810016712954</v>
      </c>
      <c r="D20" s="12" t="s">
        <v>63</v>
      </c>
      <c r="E20" s="12" t="s">
        <v>77</v>
      </c>
      <c r="F20" s="13">
        <v>7.46</v>
      </c>
      <c r="G20" s="13">
        <v>9.9499999999999993</v>
      </c>
      <c r="H20" s="19" t="s">
        <v>31</v>
      </c>
      <c r="I20" s="35" t="s">
        <v>31</v>
      </c>
      <c r="J20" s="20" t="s">
        <v>74</v>
      </c>
      <c r="K20" s="20"/>
    </row>
    <row r="21" spans="1:11" s="21" customFormat="1" ht="15">
      <c r="A21" s="10">
        <v>6500859</v>
      </c>
      <c r="B21" s="11">
        <v>810016710004</v>
      </c>
      <c r="C21" s="11">
        <v>810016714873</v>
      </c>
      <c r="D21" s="12" t="s">
        <v>58</v>
      </c>
      <c r="E21" s="12" t="s">
        <v>82</v>
      </c>
      <c r="F21" s="13">
        <v>22.46</v>
      </c>
      <c r="G21" s="13">
        <v>29.95</v>
      </c>
      <c r="H21" s="19" t="s">
        <v>31</v>
      </c>
      <c r="I21" s="35" t="s">
        <v>31</v>
      </c>
      <c r="J21" s="20" t="s">
        <v>71</v>
      </c>
      <c r="K21" s="20"/>
    </row>
    <row r="22" spans="1:11" s="21" customFormat="1" ht="15">
      <c r="A22" s="10">
        <v>6501074</v>
      </c>
      <c r="B22" s="11">
        <v>810016710004</v>
      </c>
      <c r="C22" s="11">
        <v>810016714880</v>
      </c>
      <c r="D22" s="12" t="s">
        <v>59</v>
      </c>
      <c r="E22" s="12" t="s">
        <v>84</v>
      </c>
      <c r="F22" s="13">
        <v>22.46</v>
      </c>
      <c r="G22" s="13">
        <v>29.95</v>
      </c>
      <c r="H22" s="19" t="s">
        <v>31</v>
      </c>
      <c r="I22" s="35" t="s">
        <v>31</v>
      </c>
      <c r="J22" s="20" t="s">
        <v>69</v>
      </c>
      <c r="K22" s="20"/>
    </row>
    <row r="23" spans="1:11" s="21" customFormat="1" ht="15">
      <c r="A23" s="10">
        <v>6500866</v>
      </c>
      <c r="B23" s="11">
        <v>810016710004</v>
      </c>
      <c r="C23" s="11">
        <v>810016714897</v>
      </c>
      <c r="D23" s="12" t="s">
        <v>60</v>
      </c>
      <c r="E23" s="12" t="s">
        <v>83</v>
      </c>
      <c r="F23" s="13">
        <v>22.46</v>
      </c>
      <c r="G23" s="13">
        <v>29.95</v>
      </c>
      <c r="H23" s="19" t="s">
        <v>31</v>
      </c>
      <c r="I23" s="35" t="s">
        <v>31</v>
      </c>
      <c r="J23" s="20" t="s">
        <v>70</v>
      </c>
      <c r="K23" s="20"/>
    </row>
    <row r="24" spans="1:11" s="21" customFormat="1" ht="15">
      <c r="A24" s="10">
        <v>6454803</v>
      </c>
      <c r="B24" s="11">
        <v>810016710004</v>
      </c>
      <c r="C24" s="11">
        <v>810016710110</v>
      </c>
      <c r="D24" s="12" t="s">
        <v>18</v>
      </c>
      <c r="E24" s="12" t="s">
        <v>17</v>
      </c>
      <c r="F24" s="13">
        <v>37.46</v>
      </c>
      <c r="G24" s="13">
        <v>49.95</v>
      </c>
      <c r="H24" s="19" t="s">
        <v>31</v>
      </c>
      <c r="I24" s="35" t="s">
        <v>31</v>
      </c>
      <c r="J24" s="20" t="s">
        <v>35</v>
      </c>
      <c r="K24" s="20"/>
    </row>
    <row r="25" spans="1:11" s="63" customFormat="1">
      <c r="A25" s="57">
        <v>6488842</v>
      </c>
      <c r="B25" s="58">
        <v>810016710004</v>
      </c>
      <c r="C25" s="58">
        <v>810016713715</v>
      </c>
      <c r="D25" s="57" t="s">
        <v>49</v>
      </c>
      <c r="E25" s="57" t="s">
        <v>47</v>
      </c>
      <c r="F25" s="59">
        <v>37.46</v>
      </c>
      <c r="G25" s="59">
        <v>49.99</v>
      </c>
      <c r="H25" s="60" t="s">
        <v>31</v>
      </c>
      <c r="I25" s="61" t="s">
        <v>31</v>
      </c>
      <c r="J25" s="62" t="s">
        <v>53</v>
      </c>
      <c r="K25" s="12" t="s">
        <v>131</v>
      </c>
    </row>
    <row r="26" spans="1:11" s="63" customFormat="1">
      <c r="A26" s="57">
        <v>6488843</v>
      </c>
      <c r="B26" s="58">
        <v>810016710004</v>
      </c>
      <c r="C26" s="58">
        <v>810016713722</v>
      </c>
      <c r="D26" s="57" t="s">
        <v>50</v>
      </c>
      <c r="E26" s="57" t="s">
        <v>51</v>
      </c>
      <c r="F26" s="59">
        <v>74.959999999999994</v>
      </c>
      <c r="G26" s="59">
        <v>99.95</v>
      </c>
      <c r="H26" s="60" t="s">
        <v>31</v>
      </c>
      <c r="I26" s="61" t="s">
        <v>31</v>
      </c>
      <c r="J26" s="62" t="s">
        <v>54</v>
      </c>
      <c r="K26" s="62"/>
    </row>
    <row r="27" spans="1:11">
      <c r="A27" s="34">
        <v>6500868</v>
      </c>
      <c r="B27" s="3">
        <v>810016710004</v>
      </c>
      <c r="C27" s="3">
        <v>810016712985</v>
      </c>
      <c r="D27" s="4" t="s">
        <v>61</v>
      </c>
      <c r="E27" s="4" t="s">
        <v>78</v>
      </c>
      <c r="F27" s="5">
        <v>11.2</v>
      </c>
      <c r="G27" s="5">
        <v>14.95</v>
      </c>
      <c r="H27" s="1" t="s">
        <v>31</v>
      </c>
      <c r="I27" s="15" t="s">
        <v>31</v>
      </c>
      <c r="J27" s="14" t="s">
        <v>73</v>
      </c>
      <c r="K27" s="14"/>
    </row>
    <row r="28" spans="1:11">
      <c r="A28" s="34">
        <v>6500870</v>
      </c>
      <c r="B28" s="3">
        <v>810016710004</v>
      </c>
      <c r="C28" s="3">
        <v>810016712732</v>
      </c>
      <c r="D28" s="4" t="s">
        <v>62</v>
      </c>
      <c r="E28" s="4" t="s">
        <v>65</v>
      </c>
      <c r="F28" s="5">
        <v>18.71</v>
      </c>
      <c r="G28" s="5">
        <v>24.95</v>
      </c>
      <c r="H28" s="1" t="s">
        <v>31</v>
      </c>
      <c r="I28" s="15" t="s">
        <v>31</v>
      </c>
      <c r="J28" s="14" t="s">
        <v>72</v>
      </c>
      <c r="K28" s="14"/>
    </row>
    <row r="29" spans="1:11">
      <c r="A29" s="26">
        <v>6550471</v>
      </c>
      <c r="B29" s="27">
        <v>810016710004</v>
      </c>
      <c r="C29" s="27">
        <v>810016717096</v>
      </c>
      <c r="D29" s="26" t="s">
        <v>139</v>
      </c>
      <c r="E29" s="26" t="s">
        <v>151</v>
      </c>
      <c r="F29" s="28">
        <v>37.46</v>
      </c>
      <c r="G29" s="28">
        <v>49.95</v>
      </c>
      <c r="H29" s="24" t="s">
        <v>31</v>
      </c>
      <c r="I29" s="15" t="s">
        <v>31</v>
      </c>
      <c r="J29" s="14" t="s">
        <v>173</v>
      </c>
      <c r="K29" s="12"/>
    </row>
    <row r="30" spans="1:11">
      <c r="A30" s="34">
        <v>6550475</v>
      </c>
      <c r="B30" s="3">
        <v>810016710004</v>
      </c>
      <c r="C30" s="36">
        <v>810016717102</v>
      </c>
      <c r="D30" s="37" t="s">
        <v>140</v>
      </c>
      <c r="E30" s="38" t="s">
        <v>152</v>
      </c>
      <c r="F30" s="40">
        <v>37.46</v>
      </c>
      <c r="G30" s="41">
        <v>49.95</v>
      </c>
      <c r="H30" s="1" t="s">
        <v>31</v>
      </c>
      <c r="I30" s="15" t="s">
        <v>31</v>
      </c>
      <c r="J30" s="14" t="s">
        <v>174</v>
      </c>
      <c r="K30" s="14"/>
    </row>
    <row r="31" spans="1:11">
      <c r="A31" s="34">
        <v>6550472</v>
      </c>
      <c r="B31" s="3">
        <v>810016710004</v>
      </c>
      <c r="C31" s="36">
        <v>810016717119</v>
      </c>
      <c r="D31" s="37" t="s">
        <v>141</v>
      </c>
      <c r="E31" s="38" t="s">
        <v>153</v>
      </c>
      <c r="F31" s="40">
        <v>37.46</v>
      </c>
      <c r="G31" s="41">
        <v>49.95</v>
      </c>
      <c r="H31" s="1" t="s">
        <v>31</v>
      </c>
      <c r="I31" s="15" t="s">
        <v>31</v>
      </c>
      <c r="J31" s="14" t="s">
        <v>175</v>
      </c>
      <c r="K31" s="14"/>
    </row>
    <row r="32" spans="1:11">
      <c r="A32" s="26">
        <v>6550477</v>
      </c>
      <c r="B32" s="27">
        <v>810016710004</v>
      </c>
      <c r="C32" s="27">
        <v>810016717362</v>
      </c>
      <c r="D32" s="26" t="s">
        <v>142</v>
      </c>
      <c r="E32" s="26" t="s">
        <v>197</v>
      </c>
      <c r="F32" s="28">
        <v>18.71</v>
      </c>
      <c r="G32" s="28">
        <v>24.95</v>
      </c>
      <c r="H32" s="24" t="s">
        <v>31</v>
      </c>
      <c r="I32" s="15" t="s">
        <v>31</v>
      </c>
      <c r="J32" s="14" t="s">
        <v>176</v>
      </c>
      <c r="K32" s="12"/>
    </row>
    <row r="33" spans="1:11">
      <c r="A33" s="34">
        <v>6550543</v>
      </c>
      <c r="B33" s="3">
        <v>810016710004</v>
      </c>
      <c r="C33" s="36">
        <v>810016717379</v>
      </c>
      <c r="D33" s="37" t="s">
        <v>143</v>
      </c>
      <c r="E33" s="38" t="s">
        <v>198</v>
      </c>
      <c r="F33" s="40">
        <v>18.71</v>
      </c>
      <c r="G33" s="41">
        <v>24.95</v>
      </c>
      <c r="H33" s="1" t="s">
        <v>31</v>
      </c>
      <c r="I33" s="15" t="s">
        <v>31</v>
      </c>
      <c r="J33" s="14" t="s">
        <v>176</v>
      </c>
      <c r="K33" s="14"/>
    </row>
    <row r="34" spans="1:11">
      <c r="A34" s="34">
        <v>6550478</v>
      </c>
      <c r="B34" s="3">
        <v>810016710004</v>
      </c>
      <c r="C34" s="36">
        <v>810016717348</v>
      </c>
      <c r="D34" s="37" t="s">
        <v>144</v>
      </c>
      <c r="E34" s="38" t="s">
        <v>156</v>
      </c>
      <c r="F34" s="40">
        <v>7.46</v>
      </c>
      <c r="G34" s="41">
        <v>9.9499999999999993</v>
      </c>
      <c r="H34" s="1" t="s">
        <v>31</v>
      </c>
      <c r="I34" s="15" t="s">
        <v>31</v>
      </c>
      <c r="J34" s="14" t="s">
        <v>177</v>
      </c>
      <c r="K34" s="14"/>
    </row>
    <row r="35" spans="1:11">
      <c r="A35" s="34">
        <v>6550474</v>
      </c>
      <c r="B35" s="3">
        <v>810016710004</v>
      </c>
      <c r="C35" s="36">
        <v>810016717355</v>
      </c>
      <c r="D35" s="37" t="s">
        <v>145</v>
      </c>
      <c r="E35" s="38" t="s">
        <v>157</v>
      </c>
      <c r="F35" s="40">
        <v>7.46</v>
      </c>
      <c r="G35" s="41">
        <v>9.9499999999999993</v>
      </c>
      <c r="H35" s="1" t="s">
        <v>31</v>
      </c>
      <c r="I35" s="15" t="s">
        <v>31</v>
      </c>
      <c r="J35" s="14" t="s">
        <v>177</v>
      </c>
      <c r="K35" s="14"/>
    </row>
    <row r="36" spans="1:11">
      <c r="A36" s="26">
        <v>6550544</v>
      </c>
      <c r="B36" s="27">
        <v>810016710004</v>
      </c>
      <c r="C36" s="27">
        <v>810016718178</v>
      </c>
      <c r="D36" s="26" t="s">
        <v>146</v>
      </c>
      <c r="E36" s="26" t="s">
        <v>196</v>
      </c>
      <c r="F36" s="28">
        <v>67.459999999999994</v>
      </c>
      <c r="G36" s="28">
        <v>89.95</v>
      </c>
      <c r="H36" s="24" t="s">
        <v>31</v>
      </c>
      <c r="I36" s="15" t="s">
        <v>31</v>
      </c>
      <c r="J36" s="14" t="s">
        <v>178</v>
      </c>
      <c r="K36" s="12"/>
    </row>
    <row r="37" spans="1:11">
      <c r="A37" s="34">
        <v>6550480</v>
      </c>
      <c r="B37" s="3">
        <v>810016710004</v>
      </c>
      <c r="C37" s="36">
        <v>810016716549</v>
      </c>
      <c r="D37" s="37" t="s">
        <v>147</v>
      </c>
      <c r="E37" s="39" t="s">
        <v>159</v>
      </c>
      <c r="F37" s="40">
        <v>11.21</v>
      </c>
      <c r="G37" s="41">
        <v>14.95</v>
      </c>
      <c r="H37" s="1" t="s">
        <v>31</v>
      </c>
      <c r="I37" s="15" t="s">
        <v>31</v>
      </c>
      <c r="J37" s="14" t="s">
        <v>179</v>
      </c>
      <c r="K37" s="14"/>
    </row>
    <row r="38" spans="1:11">
      <c r="A38" s="34">
        <v>6550479</v>
      </c>
      <c r="B38" s="3">
        <v>810016710004</v>
      </c>
      <c r="C38" s="36">
        <v>810016716556</v>
      </c>
      <c r="D38" s="37" t="s">
        <v>148</v>
      </c>
      <c r="E38" s="39" t="s">
        <v>160</v>
      </c>
      <c r="F38" s="40">
        <v>11.21</v>
      </c>
      <c r="G38" s="41">
        <v>14.95</v>
      </c>
      <c r="H38" s="1" t="s">
        <v>31</v>
      </c>
      <c r="I38" s="15" t="s">
        <v>31</v>
      </c>
      <c r="J38" s="14" t="s">
        <v>179</v>
      </c>
      <c r="K38" s="14"/>
    </row>
    <row r="39" spans="1:11">
      <c r="A39" s="34">
        <v>6550476</v>
      </c>
      <c r="B39" s="3">
        <v>810016710004</v>
      </c>
      <c r="C39" s="36">
        <v>810016716563</v>
      </c>
      <c r="D39" s="37" t="s">
        <v>149</v>
      </c>
      <c r="E39" s="39" t="s">
        <v>161</v>
      </c>
      <c r="F39" s="40">
        <v>18.71</v>
      </c>
      <c r="G39" s="41">
        <v>29.95</v>
      </c>
      <c r="H39" s="1" t="s">
        <v>31</v>
      </c>
      <c r="I39" s="15" t="s">
        <v>31</v>
      </c>
      <c r="J39" s="14" t="s">
        <v>180</v>
      </c>
      <c r="K39" s="14"/>
    </row>
    <row r="40" spans="1:11">
      <c r="A40" s="34">
        <v>6550473</v>
      </c>
      <c r="B40" s="3">
        <v>810016710004</v>
      </c>
      <c r="C40" s="36">
        <v>810016716570</v>
      </c>
      <c r="D40" s="37" t="s">
        <v>150</v>
      </c>
      <c r="E40" s="39" t="s">
        <v>162</v>
      </c>
      <c r="F40" s="40">
        <v>18.71</v>
      </c>
      <c r="G40" s="41">
        <v>29.95</v>
      </c>
      <c r="H40" s="1" t="s">
        <v>31</v>
      </c>
      <c r="I40" s="15" t="s">
        <v>31</v>
      </c>
      <c r="J40" s="14" t="s">
        <v>180</v>
      </c>
      <c r="K40" s="14"/>
    </row>
    <row r="41" spans="1:11">
      <c r="A41" s="34">
        <v>6552875</v>
      </c>
      <c r="B41" s="3">
        <v>810016710004</v>
      </c>
      <c r="C41" s="36">
        <v>810016716921</v>
      </c>
      <c r="D41" s="37" t="s">
        <v>163</v>
      </c>
      <c r="E41" s="39" t="s">
        <v>164</v>
      </c>
      <c r="F41" s="40">
        <v>22.46</v>
      </c>
      <c r="G41" s="41">
        <v>29.95</v>
      </c>
      <c r="H41" s="1" t="s">
        <v>31</v>
      </c>
      <c r="I41" s="15" t="s">
        <v>31</v>
      </c>
      <c r="J41" s="14" t="s">
        <v>181</v>
      </c>
      <c r="K41" s="14"/>
    </row>
    <row r="42" spans="1:11">
      <c r="A42" s="26">
        <v>6552876</v>
      </c>
      <c r="B42" s="27">
        <v>810016710004</v>
      </c>
      <c r="C42" s="27">
        <v>810016718123</v>
      </c>
      <c r="D42" s="26" t="s">
        <v>165</v>
      </c>
      <c r="E42" s="26" t="s">
        <v>200</v>
      </c>
      <c r="F42" s="28">
        <v>37.46</v>
      </c>
      <c r="G42" s="28">
        <v>49.95</v>
      </c>
      <c r="H42" s="24" t="s">
        <v>31</v>
      </c>
      <c r="I42" s="15" t="s">
        <v>31</v>
      </c>
      <c r="J42" s="14" t="s">
        <v>191</v>
      </c>
      <c r="K42" s="12"/>
    </row>
    <row r="43" spans="1:11">
      <c r="A43" s="26">
        <v>6576717</v>
      </c>
      <c r="B43" s="27">
        <v>810016710004</v>
      </c>
      <c r="C43" s="27">
        <v>810016718857</v>
      </c>
      <c r="D43" s="26" t="s">
        <v>193</v>
      </c>
      <c r="E43" s="26" t="s">
        <v>199</v>
      </c>
      <c r="F43" s="28">
        <v>37.46</v>
      </c>
      <c r="G43" s="28">
        <v>49.95</v>
      </c>
      <c r="H43" s="24" t="s">
        <v>31</v>
      </c>
      <c r="I43" s="15" t="s">
        <v>31</v>
      </c>
      <c r="J43" s="14" t="s">
        <v>195</v>
      </c>
      <c r="K43" s="12"/>
    </row>
    <row r="44" spans="1:11">
      <c r="A44" s="84" t="s">
        <v>93</v>
      </c>
      <c r="B44" s="84"/>
    </row>
    <row r="45" spans="1:11" s="21" customFormat="1" ht="15">
      <c r="A45" s="10">
        <v>6505523</v>
      </c>
      <c r="B45" s="11">
        <v>810016710004</v>
      </c>
      <c r="C45" s="11">
        <v>810016715092</v>
      </c>
      <c r="D45" s="12" t="s">
        <v>97</v>
      </c>
      <c r="E45" s="12" t="s">
        <v>108</v>
      </c>
      <c r="F45" s="13">
        <v>39.96</v>
      </c>
      <c r="G45" s="13">
        <v>49.95</v>
      </c>
      <c r="H45" s="19" t="s">
        <v>31</v>
      </c>
      <c r="I45" s="35" t="s">
        <v>31</v>
      </c>
      <c r="J45" s="20" t="s">
        <v>117</v>
      </c>
      <c r="K45" s="12" t="s">
        <v>127</v>
      </c>
    </row>
    <row r="46" spans="1:11" s="21" customFormat="1" ht="15">
      <c r="A46" s="10">
        <v>6505515</v>
      </c>
      <c r="B46" s="11">
        <v>810016710004</v>
      </c>
      <c r="C46" s="11">
        <v>810016715108</v>
      </c>
      <c r="D46" s="12" t="s">
        <v>98</v>
      </c>
      <c r="E46" s="12" t="s">
        <v>109</v>
      </c>
      <c r="F46" s="13">
        <v>63.96</v>
      </c>
      <c r="G46" s="13">
        <v>79.95</v>
      </c>
      <c r="H46" s="19" t="s">
        <v>46</v>
      </c>
      <c r="I46" s="35" t="s">
        <v>31</v>
      </c>
      <c r="J46" s="20" t="s">
        <v>118</v>
      </c>
      <c r="K46" s="12" t="s">
        <v>129</v>
      </c>
    </row>
    <row r="47" spans="1:11" s="21" customFormat="1" ht="15">
      <c r="A47" s="10">
        <v>6505516</v>
      </c>
      <c r="B47" s="11">
        <v>810016710004</v>
      </c>
      <c r="C47" s="11">
        <v>810016715139</v>
      </c>
      <c r="D47" s="12" t="s">
        <v>101</v>
      </c>
      <c r="E47" s="12" t="s">
        <v>112</v>
      </c>
      <c r="F47" s="13">
        <v>23.96</v>
      </c>
      <c r="G47" s="13">
        <v>29.95</v>
      </c>
      <c r="H47" s="19" t="s">
        <v>31</v>
      </c>
      <c r="I47" s="35" t="s">
        <v>31</v>
      </c>
      <c r="J47" s="20" t="s">
        <v>121</v>
      </c>
      <c r="K47" s="20"/>
    </row>
    <row r="48" spans="1:11" s="21" customFormat="1" ht="15">
      <c r="A48" s="10">
        <v>6505521</v>
      </c>
      <c r="B48" s="11">
        <v>810016710004</v>
      </c>
      <c r="C48" s="11">
        <v>810016715146</v>
      </c>
      <c r="D48" s="12" t="s">
        <v>102</v>
      </c>
      <c r="E48" s="12" t="s">
        <v>113</v>
      </c>
      <c r="F48" s="13">
        <v>95.96</v>
      </c>
      <c r="G48" s="13">
        <v>119.95</v>
      </c>
      <c r="H48" s="19" t="s">
        <v>31</v>
      </c>
      <c r="I48" s="35" t="s">
        <v>31</v>
      </c>
      <c r="J48" s="20" t="s">
        <v>122</v>
      </c>
      <c r="K48" s="12" t="s">
        <v>128</v>
      </c>
    </row>
    <row r="49" spans="1:11" s="21" customFormat="1" ht="15">
      <c r="A49" s="10">
        <v>6505526</v>
      </c>
      <c r="B49" s="11">
        <v>810016710004</v>
      </c>
      <c r="C49" s="11">
        <v>810016715078</v>
      </c>
      <c r="D49" s="12" t="s">
        <v>95</v>
      </c>
      <c r="E49" s="12" t="s">
        <v>106</v>
      </c>
      <c r="F49" s="13">
        <v>55.99</v>
      </c>
      <c r="G49" s="13">
        <v>69.989999999999995</v>
      </c>
      <c r="H49" s="19" t="s">
        <v>31</v>
      </c>
      <c r="I49" s="35" t="s">
        <v>31</v>
      </c>
      <c r="J49" s="20" t="s">
        <v>125</v>
      </c>
      <c r="K49" s="20"/>
    </row>
    <row r="50" spans="1:11" s="21" customFormat="1" ht="15">
      <c r="A50" s="10">
        <v>6505525</v>
      </c>
      <c r="B50" s="11">
        <v>810016710004</v>
      </c>
      <c r="C50" s="11">
        <v>810016715085</v>
      </c>
      <c r="D50" s="12" t="s">
        <v>96</v>
      </c>
      <c r="E50" s="12" t="s">
        <v>107</v>
      </c>
      <c r="F50" s="13">
        <v>71.959999999999994</v>
      </c>
      <c r="G50" s="13">
        <v>89.95</v>
      </c>
      <c r="H50" s="19" t="s">
        <v>31</v>
      </c>
      <c r="I50" s="35" t="s">
        <v>31</v>
      </c>
      <c r="J50" s="20" t="s">
        <v>126</v>
      </c>
      <c r="K50" s="20"/>
    </row>
    <row r="51" spans="1:11">
      <c r="A51" s="2">
        <v>6505522</v>
      </c>
      <c r="B51" s="3">
        <v>810016710004</v>
      </c>
      <c r="C51" s="3">
        <v>810016715115</v>
      </c>
      <c r="D51" s="4" t="s">
        <v>99</v>
      </c>
      <c r="E51" s="4" t="s">
        <v>110</v>
      </c>
      <c r="F51" s="5">
        <v>191.96</v>
      </c>
      <c r="G51" s="5">
        <v>239.95</v>
      </c>
      <c r="H51" s="1" t="s">
        <v>31</v>
      </c>
      <c r="I51" s="15" t="s">
        <v>31</v>
      </c>
      <c r="J51" s="14" t="s">
        <v>119</v>
      </c>
      <c r="K51" s="14"/>
    </row>
    <row r="52" spans="1:11">
      <c r="A52" s="2">
        <v>6562452</v>
      </c>
      <c r="B52" s="3">
        <v>810016710004</v>
      </c>
      <c r="C52" s="3">
        <v>810016716969</v>
      </c>
      <c r="D52" s="4" t="s">
        <v>166</v>
      </c>
      <c r="E52" s="4" t="s">
        <v>203</v>
      </c>
      <c r="F52" s="5">
        <v>40.770000000000003</v>
      </c>
      <c r="G52" s="5">
        <v>59.95</v>
      </c>
      <c r="H52" s="1" t="s">
        <v>31</v>
      </c>
      <c r="I52" s="15" t="s">
        <v>31</v>
      </c>
      <c r="J52" s="14" t="s">
        <v>182</v>
      </c>
      <c r="K52" s="14"/>
    </row>
    <row r="53" spans="1:11">
      <c r="A53" s="2">
        <v>6579043</v>
      </c>
      <c r="B53" s="3">
        <v>810016710004</v>
      </c>
      <c r="C53" s="3">
        <v>810016718888</v>
      </c>
      <c r="D53" s="4" t="s">
        <v>201</v>
      </c>
      <c r="E53" s="4" t="s">
        <v>204</v>
      </c>
      <c r="F53" s="5">
        <v>40.770000000000003</v>
      </c>
      <c r="G53" s="5">
        <v>59.95</v>
      </c>
      <c r="H53" s="1" t="s">
        <v>31</v>
      </c>
      <c r="I53" s="15" t="s">
        <v>31</v>
      </c>
      <c r="J53" s="14" t="s">
        <v>206</v>
      </c>
      <c r="K53" s="14"/>
    </row>
    <row r="54" spans="1:11">
      <c r="A54" s="2">
        <v>6579042</v>
      </c>
      <c r="B54" s="3">
        <v>810016710004</v>
      </c>
      <c r="C54" s="3">
        <v>810016718895</v>
      </c>
      <c r="D54" s="4" t="s">
        <v>202</v>
      </c>
      <c r="E54" s="4" t="s">
        <v>205</v>
      </c>
      <c r="F54" s="5">
        <v>40.770000000000003</v>
      </c>
      <c r="G54" s="5">
        <v>59.95</v>
      </c>
      <c r="H54" s="1" t="s">
        <v>31</v>
      </c>
      <c r="I54" s="15" t="s">
        <v>31</v>
      </c>
      <c r="J54" s="14" t="s">
        <v>207</v>
      </c>
      <c r="K54" s="14"/>
    </row>
    <row r="55" spans="1:11">
      <c r="A55" s="2">
        <v>6562455</v>
      </c>
      <c r="B55" s="3">
        <v>810016710004</v>
      </c>
      <c r="C55" s="3">
        <v>810016716983</v>
      </c>
      <c r="D55" s="4" t="s">
        <v>167</v>
      </c>
      <c r="E55" s="4" t="s">
        <v>170</v>
      </c>
      <c r="F55" s="5">
        <v>67.97</v>
      </c>
      <c r="G55" s="5">
        <v>99.95</v>
      </c>
      <c r="H55" s="1" t="s">
        <v>31</v>
      </c>
      <c r="I55" s="15" t="s">
        <v>138</v>
      </c>
      <c r="J55" s="14" t="s">
        <v>183</v>
      </c>
      <c r="K55" s="14"/>
    </row>
    <row r="56" spans="1:11">
      <c r="A56" s="2">
        <v>6562454</v>
      </c>
      <c r="B56" s="3">
        <v>810016710004</v>
      </c>
      <c r="C56" s="3">
        <v>810016716976</v>
      </c>
      <c r="D56" s="4" t="s">
        <v>168</v>
      </c>
      <c r="E56" s="4" t="s">
        <v>171</v>
      </c>
      <c r="F56" s="5">
        <v>61.17</v>
      </c>
      <c r="G56" s="5">
        <v>89.95</v>
      </c>
      <c r="H56" s="1" t="s">
        <v>31</v>
      </c>
      <c r="I56" s="15" t="s">
        <v>138</v>
      </c>
      <c r="J56" s="14" t="s">
        <v>184</v>
      </c>
      <c r="K56" s="14"/>
    </row>
    <row r="57" spans="1:11">
      <c r="A57" s="2">
        <v>6562453</v>
      </c>
      <c r="B57" s="3">
        <v>810016710004</v>
      </c>
      <c r="C57" s="3">
        <v>810016717003</v>
      </c>
      <c r="D57" s="4" t="s">
        <v>169</v>
      </c>
      <c r="E57" s="4" t="s">
        <v>172</v>
      </c>
      <c r="F57" s="5">
        <v>16.97</v>
      </c>
      <c r="G57" s="5">
        <v>24.95</v>
      </c>
      <c r="H57" s="1" t="s">
        <v>31</v>
      </c>
      <c r="I57" s="15" t="s">
        <v>138</v>
      </c>
      <c r="J57" s="14" t="s">
        <v>185</v>
      </c>
      <c r="K57" s="14"/>
    </row>
  </sheetData>
  <sortState xmlns:xlrd2="http://schemas.microsoft.com/office/spreadsheetml/2017/richdata2" ref="A3:J11">
    <sortCondition descending="1" ref="C1:C11"/>
  </sortState>
  <mergeCells count="1">
    <mergeCell ref="A44:B44"/>
  </mergeCells>
  <phoneticPr fontId="8" type="noConversion"/>
  <dataValidations count="3">
    <dataValidation type="custom" showErrorMessage="1" errorTitle="Invalid input" error="Must be an integer between 8 and 16." sqref="C29:C34 C55:C57 C52" xr:uid="{9BEB60A3-CD0E-464D-B3AB-FB50DFBA2912}">
      <formula1>AND(IF(ISNUMBER(VALUE(C29)),EXACT(C29*1, INT(C29*1)),FALSE),LEN(C29)&lt;=16,LEN(C29)&gt;=8)</formula1>
    </dataValidation>
    <dataValidation type="custom" showErrorMessage="1" errorTitle="Invalid input" error="Must have a length less than or equal to 50. To delete, enter DELETE THIS." sqref="E29" xr:uid="{7D14AD89-3C2C-A840-8945-D74651BEE5E3}">
      <formula1>OR(LEN(E29)&lt;=50,(E29="DELETE THIS"))</formula1>
    </dataValidation>
    <dataValidation type="custom" showErrorMessage="1" errorTitle="Invalid input" error="Must be a number. Must have a value between 0 and 500000. To delete, enter DELETE THIS." sqref="F29:G29 F52:F54" xr:uid="{960297FA-A41E-8E49-959A-FDCDCA667B7C}">
      <formula1>OR(AND(AND(ISNUMBER(F29),NOT(ISNUMBER(SEARCH(F29,":")))),F29&lt;=500000,F29&gt;=0),(F29="DELETE THIS"))</formula1>
    </dataValidation>
  </dataValidations>
  <hyperlinks>
    <hyperlink ref="J11" r:id="rId1" xr:uid="{55A3D29C-CDFD-6D40-885B-711B8A4B0B79}"/>
    <hyperlink ref="J8" r:id="rId2" xr:uid="{81EF1A3A-399F-9C41-A08B-21B706FF8351}"/>
    <hyperlink ref="J24" r:id="rId3" xr:uid="{253D6488-F11E-CE4A-B11D-0F771F844281}"/>
    <hyperlink ref="J5" r:id="rId4" xr:uid="{0E691F1C-3073-894F-A20B-EF4887CF6EE5}"/>
    <hyperlink ref="J6" r:id="rId5" xr:uid="{EA50761C-C858-3849-9922-9443FFCAE4DB}"/>
    <hyperlink ref="J7" r:id="rId6" xr:uid="{DFB4894F-3A63-0B48-B0FB-07898E0D8984}"/>
    <hyperlink ref="J16" r:id="rId7" xr:uid="{879FCCBB-2272-7447-860D-B3E4514C914A}"/>
    <hyperlink ref="J3" r:id="rId8" xr:uid="{F2773ED3-9B0E-E54F-9B67-5639CDBE36C4}"/>
    <hyperlink ref="J4" r:id="rId9" xr:uid="{7CF2445A-42E1-A540-8BA7-6C39D75C2914}"/>
    <hyperlink ref="J10" r:id="rId10" xr:uid="{B72CBD31-6823-B64B-9272-2AC9DE85302C}"/>
    <hyperlink ref="J25" r:id="rId11" xr:uid="{DA46203F-01AF-4A46-B43F-DADB154F1F37}"/>
    <hyperlink ref="J26" r:id="rId12" xr:uid="{F29B1E25-88BE-2143-9615-463762F941F4}"/>
    <hyperlink ref="J12" r:id="rId13" xr:uid="{428DE080-FCB1-854F-913F-581E7B11E8EF}"/>
    <hyperlink ref="J13" r:id="rId14" location="anchor=productVariations" xr:uid="{68796FFD-EC1C-5B45-B7BC-CA5AB78DB39D}"/>
    <hyperlink ref="J14" r:id="rId15" location="anchor=productVariations" xr:uid="{807B0141-3422-5B4D-9A9C-DC13A1A44A7A}"/>
    <hyperlink ref="J22" r:id="rId16" xr:uid="{38D6EAD5-90C8-3048-B5D7-795039861896}"/>
    <hyperlink ref="J23" r:id="rId17" location="anchor=productVariations" xr:uid="{B9D9161A-8A68-114F-AE53-E0005E93F416}"/>
    <hyperlink ref="J21" r:id="rId18" location="anchor=productVariations" xr:uid="{170AF4C2-045D-6F4D-AC16-A0E9F2815569}"/>
    <hyperlink ref="J28" r:id="rId19" xr:uid="{EA51BF17-D20F-9544-B060-6690E4A43884}"/>
    <hyperlink ref="J27" r:id="rId20" xr:uid="{7CF89751-FCCA-C14A-8420-F1EC347DDC89}"/>
    <hyperlink ref="J20" r:id="rId21" location="anchor=productVariations" xr:uid="{4380E018-18FB-AF4A-B512-170967A91636}"/>
    <hyperlink ref="J15" r:id="rId22" location="anchor=productVariations" xr:uid="{A808851F-9A62-6F4C-B62C-0326F93DB0A8}"/>
    <hyperlink ref="J46" r:id="rId23" xr:uid="{706DD514-7CCD-8743-98D6-49778F958FF4}"/>
    <hyperlink ref="J19" r:id="rId24" xr:uid="{28517135-D33A-914A-98D9-E03BB00065E8}"/>
    <hyperlink ref="J49" r:id="rId25" xr:uid="{E2F86D44-706E-D14B-B96A-65AA17590E73}"/>
    <hyperlink ref="J30" r:id="rId26" xr:uid="{851FDF4E-1A1D-0B44-9E33-5EAA9D6C34C7}"/>
    <hyperlink ref="J31" r:id="rId27" xr:uid="{3BE5A3DB-FD07-6A4D-9BE5-2556372DF82F}"/>
    <hyperlink ref="J32" r:id="rId28" xr:uid="{C99C7DCE-E71A-284B-9791-1D80422D129D}"/>
    <hyperlink ref="J33" r:id="rId29" xr:uid="{CD75F494-109A-1D41-94DF-4B9EB30C8DE3}"/>
    <hyperlink ref="J34" r:id="rId30" xr:uid="{961559A3-F853-6F4E-97B8-F14372625EAA}"/>
    <hyperlink ref="J35" r:id="rId31" xr:uid="{99D896CE-51F1-2C4F-A27D-366CBBCB324B}"/>
    <hyperlink ref="J36" r:id="rId32" xr:uid="{7EC56A3D-5200-2E45-A549-A81628ED3BF1}"/>
    <hyperlink ref="J37" r:id="rId33" xr:uid="{7038B020-507F-4544-85AD-EAA42EF0E97E}"/>
    <hyperlink ref="J38" r:id="rId34" xr:uid="{AD1F07F6-F07C-EC48-BC32-BB20E57DD99F}"/>
    <hyperlink ref="J39" r:id="rId35" xr:uid="{6ED0126F-D380-1B4E-BD1E-0708389143EF}"/>
    <hyperlink ref="J40" r:id="rId36" xr:uid="{01A27DC3-199D-B64D-85D7-B3BFDDFE5016}"/>
    <hyperlink ref="J41" r:id="rId37" xr:uid="{989725A1-D3D3-8E4D-A14B-C402773AE5F0}"/>
    <hyperlink ref="J52" r:id="rId38" xr:uid="{202120D6-9604-E343-8CCB-8CC246CDB0EC}"/>
    <hyperlink ref="J55" r:id="rId39" xr:uid="{A13D72DF-B8B0-9041-B3BC-223E0CA7AA82}"/>
    <hyperlink ref="J56" r:id="rId40" xr:uid="{5B14AD59-5CEC-2F42-8795-9D67830A5F42}"/>
    <hyperlink ref="J57" r:id="rId41" xr:uid="{B37803FD-BB21-E047-B553-375F52BDDF46}"/>
    <hyperlink ref="J42" r:id="rId42" xr:uid="{3786EECB-50B3-C44A-853C-B1792F8477AA}"/>
    <hyperlink ref="J43" r:id="rId43" xr:uid="{AB8DFD81-D9BB-BE4E-937C-EB344A16FC09}"/>
    <hyperlink ref="J53" r:id="rId44" xr:uid="{488FF97B-79A0-DD43-84B7-A05F81E01934}"/>
    <hyperlink ref="J54" r:id="rId45" xr:uid="{B6163B76-5750-CC4B-AD34-1D7E2A1C34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9F5C-C6D8-E24A-9E07-7FCB7180749D}">
  <sheetPr>
    <tabColor theme="4" tint="0.59999389629810485"/>
  </sheetPr>
  <dimension ref="A1:CN35"/>
  <sheetViews>
    <sheetView topLeftCell="B1" zoomScale="120" zoomScaleNormal="120" workbookViewId="0">
      <pane xSplit="4" topLeftCell="CB1" activePane="topRight" state="frozen"/>
      <selection activeCell="B1" sqref="B1"/>
      <selection pane="topRight" activeCell="CG16" sqref="CG16"/>
    </sheetView>
  </sheetViews>
  <sheetFormatPr defaultColWidth="8.375" defaultRowHeight="15.75"/>
  <cols>
    <col min="1" max="1" width="8.125" bestFit="1" customWidth="1"/>
    <col min="2" max="2" width="8.125" customWidth="1"/>
    <col min="3" max="3" width="13.125" bestFit="1" customWidth="1"/>
    <col min="4" max="4" width="15.625" bestFit="1" customWidth="1"/>
    <col min="5" max="5" width="72.875" bestFit="1" customWidth="1"/>
    <col min="6" max="6" width="7.875" customWidth="1"/>
    <col min="7" max="7" width="8.875" bestFit="1" customWidth="1"/>
    <col min="8" max="8" width="7.875" customWidth="1"/>
    <col min="9" max="13" width="8.875" bestFit="1" customWidth="1"/>
    <col min="14" max="88" width="8.875" customWidth="1"/>
    <col min="90" max="90" width="9.375" bestFit="1" customWidth="1"/>
    <col min="91" max="91" width="6.625" bestFit="1" customWidth="1"/>
    <col min="92" max="92" width="12.625" bestFit="1" customWidth="1"/>
    <col min="94" max="94" width="19.375" bestFit="1" customWidth="1"/>
  </cols>
  <sheetData>
    <row r="1" spans="1:92">
      <c r="A1" s="9" t="s">
        <v>137</v>
      </c>
      <c r="B1" s="9" t="s">
        <v>23</v>
      </c>
      <c r="C1" s="9" t="s">
        <v>0</v>
      </c>
      <c r="D1" s="9" t="s">
        <v>25</v>
      </c>
      <c r="E1" s="9" t="s">
        <v>24</v>
      </c>
      <c r="F1" s="32">
        <v>44834</v>
      </c>
      <c r="G1" s="32">
        <v>44858</v>
      </c>
      <c r="H1" s="32">
        <v>44872</v>
      </c>
      <c r="I1" s="32">
        <v>44879</v>
      </c>
      <c r="J1" s="32">
        <v>44886</v>
      </c>
      <c r="K1" s="32">
        <v>44893</v>
      </c>
      <c r="L1" s="32">
        <v>44900</v>
      </c>
      <c r="M1" s="32">
        <v>44907</v>
      </c>
      <c r="N1" s="32">
        <v>44914</v>
      </c>
      <c r="O1" s="32">
        <v>44921</v>
      </c>
      <c r="P1" s="32">
        <v>44928</v>
      </c>
      <c r="Q1" s="32">
        <v>44935</v>
      </c>
      <c r="R1" s="32">
        <v>44949</v>
      </c>
      <c r="S1" s="32">
        <v>44963</v>
      </c>
      <c r="T1" s="32">
        <v>44970</v>
      </c>
      <c r="U1" s="32">
        <v>44977</v>
      </c>
      <c r="V1" s="32">
        <v>44991</v>
      </c>
      <c r="W1" s="32">
        <v>45005</v>
      </c>
      <c r="X1" s="32">
        <v>45019</v>
      </c>
      <c r="Y1" s="32">
        <v>45033</v>
      </c>
      <c r="Z1" s="32">
        <v>45047</v>
      </c>
      <c r="AA1" s="32">
        <v>45061</v>
      </c>
      <c r="AB1" s="32">
        <v>45075</v>
      </c>
      <c r="AC1" s="32">
        <v>45089</v>
      </c>
      <c r="AD1" s="32">
        <v>45103</v>
      </c>
      <c r="AE1" s="32">
        <v>45117</v>
      </c>
      <c r="AF1" s="32">
        <v>45131</v>
      </c>
      <c r="AG1" s="32">
        <v>45145</v>
      </c>
      <c r="AH1" s="32">
        <v>45159</v>
      </c>
      <c r="AI1" s="32">
        <v>45173</v>
      </c>
      <c r="AJ1" s="32">
        <v>45187</v>
      </c>
      <c r="AK1" s="32">
        <v>45201</v>
      </c>
      <c r="AL1" s="32">
        <v>45215</v>
      </c>
      <c r="AM1" s="32">
        <v>45229</v>
      </c>
      <c r="AN1" s="32">
        <v>45235</v>
      </c>
      <c r="AO1" s="32">
        <v>45243</v>
      </c>
      <c r="AP1" s="32">
        <v>45257</v>
      </c>
      <c r="AQ1" s="32">
        <v>45271</v>
      </c>
      <c r="AR1" s="32">
        <v>45285</v>
      </c>
      <c r="AS1" s="32">
        <v>45299</v>
      </c>
      <c r="AT1" s="32">
        <v>45313</v>
      </c>
      <c r="AU1" s="32">
        <v>45327</v>
      </c>
      <c r="AV1" s="32">
        <v>45341</v>
      </c>
      <c r="AW1" s="32">
        <v>45355</v>
      </c>
      <c r="AX1" s="32">
        <v>45369</v>
      </c>
      <c r="AY1" s="32">
        <v>45383</v>
      </c>
      <c r="AZ1" s="32">
        <v>45397</v>
      </c>
      <c r="BA1" s="32">
        <v>45411</v>
      </c>
      <c r="BB1" s="32">
        <v>45425</v>
      </c>
      <c r="BC1" s="32">
        <v>45439</v>
      </c>
      <c r="BD1" s="32">
        <v>45453</v>
      </c>
      <c r="BE1" s="32">
        <v>45460</v>
      </c>
      <c r="BF1" s="64">
        <v>45467</v>
      </c>
      <c r="BG1" s="32">
        <v>45481</v>
      </c>
      <c r="BH1" s="32">
        <v>45495</v>
      </c>
      <c r="BI1" s="64">
        <v>45509</v>
      </c>
      <c r="BJ1" s="32">
        <v>45523</v>
      </c>
      <c r="BK1" s="32">
        <v>45537</v>
      </c>
      <c r="BL1" s="64">
        <v>45551</v>
      </c>
      <c r="BM1" s="32">
        <v>45565</v>
      </c>
      <c r="BN1" s="32">
        <v>45579</v>
      </c>
      <c r="BO1" s="64">
        <v>45593</v>
      </c>
      <c r="BP1" s="32">
        <v>45607</v>
      </c>
      <c r="BQ1" s="32">
        <v>45621</v>
      </c>
      <c r="BR1" s="32">
        <v>45635</v>
      </c>
      <c r="BS1" s="32">
        <v>45649</v>
      </c>
      <c r="BT1" s="32">
        <v>45663</v>
      </c>
      <c r="BU1" s="32">
        <v>45677</v>
      </c>
      <c r="BV1" s="32">
        <v>45691</v>
      </c>
      <c r="BW1" s="32">
        <v>45705</v>
      </c>
      <c r="BX1" s="32">
        <v>45719</v>
      </c>
      <c r="BY1" s="32">
        <v>45733</v>
      </c>
      <c r="BZ1" s="32">
        <v>45747</v>
      </c>
      <c r="CA1" s="32">
        <v>45761</v>
      </c>
      <c r="CB1" s="32">
        <v>45775</v>
      </c>
      <c r="CC1" s="32">
        <v>45789</v>
      </c>
      <c r="CD1" s="32">
        <v>45803</v>
      </c>
      <c r="CE1" s="32">
        <v>45817</v>
      </c>
      <c r="CF1" s="32">
        <v>45831</v>
      </c>
      <c r="CG1" s="32">
        <v>45845</v>
      </c>
      <c r="CH1" s="32">
        <v>45859</v>
      </c>
      <c r="CI1" s="32">
        <v>45873</v>
      </c>
      <c r="CJ1" s="32">
        <v>45887</v>
      </c>
      <c r="CL1" s="23" t="s">
        <v>134</v>
      </c>
      <c r="CM1" s="23" t="s">
        <v>30</v>
      </c>
      <c r="CN1" s="23" t="s">
        <v>135</v>
      </c>
    </row>
    <row r="2" spans="1:92">
      <c r="A2" s="46">
        <v>6488842</v>
      </c>
      <c r="B2" s="12">
        <v>6488842</v>
      </c>
      <c r="C2" s="67">
        <v>810016713715</v>
      </c>
      <c r="D2" s="12" t="s">
        <v>49</v>
      </c>
      <c r="E2" s="12" t="s">
        <v>47</v>
      </c>
      <c r="F2" s="22">
        <v>1020</v>
      </c>
      <c r="G2" s="44">
        <v>168</v>
      </c>
      <c r="H2" s="22">
        <v>396</v>
      </c>
      <c r="I2" s="22">
        <v>384</v>
      </c>
      <c r="J2" s="22">
        <v>864</v>
      </c>
      <c r="K2" s="22">
        <v>24</v>
      </c>
      <c r="L2" s="22">
        <v>12</v>
      </c>
      <c r="M2" s="22">
        <v>60</v>
      </c>
      <c r="N2" s="22">
        <v>12</v>
      </c>
      <c r="O2" s="22">
        <v>492</v>
      </c>
      <c r="P2" s="22">
        <v>36</v>
      </c>
      <c r="Q2" s="22">
        <v>612</v>
      </c>
      <c r="R2" s="22">
        <v>216</v>
      </c>
      <c r="S2" s="22">
        <v>576</v>
      </c>
      <c r="T2" s="22">
        <v>216</v>
      </c>
      <c r="U2" s="22">
        <v>324</v>
      </c>
      <c r="V2" s="22">
        <v>588</v>
      </c>
      <c r="W2" s="22">
        <v>744</v>
      </c>
      <c r="X2" s="22">
        <v>12</v>
      </c>
      <c r="Y2" s="22">
        <v>144</v>
      </c>
      <c r="Z2" s="22">
        <v>312</v>
      </c>
      <c r="AA2" s="22">
        <v>0</v>
      </c>
      <c r="AB2" s="22">
        <v>0</v>
      </c>
      <c r="AC2" s="22">
        <v>444</v>
      </c>
      <c r="AD2" s="22">
        <v>0</v>
      </c>
      <c r="AE2" s="22">
        <v>0</v>
      </c>
      <c r="AF2" s="22">
        <v>0</v>
      </c>
      <c r="AG2" s="22">
        <v>0</v>
      </c>
      <c r="AH2" s="22">
        <v>0</v>
      </c>
      <c r="AI2" s="22">
        <v>0</v>
      </c>
      <c r="AJ2" s="22">
        <v>0</v>
      </c>
      <c r="AK2" s="22">
        <v>0</v>
      </c>
      <c r="AL2" s="22">
        <v>0</v>
      </c>
      <c r="AM2" s="22">
        <v>0</v>
      </c>
      <c r="AN2" s="22">
        <v>0</v>
      </c>
      <c r="AO2" s="22">
        <v>0</v>
      </c>
      <c r="AP2" s="22">
        <v>0</v>
      </c>
      <c r="AQ2" s="22">
        <v>0</v>
      </c>
      <c r="AR2" s="22">
        <v>0</v>
      </c>
      <c r="AS2" s="22">
        <v>0</v>
      </c>
      <c r="AT2" s="22">
        <v>0</v>
      </c>
      <c r="AU2" s="22">
        <v>0</v>
      </c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65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L2" s="5">
        <v>37.46</v>
      </c>
      <c r="CM2" s="22">
        <f>SUM(F2:CJ2)</f>
        <v>7656</v>
      </c>
      <c r="CN2" s="5">
        <f>CL2*CM2</f>
        <v>286793.76</v>
      </c>
    </row>
    <row r="3" spans="1:92">
      <c r="A3" s="46">
        <v>6488843</v>
      </c>
      <c r="B3" s="12">
        <v>6488843</v>
      </c>
      <c r="C3" s="67">
        <v>810016713722</v>
      </c>
      <c r="D3" s="12" t="s">
        <v>50</v>
      </c>
      <c r="E3" s="12" t="s">
        <v>48</v>
      </c>
      <c r="F3" s="22">
        <v>1008</v>
      </c>
      <c r="G3" s="45">
        <v>240</v>
      </c>
      <c r="H3" s="22">
        <v>112</v>
      </c>
      <c r="I3" s="22">
        <v>16</v>
      </c>
      <c r="J3" s="22">
        <v>248</v>
      </c>
      <c r="K3" s="22">
        <v>160</v>
      </c>
      <c r="L3" s="22">
        <v>248</v>
      </c>
      <c r="M3" s="22">
        <v>112</v>
      </c>
      <c r="N3" s="22">
        <v>176</v>
      </c>
      <c r="O3" s="22">
        <v>184</v>
      </c>
      <c r="P3" s="22">
        <v>72</v>
      </c>
      <c r="Q3" s="22">
        <v>520</v>
      </c>
      <c r="R3" s="22">
        <v>256</v>
      </c>
      <c r="S3" s="22">
        <v>112</v>
      </c>
      <c r="T3" s="22">
        <v>64</v>
      </c>
      <c r="U3" s="22">
        <v>384</v>
      </c>
      <c r="V3" s="22">
        <v>24</v>
      </c>
      <c r="W3" s="22">
        <v>320</v>
      </c>
      <c r="X3" s="22">
        <v>48</v>
      </c>
      <c r="Y3" s="22">
        <v>56</v>
      </c>
      <c r="Z3" s="22">
        <v>408</v>
      </c>
      <c r="AA3" s="22">
        <v>254</v>
      </c>
      <c r="AB3" s="22">
        <v>328</v>
      </c>
      <c r="AC3" s="22">
        <v>104</v>
      </c>
      <c r="AD3" s="22">
        <v>168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  <c r="AO3" s="22">
        <v>0</v>
      </c>
      <c r="AP3" s="22">
        <v>0</v>
      </c>
      <c r="AQ3" s="22">
        <v>0</v>
      </c>
      <c r="AR3" s="22">
        <v>0</v>
      </c>
      <c r="AS3" s="22">
        <v>0</v>
      </c>
      <c r="AT3" s="22">
        <v>0</v>
      </c>
      <c r="AU3" s="22">
        <v>0</v>
      </c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65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L3" s="5">
        <v>74.959999999999994</v>
      </c>
      <c r="CM3" s="22">
        <f t="shared" ref="CM3:CM9" si="0">SUM(F3:CJ3)</f>
        <v>5622</v>
      </c>
      <c r="CN3" s="5">
        <f>CL3*CM3</f>
        <v>421425.11999999994</v>
      </c>
    </row>
    <row r="4" spans="1:92">
      <c r="A4" s="43"/>
      <c r="B4" s="12">
        <v>6488843</v>
      </c>
      <c r="C4" s="67">
        <v>810016713722</v>
      </c>
      <c r="D4" s="12" t="s">
        <v>50</v>
      </c>
      <c r="E4" s="12" t="s">
        <v>211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0</v>
      </c>
      <c r="AJ4" s="22">
        <v>1000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0</v>
      </c>
      <c r="AR4" s="22">
        <v>0</v>
      </c>
      <c r="AS4" s="22">
        <v>0</v>
      </c>
      <c r="AT4" s="22">
        <v>0</v>
      </c>
      <c r="AU4" s="22">
        <v>0</v>
      </c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65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L4" s="5">
        <v>60.16</v>
      </c>
      <c r="CM4" s="22">
        <f t="shared" si="0"/>
        <v>1000</v>
      </c>
      <c r="CN4" s="5">
        <f>CL4*CM4</f>
        <v>60160</v>
      </c>
    </row>
    <row r="5" spans="1:92">
      <c r="A5" s="43"/>
      <c r="B5" s="4">
        <v>6550471</v>
      </c>
      <c r="C5" s="29">
        <v>810016717096</v>
      </c>
      <c r="D5" s="4" t="s">
        <v>139</v>
      </c>
      <c r="E5" s="18" t="s">
        <v>151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1344</v>
      </c>
      <c r="AJ5" s="22">
        <v>0</v>
      </c>
      <c r="AK5" s="22">
        <v>0</v>
      </c>
      <c r="AL5" s="22">
        <v>0</v>
      </c>
      <c r="AM5" s="22">
        <v>0</v>
      </c>
      <c r="AN5" s="22"/>
      <c r="AO5" s="22">
        <v>1200</v>
      </c>
      <c r="AP5" s="22">
        <v>36</v>
      </c>
      <c r="AQ5" s="22">
        <v>0</v>
      </c>
      <c r="AR5" s="22">
        <v>0</v>
      </c>
      <c r="AS5" s="22">
        <v>0</v>
      </c>
      <c r="AT5" s="22">
        <v>0</v>
      </c>
      <c r="AU5" s="22">
        <v>1440</v>
      </c>
      <c r="AV5" s="22">
        <v>468</v>
      </c>
      <c r="AW5" s="22">
        <v>372</v>
      </c>
      <c r="AX5" s="22">
        <v>456</v>
      </c>
      <c r="AY5" s="22">
        <v>468</v>
      </c>
      <c r="AZ5" s="22">
        <v>216</v>
      </c>
      <c r="BA5" s="22">
        <v>468</v>
      </c>
      <c r="BB5" s="22">
        <v>96</v>
      </c>
      <c r="BC5" s="22">
        <v>0</v>
      </c>
      <c r="BD5" s="22">
        <v>120</v>
      </c>
      <c r="BE5" s="22"/>
      <c r="BF5" s="65">
        <v>720</v>
      </c>
      <c r="BG5" s="22">
        <v>492</v>
      </c>
      <c r="BH5" s="22">
        <v>168</v>
      </c>
      <c r="BI5" s="22">
        <v>288</v>
      </c>
      <c r="BJ5" s="22">
        <v>804</v>
      </c>
      <c r="BK5" s="22">
        <v>764</v>
      </c>
      <c r="BL5" s="22">
        <v>0</v>
      </c>
      <c r="BM5" s="22">
        <v>720</v>
      </c>
      <c r="BN5" s="22">
        <v>1692</v>
      </c>
      <c r="BO5" s="22">
        <v>0</v>
      </c>
      <c r="BP5" s="22">
        <v>192</v>
      </c>
      <c r="BQ5" s="22">
        <v>612</v>
      </c>
      <c r="BR5" s="22">
        <v>708</v>
      </c>
      <c r="BS5" s="22">
        <v>384</v>
      </c>
      <c r="BT5" s="22">
        <v>0</v>
      </c>
      <c r="BU5" s="48">
        <v>1236</v>
      </c>
      <c r="BV5" s="48">
        <v>252</v>
      </c>
      <c r="BW5" s="48">
        <v>228</v>
      </c>
      <c r="BX5" s="48">
        <v>348</v>
      </c>
      <c r="BY5" s="48">
        <v>60</v>
      </c>
      <c r="BZ5" s="48">
        <v>0</v>
      </c>
      <c r="CA5" s="48">
        <v>108</v>
      </c>
      <c r="CB5" s="48">
        <v>492</v>
      </c>
      <c r="CC5" s="48">
        <v>324</v>
      </c>
      <c r="CD5" s="48">
        <v>0</v>
      </c>
      <c r="CE5" s="48">
        <v>504</v>
      </c>
      <c r="CF5" s="48">
        <v>444</v>
      </c>
      <c r="CG5" s="48">
        <v>252</v>
      </c>
      <c r="CH5" s="48">
        <v>24</v>
      </c>
      <c r="CI5" s="48"/>
      <c r="CJ5" s="48"/>
      <c r="CL5" s="5">
        <v>37.46</v>
      </c>
      <c r="CM5" s="22">
        <f t="shared" si="0"/>
        <v>18500</v>
      </c>
      <c r="CN5" s="5">
        <f t="shared" ref="CN5:CN9" si="1">CL5*CM5</f>
        <v>693010</v>
      </c>
    </row>
    <row r="6" spans="1:92">
      <c r="A6" s="43"/>
      <c r="B6" s="4">
        <v>6550544</v>
      </c>
      <c r="C6" s="29">
        <v>810016718178</v>
      </c>
      <c r="D6" s="18" t="s">
        <v>146</v>
      </c>
      <c r="E6" s="18" t="s">
        <v>158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2190</v>
      </c>
      <c r="AO6" s="22">
        <v>312</v>
      </c>
      <c r="AP6" s="22">
        <v>396</v>
      </c>
      <c r="AQ6" s="22">
        <v>0</v>
      </c>
      <c r="AR6" s="22">
        <v>0</v>
      </c>
      <c r="AS6" s="22">
        <v>150</v>
      </c>
      <c r="AT6" s="22">
        <v>0</v>
      </c>
      <c r="AU6" s="22">
        <v>576</v>
      </c>
      <c r="AV6" s="22">
        <v>222</v>
      </c>
      <c r="AW6" s="22">
        <v>234</v>
      </c>
      <c r="AX6" s="22">
        <v>48</v>
      </c>
      <c r="AY6" s="22">
        <v>270</v>
      </c>
      <c r="AZ6" s="22">
        <v>150</v>
      </c>
      <c r="BA6" s="22">
        <v>348</v>
      </c>
      <c r="BB6" s="22">
        <v>366</v>
      </c>
      <c r="BC6" s="22">
        <v>48</v>
      </c>
      <c r="BD6" s="22">
        <v>0</v>
      </c>
      <c r="BE6" s="22"/>
      <c r="BF6" s="65">
        <v>336</v>
      </c>
      <c r="BG6" s="22">
        <v>570</v>
      </c>
      <c r="BH6" s="22">
        <v>96</v>
      </c>
      <c r="BI6" s="22">
        <v>294</v>
      </c>
      <c r="BJ6" s="22">
        <v>366</v>
      </c>
      <c r="BK6" s="22">
        <v>120</v>
      </c>
      <c r="BL6" s="22">
        <v>330</v>
      </c>
      <c r="BM6" s="22">
        <v>420</v>
      </c>
      <c r="BN6" s="22">
        <v>498</v>
      </c>
      <c r="BO6" s="22">
        <v>0</v>
      </c>
      <c r="BP6" s="22">
        <v>726</v>
      </c>
      <c r="BQ6" s="22">
        <v>1134</v>
      </c>
      <c r="BR6" s="22">
        <v>720</v>
      </c>
      <c r="BS6" s="22">
        <v>192</v>
      </c>
      <c r="BT6" s="22">
        <v>0</v>
      </c>
      <c r="BU6" s="48">
        <v>120</v>
      </c>
      <c r="BV6" s="48">
        <v>162</v>
      </c>
      <c r="BW6" s="48">
        <v>234</v>
      </c>
      <c r="BX6" s="48">
        <v>180</v>
      </c>
      <c r="BY6" s="48">
        <v>414</v>
      </c>
      <c r="BZ6" s="48">
        <v>0</v>
      </c>
      <c r="CA6" s="48">
        <v>108</v>
      </c>
      <c r="CB6" s="48">
        <v>72</v>
      </c>
      <c r="CC6" s="48">
        <v>294</v>
      </c>
      <c r="CD6" s="48">
        <v>0</v>
      </c>
      <c r="CE6" s="48">
        <v>0</v>
      </c>
      <c r="CF6" s="48">
        <v>0</v>
      </c>
      <c r="CG6" s="48">
        <v>588</v>
      </c>
      <c r="CH6" s="48">
        <v>66</v>
      </c>
      <c r="CI6" s="48"/>
      <c r="CJ6" s="48"/>
      <c r="CL6" s="5">
        <v>67.459999999999994</v>
      </c>
      <c r="CM6" s="22">
        <f t="shared" si="0"/>
        <v>13350</v>
      </c>
      <c r="CN6" s="5">
        <f t="shared" si="1"/>
        <v>900590.99999999988</v>
      </c>
    </row>
    <row r="7" spans="1:92">
      <c r="A7" s="43"/>
      <c r="B7" s="4">
        <v>6550477</v>
      </c>
      <c r="C7" s="29">
        <v>810016717362</v>
      </c>
      <c r="D7" s="18" t="s">
        <v>142</v>
      </c>
      <c r="E7" s="18" t="s">
        <v>212</v>
      </c>
      <c r="F7" s="22" t="s">
        <v>197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>
        <v>2100</v>
      </c>
      <c r="BF7" s="65"/>
      <c r="BG7" s="22"/>
      <c r="BH7" s="22"/>
      <c r="BI7" s="22">
        <v>360</v>
      </c>
      <c r="BJ7" s="22">
        <v>210</v>
      </c>
      <c r="BK7" s="22">
        <v>0</v>
      </c>
      <c r="BL7" s="22">
        <v>90</v>
      </c>
      <c r="BM7" s="22">
        <v>210</v>
      </c>
      <c r="BN7" s="22">
        <v>510</v>
      </c>
      <c r="BO7" s="22">
        <v>90</v>
      </c>
      <c r="BP7" s="22">
        <v>330</v>
      </c>
      <c r="BQ7" s="22">
        <v>660</v>
      </c>
      <c r="BR7" s="22">
        <v>390</v>
      </c>
      <c r="BS7" s="22">
        <v>90</v>
      </c>
      <c r="BT7" s="22">
        <v>0</v>
      </c>
      <c r="BU7" s="22">
        <v>0</v>
      </c>
      <c r="BV7" s="22">
        <v>0</v>
      </c>
      <c r="BW7" s="22">
        <v>810</v>
      </c>
      <c r="BX7" s="48">
        <v>210</v>
      </c>
      <c r="BY7" s="22">
        <v>120</v>
      </c>
      <c r="BZ7" s="22">
        <v>0</v>
      </c>
      <c r="CA7" s="22">
        <v>0</v>
      </c>
      <c r="CB7" s="22">
        <v>30</v>
      </c>
      <c r="CC7" s="22">
        <v>30</v>
      </c>
      <c r="CD7" s="22">
        <v>0</v>
      </c>
      <c r="CE7" s="22">
        <v>0</v>
      </c>
      <c r="CF7" s="22">
        <v>270</v>
      </c>
      <c r="CG7" s="22">
        <v>0</v>
      </c>
      <c r="CH7" s="22">
        <v>300</v>
      </c>
      <c r="CI7" s="22"/>
      <c r="CJ7" s="22"/>
      <c r="CL7" s="5">
        <v>14.99</v>
      </c>
      <c r="CM7" s="22">
        <f t="shared" si="0"/>
        <v>6810</v>
      </c>
      <c r="CN7" s="5">
        <f t="shared" si="1"/>
        <v>102081.9</v>
      </c>
    </row>
    <row r="8" spans="1:92">
      <c r="A8" s="43"/>
      <c r="B8" s="4">
        <v>6552876</v>
      </c>
      <c r="C8" s="29">
        <v>810016718123</v>
      </c>
      <c r="D8" s="18" t="s">
        <v>165</v>
      </c>
      <c r="E8" s="18" t="s">
        <v>210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>
        <v>2040</v>
      </c>
      <c r="BF8" s="65"/>
      <c r="BG8" s="22"/>
      <c r="BH8" s="22">
        <v>240</v>
      </c>
      <c r="BI8" s="22">
        <v>996</v>
      </c>
      <c r="BJ8" s="22">
        <v>936</v>
      </c>
      <c r="BK8" s="22">
        <v>420</v>
      </c>
      <c r="BL8" s="22">
        <v>1308</v>
      </c>
      <c r="BM8" s="22">
        <v>432</v>
      </c>
      <c r="BN8" s="22">
        <v>2364</v>
      </c>
      <c r="BO8" s="22">
        <v>240</v>
      </c>
      <c r="BP8" s="22">
        <v>1788</v>
      </c>
      <c r="BQ8" s="22">
        <v>1512</v>
      </c>
      <c r="BR8" s="22">
        <v>1320</v>
      </c>
      <c r="BS8" s="22">
        <v>492</v>
      </c>
      <c r="BT8" s="22">
        <v>0</v>
      </c>
      <c r="BU8" s="48">
        <v>2100</v>
      </c>
      <c r="BV8" s="48">
        <v>552</v>
      </c>
      <c r="BW8" s="48">
        <v>432</v>
      </c>
      <c r="BX8" s="48">
        <v>540</v>
      </c>
      <c r="BY8" s="48">
        <v>0</v>
      </c>
      <c r="BZ8" s="48">
        <v>624</v>
      </c>
      <c r="CA8" s="48">
        <v>564</v>
      </c>
      <c r="CB8" s="48">
        <v>588</v>
      </c>
      <c r="CC8" s="48">
        <v>252</v>
      </c>
      <c r="CD8" s="48">
        <v>72</v>
      </c>
      <c r="CE8" s="48">
        <v>132</v>
      </c>
      <c r="CF8" s="48">
        <v>336</v>
      </c>
      <c r="CG8" s="48">
        <v>240</v>
      </c>
      <c r="CH8" s="48">
        <v>276</v>
      </c>
      <c r="CI8" s="48"/>
      <c r="CJ8" s="48"/>
      <c r="CL8" s="5">
        <v>37.46</v>
      </c>
      <c r="CM8" s="22">
        <f t="shared" si="0"/>
        <v>20796</v>
      </c>
      <c r="CN8" s="5">
        <f t="shared" si="1"/>
        <v>779018.16</v>
      </c>
    </row>
    <row r="9" spans="1:92">
      <c r="A9" s="43"/>
      <c r="B9" s="4">
        <v>6576717</v>
      </c>
      <c r="C9" s="29">
        <v>810016718857</v>
      </c>
      <c r="D9" s="18" t="s">
        <v>193</v>
      </c>
      <c r="E9" s="18" t="s">
        <v>233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48"/>
      <c r="BV9" s="48"/>
      <c r="BW9" s="48"/>
      <c r="BX9" s="48"/>
      <c r="BY9" s="81">
        <v>1812</v>
      </c>
      <c r="BZ9" s="48">
        <v>0</v>
      </c>
      <c r="CA9" s="48">
        <v>0</v>
      </c>
      <c r="CB9" s="48">
        <v>948</v>
      </c>
      <c r="CC9" s="48">
        <v>372</v>
      </c>
      <c r="CD9" s="48">
        <v>0</v>
      </c>
      <c r="CE9" s="48">
        <v>0</v>
      </c>
      <c r="CF9" s="48">
        <v>0</v>
      </c>
      <c r="CG9" s="48">
        <v>0</v>
      </c>
      <c r="CH9" s="48">
        <v>36</v>
      </c>
      <c r="CI9" s="48"/>
      <c r="CJ9" s="48"/>
      <c r="CL9" s="5">
        <v>37.46</v>
      </c>
      <c r="CM9" s="22">
        <f t="shared" si="0"/>
        <v>3168</v>
      </c>
      <c r="CN9" s="5">
        <f t="shared" si="1"/>
        <v>118673.28</v>
      </c>
    </row>
    <row r="10" spans="1:92">
      <c r="F10" s="31">
        <f t="shared" ref="F10:BG10" si="2">SUM(F2:F8)</f>
        <v>2028</v>
      </c>
      <c r="G10" s="31">
        <f t="shared" si="2"/>
        <v>408</v>
      </c>
      <c r="H10" s="31">
        <f t="shared" si="2"/>
        <v>508</v>
      </c>
      <c r="I10" s="31">
        <f t="shared" si="2"/>
        <v>400</v>
      </c>
      <c r="J10" s="31">
        <f t="shared" si="2"/>
        <v>1112</v>
      </c>
      <c r="K10" s="31">
        <f t="shared" si="2"/>
        <v>184</v>
      </c>
      <c r="L10" s="31">
        <f t="shared" si="2"/>
        <v>260</v>
      </c>
      <c r="M10" s="31">
        <f t="shared" si="2"/>
        <v>172</v>
      </c>
      <c r="N10" s="31">
        <f t="shared" si="2"/>
        <v>188</v>
      </c>
      <c r="O10" s="31">
        <f t="shared" si="2"/>
        <v>676</v>
      </c>
      <c r="P10" s="31">
        <f t="shared" si="2"/>
        <v>108</v>
      </c>
      <c r="Q10" s="31">
        <f t="shared" si="2"/>
        <v>1132</v>
      </c>
      <c r="R10" s="31">
        <f t="shared" si="2"/>
        <v>472</v>
      </c>
      <c r="S10" s="31">
        <f t="shared" si="2"/>
        <v>688</v>
      </c>
      <c r="T10" s="31">
        <f t="shared" si="2"/>
        <v>280</v>
      </c>
      <c r="U10" s="31">
        <f t="shared" si="2"/>
        <v>708</v>
      </c>
      <c r="V10" s="31">
        <f t="shared" si="2"/>
        <v>612</v>
      </c>
      <c r="W10" s="31">
        <f t="shared" si="2"/>
        <v>1064</v>
      </c>
      <c r="X10" s="31">
        <f t="shared" si="2"/>
        <v>60</v>
      </c>
      <c r="Y10" s="31">
        <f t="shared" si="2"/>
        <v>200</v>
      </c>
      <c r="Z10" s="31">
        <f t="shared" si="2"/>
        <v>720</v>
      </c>
      <c r="AA10" s="31">
        <f t="shared" si="2"/>
        <v>254</v>
      </c>
      <c r="AB10" s="31">
        <f t="shared" si="2"/>
        <v>328</v>
      </c>
      <c r="AC10" s="31">
        <f t="shared" si="2"/>
        <v>548</v>
      </c>
      <c r="AD10" s="31">
        <f t="shared" si="2"/>
        <v>168</v>
      </c>
      <c r="AE10" s="31">
        <f t="shared" si="2"/>
        <v>0</v>
      </c>
      <c r="AF10" s="31">
        <f t="shared" si="2"/>
        <v>0</v>
      </c>
      <c r="AG10" s="31">
        <f t="shared" si="2"/>
        <v>0</v>
      </c>
      <c r="AH10" s="31">
        <f t="shared" si="2"/>
        <v>0</v>
      </c>
      <c r="AI10" s="31">
        <f t="shared" si="2"/>
        <v>1344</v>
      </c>
      <c r="AJ10" s="31">
        <f t="shared" si="2"/>
        <v>1000</v>
      </c>
      <c r="AK10" s="31">
        <f t="shared" si="2"/>
        <v>0</v>
      </c>
      <c r="AL10" s="31">
        <f t="shared" si="2"/>
        <v>0</v>
      </c>
      <c r="AM10" s="31">
        <f t="shared" si="2"/>
        <v>0</v>
      </c>
      <c r="AN10" s="31">
        <f t="shared" si="2"/>
        <v>2190</v>
      </c>
      <c r="AO10" s="31">
        <f t="shared" si="2"/>
        <v>1512</v>
      </c>
      <c r="AP10" s="31">
        <f t="shared" si="2"/>
        <v>432</v>
      </c>
      <c r="AQ10" s="31">
        <f t="shared" si="2"/>
        <v>0</v>
      </c>
      <c r="AR10" s="31">
        <f t="shared" si="2"/>
        <v>0</v>
      </c>
      <c r="AS10" s="31">
        <f t="shared" si="2"/>
        <v>150</v>
      </c>
      <c r="AT10" s="31">
        <f t="shared" si="2"/>
        <v>0</v>
      </c>
      <c r="AU10" s="31">
        <f t="shared" si="2"/>
        <v>2016</v>
      </c>
      <c r="AV10" s="31">
        <f t="shared" si="2"/>
        <v>690</v>
      </c>
      <c r="AW10" s="31">
        <f t="shared" si="2"/>
        <v>606</v>
      </c>
      <c r="AX10" s="31">
        <f t="shared" si="2"/>
        <v>504</v>
      </c>
      <c r="AY10" s="31">
        <f t="shared" si="2"/>
        <v>738</v>
      </c>
      <c r="AZ10" s="31">
        <f t="shared" si="2"/>
        <v>366</v>
      </c>
      <c r="BA10" s="31">
        <f t="shared" si="2"/>
        <v>816</v>
      </c>
      <c r="BB10" s="31">
        <f t="shared" si="2"/>
        <v>462</v>
      </c>
      <c r="BC10" s="31">
        <f t="shared" si="2"/>
        <v>48</v>
      </c>
      <c r="BD10" s="31">
        <f t="shared" si="2"/>
        <v>120</v>
      </c>
      <c r="BE10" s="31">
        <f t="shared" si="2"/>
        <v>4140</v>
      </c>
      <c r="BF10" s="31">
        <f t="shared" si="2"/>
        <v>1056</v>
      </c>
      <c r="BG10" s="31">
        <f t="shared" si="2"/>
        <v>1062</v>
      </c>
      <c r="BH10" s="31">
        <f>SUM(BH2:BH8)</f>
        <v>504</v>
      </c>
      <c r="BI10" s="31">
        <f t="shared" ref="BI10:BV10" si="3">SUM(BI2:BI8)</f>
        <v>1938</v>
      </c>
      <c r="BJ10" s="31">
        <f t="shared" si="3"/>
        <v>2316</v>
      </c>
      <c r="BK10" s="31">
        <f t="shared" si="3"/>
        <v>1304</v>
      </c>
      <c r="BL10" s="31">
        <f t="shared" si="3"/>
        <v>1728</v>
      </c>
      <c r="BM10" s="31">
        <f t="shared" si="3"/>
        <v>1782</v>
      </c>
      <c r="BN10" s="31">
        <f t="shared" si="3"/>
        <v>5064</v>
      </c>
      <c r="BO10" s="31">
        <f t="shared" si="3"/>
        <v>330</v>
      </c>
      <c r="BP10" s="31">
        <f t="shared" si="3"/>
        <v>3036</v>
      </c>
      <c r="BQ10" s="31">
        <f t="shared" si="3"/>
        <v>3918</v>
      </c>
      <c r="BR10" s="31">
        <f t="shared" si="3"/>
        <v>3138</v>
      </c>
      <c r="BS10" s="31">
        <f t="shared" si="3"/>
        <v>1158</v>
      </c>
      <c r="BT10" s="31">
        <f t="shared" si="3"/>
        <v>0</v>
      </c>
      <c r="BU10" s="31">
        <f t="shared" si="3"/>
        <v>3456</v>
      </c>
      <c r="BV10" s="31">
        <f t="shared" si="3"/>
        <v>966</v>
      </c>
      <c r="BW10" s="31">
        <f>SUM(BW2:BW9)</f>
        <v>1704</v>
      </c>
      <c r="BX10" s="31">
        <f t="shared" ref="BX10:CJ10" si="4">SUM(BX2:BX9)</f>
        <v>1278</v>
      </c>
      <c r="BY10" s="31">
        <f t="shared" si="4"/>
        <v>2406</v>
      </c>
      <c r="BZ10" s="31">
        <f t="shared" si="4"/>
        <v>624</v>
      </c>
      <c r="CA10" s="31">
        <f t="shared" si="4"/>
        <v>780</v>
      </c>
      <c r="CB10" s="31">
        <f t="shared" si="4"/>
        <v>2130</v>
      </c>
      <c r="CC10" s="31">
        <f t="shared" si="4"/>
        <v>1272</v>
      </c>
      <c r="CD10" s="31">
        <f t="shared" si="4"/>
        <v>72</v>
      </c>
      <c r="CE10" s="31">
        <f t="shared" si="4"/>
        <v>636</v>
      </c>
      <c r="CF10" s="31">
        <f t="shared" si="4"/>
        <v>1050</v>
      </c>
      <c r="CG10" s="31">
        <f t="shared" si="4"/>
        <v>1080</v>
      </c>
      <c r="CH10" s="31">
        <f t="shared" si="4"/>
        <v>702</v>
      </c>
      <c r="CI10" s="31">
        <f t="shared" si="4"/>
        <v>0</v>
      </c>
      <c r="CJ10" s="31">
        <f t="shared" si="4"/>
        <v>0</v>
      </c>
      <c r="CM10" s="30">
        <f>SUM(CM2:CM8)</f>
        <v>73734</v>
      </c>
      <c r="CN10" s="25">
        <f>SUM(CN2:CN8)</f>
        <v>3243079.94</v>
      </c>
    </row>
    <row r="22" spans="6:6">
      <c r="F22" t="s">
        <v>136</v>
      </c>
    </row>
    <row r="34" spans="16:17">
      <c r="P34" s="33"/>
    </row>
    <row r="35" spans="16:17">
      <c r="P35" s="33"/>
      <c r="Q35" s="33"/>
    </row>
  </sheetData>
  <dataValidations count="3">
    <dataValidation type="custom" showErrorMessage="1" errorTitle="Invalid input" error="Must have a length less than or equal to 50. To delete, enter DELETE THIS." sqref="E5" xr:uid="{E3957876-3DB6-9C4B-B167-2E75B51DF252}">
      <formula1>OR(LEN(E5)&lt;=50,(E5="DELETE THIS"))</formula1>
    </dataValidation>
    <dataValidation type="custom" showErrorMessage="1" errorTitle="Invalid input" error="Must be an integer between 8 and 16." sqref="C5 C7" xr:uid="{1383AD1B-B65C-D540-B123-4F4269B56ADA}">
      <formula1>AND(IF(ISNUMBER(VALUE(C5)),EXACT(C5*1, INT(C5*1)),FALSE),LEN(C5)&lt;=16,LEN(C5)&gt;=8)</formula1>
    </dataValidation>
    <dataValidation type="custom" showErrorMessage="1" errorTitle="Invalid input" error="Must be a number. Must have a value between 0 and 500000. To delete, enter DELETE THIS." sqref="CL5 CL8:CL9" xr:uid="{9695F220-AFD6-AE48-B9E5-E98DAEF4799E}">
      <formula1>OR(AND(AND(ISNUMBER(CL5),NOT(ISNUMBER(SEARCH(CL5,":")))),CL5&lt;=500000,CL5&gt;=0),(CL5="DELETE THIS"))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009C-CEFD-C442-9A28-D03C6BC90D49}">
  <sheetPr>
    <tabColor theme="9" tint="0.59999389629810485"/>
  </sheetPr>
  <dimension ref="A1:JA94"/>
  <sheetViews>
    <sheetView tabSelected="1" topLeftCell="A58" zoomScale="70" zoomScaleNormal="70" workbookViewId="0">
      <pane xSplit="4" topLeftCell="HB1" activePane="topRight" state="frozen"/>
      <selection activeCell="A58" sqref="A58"/>
      <selection pane="topRight" activeCell="IN69" sqref="IN69"/>
    </sheetView>
  </sheetViews>
  <sheetFormatPr defaultColWidth="11" defaultRowHeight="15.75"/>
  <cols>
    <col min="1" max="1" width="8" hidden="1" customWidth="1"/>
    <col min="2" max="2" width="12.375" bestFit="1" customWidth="1"/>
    <col min="3" max="3" width="27.625" bestFit="1" customWidth="1"/>
    <col min="4" max="4" width="41" customWidth="1"/>
    <col min="5" max="6" width="10.25" bestFit="1" customWidth="1"/>
    <col min="7" max="7" width="9.25" bestFit="1" customWidth="1"/>
    <col min="8" max="10" width="10.25" bestFit="1" customWidth="1"/>
    <col min="11" max="12" width="9.25" bestFit="1" customWidth="1"/>
    <col min="13" max="15" width="10.25" bestFit="1" customWidth="1"/>
    <col min="16" max="16" width="9.25" bestFit="1" customWidth="1"/>
    <col min="17" max="19" width="10.25" bestFit="1" customWidth="1"/>
    <col min="20" max="20" width="9.25" bestFit="1" customWidth="1"/>
    <col min="21" max="24" width="10.25" bestFit="1" customWidth="1"/>
    <col min="25" max="25" width="9.25" bestFit="1" customWidth="1"/>
    <col min="26" max="28" width="10.25" bestFit="1" customWidth="1"/>
    <col min="29" max="29" width="9.25" bestFit="1" customWidth="1"/>
    <col min="30" max="34" width="10.25" bestFit="1" customWidth="1"/>
    <col min="35" max="37" width="11.375" bestFit="1" customWidth="1"/>
    <col min="38" max="38" width="10.25" bestFit="1" customWidth="1"/>
    <col min="39" max="41" width="11.375" bestFit="1" customWidth="1"/>
    <col min="42" max="42" width="10.25" bestFit="1" customWidth="1"/>
    <col min="43" max="45" width="11.375" bestFit="1" customWidth="1"/>
    <col min="46" max="47" width="9.25" bestFit="1" customWidth="1"/>
    <col min="48" max="50" width="10.25" bestFit="1" customWidth="1"/>
    <col min="51" max="51" width="9.25" bestFit="1" customWidth="1"/>
    <col min="52" max="54" width="10.25" bestFit="1" customWidth="1"/>
    <col min="55" max="55" width="9.25" bestFit="1" customWidth="1"/>
    <col min="56" max="58" width="10.25" bestFit="1" customWidth="1"/>
    <col min="59" max="60" width="9.25" bestFit="1" customWidth="1"/>
    <col min="61" max="63" width="10.25" bestFit="1" customWidth="1"/>
    <col min="64" max="64" width="9.25" bestFit="1" customWidth="1"/>
    <col min="65" max="67" width="10.25" bestFit="1" customWidth="1"/>
    <col min="68" max="68" width="9.25" bestFit="1" customWidth="1"/>
    <col min="69" max="71" width="10.25" bestFit="1" customWidth="1"/>
    <col min="72" max="73" width="9.25" bestFit="1" customWidth="1"/>
    <col min="74" max="76" width="10.25" bestFit="1" customWidth="1"/>
    <col min="77" max="77" width="9.25" bestFit="1" customWidth="1"/>
    <col min="78" max="80" width="10.25" bestFit="1" customWidth="1"/>
    <col min="81" max="81" width="9.25" bestFit="1" customWidth="1"/>
    <col min="82" max="85" width="10.25" bestFit="1" customWidth="1"/>
    <col min="86" max="86" width="13.375" bestFit="1" customWidth="1"/>
    <col min="87" max="89" width="11.375" bestFit="1" customWidth="1"/>
    <col min="90" max="90" width="10.25" bestFit="1" customWidth="1"/>
    <col min="91" max="93" width="11.375" bestFit="1" customWidth="1"/>
    <col min="94" max="94" width="10.25" bestFit="1" customWidth="1"/>
    <col min="95" max="98" width="11.375" bestFit="1" customWidth="1"/>
    <col min="99" max="99" width="9.25" bestFit="1" customWidth="1"/>
    <col min="100" max="102" width="10.25" bestFit="1" customWidth="1"/>
    <col min="103" max="103" width="9.25" bestFit="1" customWidth="1"/>
    <col min="104" max="106" width="10.25" bestFit="1" customWidth="1"/>
    <col min="107" max="107" width="9.25" bestFit="1" customWidth="1"/>
    <col min="108" max="110" width="10.25" bestFit="1" customWidth="1"/>
    <col min="111" max="112" width="9.25" bestFit="1" customWidth="1"/>
    <col min="113" max="115" width="10.25" bestFit="1" customWidth="1"/>
    <col min="116" max="116" width="9.25" bestFit="1" customWidth="1"/>
    <col min="117" max="119" width="10.25" bestFit="1" customWidth="1"/>
    <col min="120" max="120" width="9.25" bestFit="1" customWidth="1"/>
    <col min="121" max="123" width="10.25" bestFit="1" customWidth="1"/>
    <col min="124" max="125" width="9.25" bestFit="1" customWidth="1"/>
    <col min="126" max="128" width="10.25" bestFit="1" customWidth="1"/>
    <col min="129" max="129" width="9.25" bestFit="1" customWidth="1"/>
    <col min="130" max="132" width="10.25" bestFit="1" customWidth="1"/>
    <col min="133" max="134" width="9.25" bestFit="1" customWidth="1"/>
    <col min="135" max="138" width="10.25" bestFit="1" customWidth="1"/>
    <col min="139" max="139" width="13.25" bestFit="1" customWidth="1"/>
    <col min="140" max="141" width="11.375" bestFit="1" customWidth="1"/>
    <col min="142" max="142" width="10.25" bestFit="1" customWidth="1"/>
    <col min="143" max="143" width="13.25" bestFit="1" customWidth="1"/>
    <col min="144" max="145" width="11.375" bestFit="1" customWidth="1"/>
    <col min="146" max="147" width="10.25" bestFit="1" customWidth="1"/>
    <col min="148" max="150" width="11.375" bestFit="1" customWidth="1"/>
    <col min="151" max="151" width="9.25" bestFit="1" customWidth="1"/>
    <col min="152" max="154" width="10.25" bestFit="1" customWidth="1"/>
    <col min="155" max="155" width="9.25" bestFit="1" customWidth="1"/>
    <col min="156" max="158" width="10.25" bestFit="1" customWidth="1"/>
    <col min="159" max="160" width="9.25" bestFit="1" customWidth="1"/>
    <col min="161" max="163" width="10.25" bestFit="1" customWidth="1"/>
    <col min="164" max="164" width="9.25" bestFit="1" customWidth="1"/>
    <col min="165" max="167" width="10.25" bestFit="1" customWidth="1"/>
    <col min="168" max="168" width="9.25" bestFit="1" customWidth="1"/>
    <col min="169" max="171" width="10.25" bestFit="1" customWidth="1"/>
    <col min="172" max="173" width="9.25" bestFit="1" customWidth="1"/>
    <col min="174" max="174" width="10.25" bestFit="1" customWidth="1"/>
    <col min="175" max="175" width="13.25" bestFit="1" customWidth="1"/>
    <col min="176" max="176" width="10.25" bestFit="1" customWidth="1"/>
    <col min="177" max="177" width="9.25" bestFit="1" customWidth="1"/>
    <col min="178" max="180" width="10.25" bestFit="1" customWidth="1"/>
    <col min="181" max="181" width="9.25" bestFit="1" customWidth="1"/>
    <col min="182" max="185" width="10.25" bestFit="1" customWidth="1"/>
    <col min="186" max="186" width="9.25" bestFit="1" customWidth="1"/>
    <col min="187" max="190" width="10.25" bestFit="1" customWidth="1"/>
    <col min="191" max="193" width="11.375" bestFit="1" customWidth="1"/>
    <col min="194" max="195" width="10.25" bestFit="1" customWidth="1"/>
    <col min="196" max="198" width="11.375" bestFit="1" customWidth="1"/>
    <col min="199" max="199" width="10.25" bestFit="1" customWidth="1"/>
    <col min="200" max="202" width="11.375" bestFit="1" customWidth="1"/>
    <col min="203" max="203" width="9.25" bestFit="1" customWidth="1"/>
    <col min="204" max="206" width="10.25" bestFit="1" customWidth="1"/>
    <col min="207" max="208" width="9.25" bestFit="1" customWidth="1"/>
    <col min="209" max="210" width="10.25" bestFit="1" customWidth="1"/>
    <col min="211" max="212" width="9.25" bestFit="1" customWidth="1"/>
    <col min="213" max="215" width="10.25" hidden="1" customWidth="1"/>
    <col min="216" max="216" width="9.25" hidden="1" customWidth="1"/>
    <col min="217" max="219" width="10.25" hidden="1" customWidth="1"/>
    <col min="220" max="220" width="9.25" hidden="1" customWidth="1"/>
    <col min="221" max="224" width="10.25" hidden="1" customWidth="1"/>
    <col min="225" max="225" width="9.25" hidden="1" customWidth="1"/>
    <col min="226" max="228" width="10.25" hidden="1" customWidth="1"/>
    <col min="229" max="229" width="9.25" hidden="1" customWidth="1"/>
    <col min="230" max="232" width="10.25" hidden="1" customWidth="1"/>
    <col min="233" max="234" width="9.25" hidden="1" customWidth="1"/>
    <col min="235" max="237" width="10.25" hidden="1" customWidth="1"/>
    <col min="238" max="238" width="9.25" hidden="1" customWidth="1"/>
    <col min="239" max="242" width="10.25" hidden="1" customWidth="1"/>
    <col min="243" max="245" width="11.375" hidden="1" customWidth="1"/>
    <col min="246" max="247" width="10.25" bestFit="1" customWidth="1"/>
    <col min="248" max="250" width="11.375" bestFit="1" customWidth="1"/>
    <col min="251" max="251" width="10.25" customWidth="1"/>
    <col min="252" max="254" width="11.375" bestFit="1" customWidth="1"/>
    <col min="255" max="255" width="10.25" customWidth="1"/>
    <col min="257" max="257" width="7" bestFit="1" customWidth="1"/>
    <col min="258" max="258" width="8.375" bestFit="1" customWidth="1"/>
    <col min="259" max="259" width="13.375" bestFit="1" customWidth="1"/>
    <col min="260" max="260" width="8.125" bestFit="1" customWidth="1"/>
    <col min="261" max="261" width="13.375" bestFit="1" customWidth="1"/>
  </cols>
  <sheetData>
    <row r="1" spans="1:261">
      <c r="A1" s="9" t="s">
        <v>23</v>
      </c>
      <c r="B1" s="9" t="s">
        <v>0</v>
      </c>
      <c r="C1" s="76" t="s">
        <v>229</v>
      </c>
      <c r="D1" s="9" t="s">
        <v>24</v>
      </c>
      <c r="E1" s="7">
        <v>44275</v>
      </c>
      <c r="F1" s="7">
        <v>44282</v>
      </c>
      <c r="G1" s="7">
        <v>44289</v>
      </c>
      <c r="H1" s="7">
        <v>44296</v>
      </c>
      <c r="I1" s="7">
        <v>44303</v>
      </c>
      <c r="J1" s="7">
        <v>44310</v>
      </c>
      <c r="K1" s="7">
        <v>44317</v>
      </c>
      <c r="L1" s="7">
        <v>44324</v>
      </c>
      <c r="M1" s="7">
        <v>44331</v>
      </c>
      <c r="N1" s="7">
        <v>44338</v>
      </c>
      <c r="O1" s="7">
        <v>44345</v>
      </c>
      <c r="P1" s="7">
        <v>44352</v>
      </c>
      <c r="Q1" s="7">
        <v>44359</v>
      </c>
      <c r="R1" s="7">
        <v>44366</v>
      </c>
      <c r="S1" s="7">
        <v>44373</v>
      </c>
      <c r="T1" s="7">
        <v>44380</v>
      </c>
      <c r="U1" s="7">
        <v>44387</v>
      </c>
      <c r="V1" s="7">
        <v>44394</v>
      </c>
      <c r="W1" s="7">
        <v>44401</v>
      </c>
      <c r="X1" s="7">
        <v>44408</v>
      </c>
      <c r="Y1" s="7">
        <v>44415</v>
      </c>
      <c r="Z1" s="7">
        <v>44422</v>
      </c>
      <c r="AA1" s="7">
        <v>44429</v>
      </c>
      <c r="AB1" s="7">
        <v>44436</v>
      </c>
      <c r="AC1" s="7">
        <v>44443</v>
      </c>
      <c r="AD1" s="7">
        <v>44450</v>
      </c>
      <c r="AE1" s="7">
        <v>44457</v>
      </c>
      <c r="AF1" s="7">
        <v>44464</v>
      </c>
      <c r="AG1" s="7">
        <v>44471</v>
      </c>
      <c r="AH1" s="7">
        <v>44478</v>
      </c>
      <c r="AI1" s="7">
        <v>44485</v>
      </c>
      <c r="AJ1" s="7">
        <v>44492</v>
      </c>
      <c r="AK1" s="7">
        <v>44499</v>
      </c>
      <c r="AL1" s="7">
        <v>44506</v>
      </c>
      <c r="AM1" s="7">
        <v>44513</v>
      </c>
      <c r="AN1" s="7">
        <v>44520</v>
      </c>
      <c r="AO1" s="7">
        <v>44527</v>
      </c>
      <c r="AP1" s="7">
        <v>44534</v>
      </c>
      <c r="AQ1" s="7">
        <v>44541</v>
      </c>
      <c r="AR1" s="7">
        <v>44548</v>
      </c>
      <c r="AS1" s="7">
        <v>44555</v>
      </c>
      <c r="AT1" s="7">
        <v>44562</v>
      </c>
      <c r="AU1" s="7">
        <v>44569</v>
      </c>
      <c r="AV1" s="7">
        <v>44576</v>
      </c>
      <c r="AW1" s="7">
        <v>44583</v>
      </c>
      <c r="AX1" s="7">
        <v>44590</v>
      </c>
      <c r="AY1" s="7">
        <v>44597</v>
      </c>
      <c r="AZ1" s="7">
        <v>44604</v>
      </c>
      <c r="BA1" s="7">
        <v>44611</v>
      </c>
      <c r="BB1" s="7">
        <v>44618</v>
      </c>
      <c r="BC1" s="7">
        <v>44625</v>
      </c>
      <c r="BD1" s="7">
        <v>44632</v>
      </c>
      <c r="BE1" s="7">
        <v>44639</v>
      </c>
      <c r="BF1" s="7">
        <v>44646</v>
      </c>
      <c r="BG1" s="7">
        <v>44653</v>
      </c>
      <c r="BH1" s="7">
        <v>44660</v>
      </c>
      <c r="BI1" s="7">
        <v>44667</v>
      </c>
      <c r="BJ1" s="7">
        <v>44674</v>
      </c>
      <c r="BK1" s="7">
        <v>44681</v>
      </c>
      <c r="BL1" s="7">
        <v>44688</v>
      </c>
      <c r="BM1" s="7">
        <v>44695</v>
      </c>
      <c r="BN1" s="7">
        <v>44702</v>
      </c>
      <c r="BO1" s="7">
        <v>44709</v>
      </c>
      <c r="BP1" s="7">
        <v>44716</v>
      </c>
      <c r="BQ1" s="7">
        <v>44723</v>
      </c>
      <c r="BR1" s="7">
        <v>44730</v>
      </c>
      <c r="BS1" s="7">
        <v>44737</v>
      </c>
      <c r="BT1" s="7">
        <v>44744</v>
      </c>
      <c r="BU1" s="7">
        <v>44751</v>
      </c>
      <c r="BV1" s="7">
        <v>44758</v>
      </c>
      <c r="BW1" s="7">
        <v>44765</v>
      </c>
      <c r="BX1" s="7">
        <v>44772</v>
      </c>
      <c r="BY1" s="7">
        <v>44779</v>
      </c>
      <c r="BZ1" s="7">
        <v>44786</v>
      </c>
      <c r="CA1" s="7">
        <v>44793</v>
      </c>
      <c r="CB1" s="7">
        <v>44800</v>
      </c>
      <c r="CC1" s="7">
        <v>44807</v>
      </c>
      <c r="CD1" s="7">
        <v>44814</v>
      </c>
      <c r="CE1" s="7">
        <v>44821</v>
      </c>
      <c r="CF1" s="7">
        <v>44828</v>
      </c>
      <c r="CG1" s="7">
        <v>44835</v>
      </c>
      <c r="CH1" s="7">
        <v>44842</v>
      </c>
      <c r="CI1" s="7">
        <v>44849</v>
      </c>
      <c r="CJ1" s="7">
        <v>44856</v>
      </c>
      <c r="CK1" s="7">
        <v>44863</v>
      </c>
      <c r="CL1" s="7">
        <v>44870</v>
      </c>
      <c r="CM1" s="7">
        <v>44877</v>
      </c>
      <c r="CN1" s="7">
        <v>44884</v>
      </c>
      <c r="CO1" s="7">
        <v>44891</v>
      </c>
      <c r="CP1" s="7">
        <v>44898</v>
      </c>
      <c r="CQ1" s="7">
        <v>44905</v>
      </c>
      <c r="CR1" s="7">
        <v>44912</v>
      </c>
      <c r="CS1" s="7">
        <v>44919</v>
      </c>
      <c r="CT1" s="7">
        <v>44926</v>
      </c>
      <c r="CU1" s="7">
        <v>44933</v>
      </c>
      <c r="CV1" s="7">
        <v>44940</v>
      </c>
      <c r="CW1" s="7">
        <v>44947</v>
      </c>
      <c r="CX1" s="7">
        <v>44954</v>
      </c>
      <c r="CY1" s="7">
        <v>44961</v>
      </c>
      <c r="CZ1" s="7">
        <v>44968</v>
      </c>
      <c r="DA1" s="7">
        <v>44975</v>
      </c>
      <c r="DB1" s="7">
        <v>44982</v>
      </c>
      <c r="DC1" s="7">
        <v>44989</v>
      </c>
      <c r="DD1" s="7">
        <v>44996</v>
      </c>
      <c r="DE1" s="7">
        <v>45003</v>
      </c>
      <c r="DF1" s="7">
        <v>45010</v>
      </c>
      <c r="DG1" s="7">
        <v>45017</v>
      </c>
      <c r="DH1" s="7">
        <v>45024</v>
      </c>
      <c r="DI1" s="7">
        <v>45031</v>
      </c>
      <c r="DJ1" s="7">
        <v>45038</v>
      </c>
      <c r="DK1" s="7">
        <v>45045</v>
      </c>
      <c r="DL1" s="7">
        <v>45052</v>
      </c>
      <c r="DM1" s="7">
        <v>45059</v>
      </c>
      <c r="DN1" s="7">
        <v>45066</v>
      </c>
      <c r="DO1" s="7">
        <v>45073</v>
      </c>
      <c r="DP1" s="7">
        <v>45080</v>
      </c>
      <c r="DQ1" s="7">
        <v>45087</v>
      </c>
      <c r="DR1" s="7">
        <v>45094</v>
      </c>
      <c r="DS1" s="7">
        <v>45101</v>
      </c>
      <c r="DT1" s="7">
        <v>45108</v>
      </c>
      <c r="DU1" s="7">
        <v>45115</v>
      </c>
      <c r="DV1" s="7">
        <v>45122</v>
      </c>
      <c r="DW1" s="7">
        <v>45129</v>
      </c>
      <c r="DX1" s="7">
        <v>45136</v>
      </c>
      <c r="DY1" s="7">
        <v>45143</v>
      </c>
      <c r="DZ1" s="7">
        <v>45150</v>
      </c>
      <c r="EA1" s="7">
        <v>45157</v>
      </c>
      <c r="EB1" s="7">
        <v>45164</v>
      </c>
      <c r="EC1" s="7">
        <v>45171</v>
      </c>
      <c r="ED1" s="7">
        <v>45178</v>
      </c>
      <c r="EE1" s="7">
        <v>45185</v>
      </c>
      <c r="EF1" s="7">
        <v>45192</v>
      </c>
      <c r="EG1" s="7">
        <v>45199</v>
      </c>
      <c r="EH1" s="7">
        <v>45206</v>
      </c>
      <c r="EI1" s="7">
        <v>45213</v>
      </c>
      <c r="EJ1" s="7">
        <v>45220</v>
      </c>
      <c r="EK1" s="7">
        <v>45227</v>
      </c>
      <c r="EL1" s="7">
        <v>45234</v>
      </c>
      <c r="EM1" s="7">
        <v>45241</v>
      </c>
      <c r="EN1" s="7">
        <v>45248</v>
      </c>
      <c r="EO1" s="7">
        <v>45255</v>
      </c>
      <c r="EP1" s="7">
        <v>45262</v>
      </c>
      <c r="EQ1" s="7">
        <v>45269</v>
      </c>
      <c r="ER1" s="7">
        <v>45276</v>
      </c>
      <c r="ES1" s="7">
        <v>45283</v>
      </c>
      <c r="ET1" s="7">
        <v>45290</v>
      </c>
      <c r="EU1" s="55">
        <v>45297</v>
      </c>
      <c r="EV1" s="55">
        <v>45304</v>
      </c>
      <c r="EW1" s="55">
        <v>45311</v>
      </c>
      <c r="EX1" s="55">
        <v>45318</v>
      </c>
      <c r="EY1" s="55">
        <v>45325</v>
      </c>
      <c r="EZ1" s="55">
        <v>45332</v>
      </c>
      <c r="FA1" s="55">
        <v>45339</v>
      </c>
      <c r="FB1" s="55">
        <v>45346</v>
      </c>
      <c r="FC1" s="55">
        <v>45353</v>
      </c>
      <c r="FD1" s="55">
        <v>45360</v>
      </c>
      <c r="FE1" s="55">
        <v>45367</v>
      </c>
      <c r="FF1" s="55">
        <v>45374</v>
      </c>
      <c r="FG1" s="55">
        <v>45381</v>
      </c>
      <c r="FH1" s="55">
        <v>45388</v>
      </c>
      <c r="FI1" s="55">
        <v>45395</v>
      </c>
      <c r="FJ1" s="55">
        <v>45402</v>
      </c>
      <c r="FK1" s="55">
        <v>45409</v>
      </c>
      <c r="FL1" s="55">
        <v>45416</v>
      </c>
      <c r="FM1" s="55">
        <v>45423</v>
      </c>
      <c r="FN1" s="55">
        <v>45430</v>
      </c>
      <c r="FO1" s="55">
        <v>45437</v>
      </c>
      <c r="FP1" s="55">
        <v>45444</v>
      </c>
      <c r="FQ1" s="55">
        <v>45451</v>
      </c>
      <c r="FR1" s="55">
        <v>45458</v>
      </c>
      <c r="FS1" s="55">
        <v>45465</v>
      </c>
      <c r="FT1" s="55">
        <v>45472</v>
      </c>
      <c r="FU1" s="55">
        <v>45479</v>
      </c>
      <c r="FV1" s="55">
        <v>45486</v>
      </c>
      <c r="FW1" s="55">
        <v>45493</v>
      </c>
      <c r="FX1" s="55">
        <v>45500</v>
      </c>
      <c r="FY1" s="55">
        <v>45507</v>
      </c>
      <c r="FZ1" s="55">
        <v>45514</v>
      </c>
      <c r="GA1" s="55">
        <v>45521</v>
      </c>
      <c r="GB1" s="55">
        <v>45528</v>
      </c>
      <c r="GC1" s="55">
        <v>45535</v>
      </c>
      <c r="GD1" s="55">
        <v>45542</v>
      </c>
      <c r="GE1" s="55">
        <v>45549</v>
      </c>
      <c r="GF1" s="55">
        <v>45556</v>
      </c>
      <c r="GG1" s="55">
        <v>45563</v>
      </c>
      <c r="GH1" s="55">
        <v>45570</v>
      </c>
      <c r="GI1" s="55">
        <v>45577</v>
      </c>
      <c r="GJ1" s="55">
        <v>45584</v>
      </c>
      <c r="GK1" s="55">
        <v>45591</v>
      </c>
      <c r="GL1" s="55">
        <v>45598</v>
      </c>
      <c r="GM1" s="55">
        <v>45605</v>
      </c>
      <c r="GN1" s="55">
        <v>45612</v>
      </c>
      <c r="GO1" s="55">
        <v>45619</v>
      </c>
      <c r="GP1" s="55">
        <v>45626</v>
      </c>
      <c r="GQ1" s="55">
        <v>45633</v>
      </c>
      <c r="GR1" s="55">
        <v>45640</v>
      </c>
      <c r="GS1" s="55">
        <v>45647</v>
      </c>
      <c r="GT1" s="55">
        <v>45654</v>
      </c>
      <c r="GU1" s="78">
        <v>45661</v>
      </c>
      <c r="GV1" s="78">
        <v>45668</v>
      </c>
      <c r="GW1" s="78">
        <v>45675</v>
      </c>
      <c r="GX1" s="78">
        <v>45682</v>
      </c>
      <c r="GY1" s="78">
        <v>45689</v>
      </c>
      <c r="GZ1" s="78">
        <v>45696</v>
      </c>
      <c r="HA1" s="78">
        <v>45703</v>
      </c>
      <c r="HB1" s="78">
        <v>45710</v>
      </c>
      <c r="HC1" s="78">
        <v>45717</v>
      </c>
      <c r="HD1" s="78">
        <v>45724</v>
      </c>
      <c r="HE1" s="78">
        <v>45731</v>
      </c>
      <c r="HF1" s="78">
        <v>45738</v>
      </c>
      <c r="HG1" s="78">
        <v>45745</v>
      </c>
      <c r="HH1" s="78">
        <v>45752</v>
      </c>
      <c r="HI1" s="78">
        <v>45759</v>
      </c>
      <c r="HJ1" s="78">
        <v>45766</v>
      </c>
      <c r="HK1" s="78">
        <v>45773</v>
      </c>
      <c r="HL1" s="78">
        <v>45780</v>
      </c>
      <c r="HM1" s="78">
        <v>45787</v>
      </c>
      <c r="HN1" s="78">
        <v>45794</v>
      </c>
      <c r="HO1" s="78">
        <v>45801</v>
      </c>
      <c r="HP1" s="78">
        <v>45808</v>
      </c>
      <c r="HQ1" s="78">
        <v>45815</v>
      </c>
      <c r="HR1" s="78">
        <v>45822</v>
      </c>
      <c r="HS1" s="78">
        <v>45829</v>
      </c>
      <c r="HT1" s="78">
        <v>45836</v>
      </c>
      <c r="HU1" s="78">
        <v>45843</v>
      </c>
      <c r="HV1" s="78">
        <v>45850</v>
      </c>
      <c r="HW1" s="78">
        <v>45857</v>
      </c>
      <c r="HX1" s="78">
        <v>45864</v>
      </c>
      <c r="HY1" s="83"/>
      <c r="HZ1" s="83"/>
      <c r="IA1" s="83"/>
      <c r="IB1" s="83"/>
      <c r="IC1" s="83"/>
      <c r="ID1" s="83"/>
      <c r="IE1" s="83"/>
      <c r="IF1" s="83"/>
      <c r="IG1" s="83"/>
      <c r="IH1" s="83"/>
      <c r="II1" s="83"/>
      <c r="IJ1" s="83"/>
      <c r="IK1" s="83"/>
      <c r="IL1" s="83"/>
      <c r="IM1" s="83"/>
      <c r="IN1" s="83"/>
      <c r="IO1" s="83"/>
      <c r="IP1" s="83"/>
      <c r="IQ1" s="83"/>
      <c r="IR1" s="83"/>
      <c r="IS1" s="83"/>
      <c r="IT1" s="83"/>
      <c r="IU1" s="83"/>
      <c r="IW1" s="8" t="s">
        <v>30</v>
      </c>
      <c r="IX1" s="8" t="s">
        <v>26</v>
      </c>
      <c r="IY1" s="8" t="s">
        <v>214</v>
      </c>
      <c r="IZ1" s="70" t="s">
        <v>27</v>
      </c>
      <c r="JA1" s="70" t="s">
        <v>215</v>
      </c>
    </row>
    <row r="2" spans="1:261">
      <c r="A2" s="4">
        <v>6454800</v>
      </c>
      <c r="B2" s="3">
        <v>810016711094</v>
      </c>
      <c r="C2" s="4" t="s">
        <v>20</v>
      </c>
      <c r="D2" s="4" t="s">
        <v>19</v>
      </c>
      <c r="E2" s="1">
        <v>1</v>
      </c>
      <c r="F2" s="1">
        <v>5</v>
      </c>
      <c r="G2" s="1">
        <v>13</v>
      </c>
      <c r="H2" s="1">
        <v>8</v>
      </c>
      <c r="I2" s="1">
        <v>8</v>
      </c>
      <c r="J2" s="1">
        <v>9</v>
      </c>
      <c r="K2" s="1">
        <v>2</v>
      </c>
      <c r="L2" s="1">
        <v>6</v>
      </c>
      <c r="M2" s="1">
        <v>231</v>
      </c>
      <c r="N2" s="1">
        <v>56</v>
      </c>
      <c r="O2" s="1">
        <v>5</v>
      </c>
      <c r="P2" s="1">
        <v>6</v>
      </c>
      <c r="Q2" s="1">
        <v>4</v>
      </c>
      <c r="R2" s="1">
        <v>3</v>
      </c>
      <c r="S2" s="1">
        <v>4</v>
      </c>
      <c r="T2" s="1">
        <v>6</v>
      </c>
      <c r="U2" s="1">
        <v>7</v>
      </c>
      <c r="V2" s="1">
        <v>2</v>
      </c>
      <c r="W2" s="1">
        <v>3</v>
      </c>
      <c r="X2" s="1">
        <v>6</v>
      </c>
      <c r="Y2" s="1">
        <v>10</v>
      </c>
      <c r="Z2" s="1">
        <v>10</v>
      </c>
      <c r="AA2" s="1">
        <v>6</v>
      </c>
      <c r="AB2" s="1"/>
      <c r="AC2" s="1"/>
      <c r="AD2" s="1"/>
      <c r="AE2" s="1"/>
      <c r="AF2" s="1"/>
      <c r="AG2" s="1"/>
      <c r="AH2" s="1">
        <v>5</v>
      </c>
      <c r="AI2" s="1">
        <v>3</v>
      </c>
      <c r="AJ2" s="1">
        <v>10</v>
      </c>
      <c r="AK2" s="1">
        <v>4</v>
      </c>
      <c r="AL2" s="1">
        <v>12</v>
      </c>
      <c r="AM2" s="1">
        <v>12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IW2" s="1">
        <f t="shared" ref="IW2:IW33" si="0">SUM(E2:HX2)</f>
        <v>457</v>
      </c>
      <c r="IX2" s="5">
        <v>59.96</v>
      </c>
      <c r="IY2" s="5">
        <f t="shared" ref="IY2:IY33" si="1">IW2*IX2</f>
        <v>27401.72</v>
      </c>
      <c r="IZ2" s="5">
        <v>79.95</v>
      </c>
      <c r="JA2" s="5">
        <f t="shared" ref="JA2:JA55" si="2">IW2*IZ2</f>
        <v>36537.15</v>
      </c>
    </row>
    <row r="3" spans="1:261">
      <c r="A3" s="4">
        <v>6454799</v>
      </c>
      <c r="B3" s="3">
        <v>810016710387</v>
      </c>
      <c r="C3" s="4" t="s">
        <v>12</v>
      </c>
      <c r="D3" s="4" t="s">
        <v>11</v>
      </c>
      <c r="E3" s="1">
        <v>2</v>
      </c>
      <c r="F3" s="1">
        <v>2</v>
      </c>
      <c r="G3" s="1">
        <v>3</v>
      </c>
      <c r="H3" s="1">
        <v>8</v>
      </c>
      <c r="I3" s="1">
        <v>6</v>
      </c>
      <c r="J3" s="1"/>
      <c r="K3" s="1">
        <v>3</v>
      </c>
      <c r="L3" s="1">
        <v>9</v>
      </c>
      <c r="M3" s="1">
        <v>14</v>
      </c>
      <c r="N3" s="1">
        <v>8</v>
      </c>
      <c r="O3" s="1">
        <v>7</v>
      </c>
      <c r="P3" s="1">
        <v>10</v>
      </c>
      <c r="Q3" s="1">
        <v>2</v>
      </c>
      <c r="R3" s="1">
        <v>4</v>
      </c>
      <c r="S3" s="1">
        <v>2</v>
      </c>
      <c r="T3" s="1">
        <v>3</v>
      </c>
      <c r="U3" s="1">
        <v>6</v>
      </c>
      <c r="V3" s="1">
        <v>1</v>
      </c>
      <c r="W3" s="1">
        <v>3</v>
      </c>
      <c r="X3" s="1">
        <v>2</v>
      </c>
      <c r="Y3" s="1">
        <v>4</v>
      </c>
      <c r="Z3" s="1">
        <v>3</v>
      </c>
      <c r="AA3" s="1">
        <v>5</v>
      </c>
      <c r="AB3" s="1">
        <v>3</v>
      </c>
      <c r="AC3" s="1">
        <v>3</v>
      </c>
      <c r="AD3" s="1">
        <v>5</v>
      </c>
      <c r="AE3" s="1">
        <v>5</v>
      </c>
      <c r="AF3" s="1">
        <v>3</v>
      </c>
      <c r="AG3" s="1">
        <v>1</v>
      </c>
      <c r="AH3" s="1">
        <v>8</v>
      </c>
      <c r="AI3" s="1">
        <v>4</v>
      </c>
      <c r="AJ3" s="1">
        <v>1</v>
      </c>
      <c r="AK3" s="1">
        <v>6</v>
      </c>
      <c r="AL3" s="1">
        <v>6</v>
      </c>
      <c r="AM3" s="1">
        <v>2</v>
      </c>
      <c r="AN3" s="1">
        <v>2</v>
      </c>
      <c r="AO3" s="1">
        <v>7</v>
      </c>
      <c r="AP3" s="1">
        <v>10</v>
      </c>
      <c r="AQ3" s="1">
        <v>16</v>
      </c>
      <c r="AR3" s="1">
        <v>8</v>
      </c>
      <c r="AS3" s="1">
        <v>8</v>
      </c>
      <c r="AT3" s="1">
        <v>4</v>
      </c>
      <c r="AU3" s="1">
        <v>3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>
        <v>7</v>
      </c>
      <c r="BJ3" s="1">
        <v>2</v>
      </c>
      <c r="BK3" s="1">
        <v>4</v>
      </c>
      <c r="BL3" s="1">
        <v>6</v>
      </c>
      <c r="BM3" s="1">
        <v>2</v>
      </c>
      <c r="BN3" s="1">
        <v>4</v>
      </c>
      <c r="BO3" s="1">
        <v>6</v>
      </c>
      <c r="BP3" s="1">
        <v>3</v>
      </c>
      <c r="BQ3" s="1">
        <v>6</v>
      </c>
      <c r="BR3" s="1">
        <v>2</v>
      </c>
      <c r="BS3" s="1">
        <v>1</v>
      </c>
      <c r="BT3" s="1">
        <v>1</v>
      </c>
      <c r="BU3" s="1">
        <v>6</v>
      </c>
      <c r="BV3" s="1">
        <v>4</v>
      </c>
      <c r="BW3" s="1">
        <v>5</v>
      </c>
      <c r="BX3" s="1">
        <v>4</v>
      </c>
      <c r="BY3" s="1">
        <v>3</v>
      </c>
      <c r="BZ3" s="1">
        <v>4</v>
      </c>
      <c r="CA3" s="1">
        <v>3</v>
      </c>
      <c r="CB3" s="1">
        <v>6</v>
      </c>
      <c r="CC3" s="1">
        <v>8</v>
      </c>
      <c r="CD3" s="1">
        <v>4</v>
      </c>
      <c r="CE3" s="1">
        <v>5</v>
      </c>
      <c r="CF3" s="1">
        <v>4</v>
      </c>
      <c r="CG3" s="1">
        <v>9</v>
      </c>
      <c r="CH3" s="1">
        <v>2</v>
      </c>
      <c r="CI3" s="1">
        <v>14</v>
      </c>
      <c r="CJ3" s="1">
        <v>7</v>
      </c>
      <c r="CK3" s="1">
        <v>7</v>
      </c>
      <c r="CL3" s="1">
        <v>1</v>
      </c>
      <c r="CM3" s="1">
        <v>5</v>
      </c>
      <c r="CN3" s="1">
        <v>5</v>
      </c>
      <c r="CO3" s="1">
        <v>1</v>
      </c>
      <c r="CP3" s="1"/>
      <c r="CQ3" s="1">
        <v>10</v>
      </c>
      <c r="CR3" s="1">
        <v>33</v>
      </c>
      <c r="CS3" s="1">
        <v>28</v>
      </c>
      <c r="CT3" s="1">
        <v>9</v>
      </c>
      <c r="CU3" s="1">
        <v>17</v>
      </c>
      <c r="CV3" s="1">
        <v>20</v>
      </c>
      <c r="CW3" s="1">
        <v>15</v>
      </c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IW3" s="1">
        <f t="shared" si="0"/>
        <v>495</v>
      </c>
      <c r="IX3" s="5">
        <v>29.99</v>
      </c>
      <c r="IY3" s="5">
        <f t="shared" si="1"/>
        <v>14845.05</v>
      </c>
      <c r="IZ3" s="5">
        <v>39.950000000000003</v>
      </c>
      <c r="JA3" s="5">
        <f t="shared" si="2"/>
        <v>19775.25</v>
      </c>
    </row>
    <row r="4" spans="1:261">
      <c r="A4" s="4">
        <v>6454802</v>
      </c>
      <c r="B4" s="3">
        <v>810016710240</v>
      </c>
      <c r="C4" s="4" t="s">
        <v>92</v>
      </c>
      <c r="D4" s="4" t="s">
        <v>15</v>
      </c>
      <c r="E4" s="1">
        <v>2</v>
      </c>
      <c r="F4" s="1">
        <v>1</v>
      </c>
      <c r="G4" s="1">
        <v>10</v>
      </c>
      <c r="H4" s="1">
        <v>16</v>
      </c>
      <c r="I4" s="1">
        <v>19</v>
      </c>
      <c r="J4" s="1">
        <v>11</v>
      </c>
      <c r="K4" s="1">
        <v>6</v>
      </c>
      <c r="L4" s="1">
        <v>16</v>
      </c>
      <c r="M4" s="1">
        <v>13</v>
      </c>
      <c r="N4" s="1">
        <v>26</v>
      </c>
      <c r="O4" s="1">
        <v>32</v>
      </c>
      <c r="P4" s="1">
        <v>18</v>
      </c>
      <c r="Q4" s="1">
        <v>13</v>
      </c>
      <c r="R4" s="1">
        <v>5</v>
      </c>
      <c r="S4" s="1">
        <v>13</v>
      </c>
      <c r="T4" s="1">
        <v>17</v>
      </c>
      <c r="U4" s="1">
        <v>5</v>
      </c>
      <c r="V4" s="1">
        <v>8</v>
      </c>
      <c r="W4" s="1">
        <v>6</v>
      </c>
      <c r="X4" s="1">
        <v>8</v>
      </c>
      <c r="Y4" s="1">
        <v>7</v>
      </c>
      <c r="Z4" s="1">
        <v>7</v>
      </c>
      <c r="AA4" s="1">
        <v>8</v>
      </c>
      <c r="AB4" s="1">
        <v>8</v>
      </c>
      <c r="AC4" s="1">
        <v>9</v>
      </c>
      <c r="AD4" s="1">
        <v>11</v>
      </c>
      <c r="AE4" s="1">
        <v>7</v>
      </c>
      <c r="AF4" s="1">
        <v>7</v>
      </c>
      <c r="AG4" s="1">
        <v>12</v>
      </c>
      <c r="AH4" s="1">
        <v>8</v>
      </c>
      <c r="AI4" s="1">
        <v>4</v>
      </c>
      <c r="AJ4" s="1">
        <v>7</v>
      </c>
      <c r="AK4" s="1">
        <v>5</v>
      </c>
      <c r="AL4" s="1">
        <v>7</v>
      </c>
      <c r="AM4" s="1"/>
      <c r="AN4" s="1">
        <v>2</v>
      </c>
      <c r="AO4" s="1">
        <v>18</v>
      </c>
      <c r="AP4" s="1">
        <v>22</v>
      </c>
      <c r="AQ4" s="1"/>
      <c r="AR4" s="1"/>
      <c r="AS4" s="1"/>
      <c r="AT4" s="1"/>
      <c r="AU4" s="1"/>
      <c r="AV4" s="1"/>
      <c r="AW4" s="1"/>
      <c r="AX4" s="1"/>
      <c r="AY4" s="1">
        <v>1</v>
      </c>
      <c r="AZ4" s="1">
        <v>4</v>
      </c>
      <c r="BA4" s="1"/>
      <c r="BB4" s="1"/>
      <c r="BC4" s="1"/>
      <c r="BD4" s="1"/>
      <c r="BE4" s="1">
        <v>1</v>
      </c>
      <c r="BF4" s="1">
        <v>5</v>
      </c>
      <c r="BG4" s="1">
        <v>4</v>
      </c>
      <c r="BH4" s="1">
        <v>7</v>
      </c>
      <c r="BI4" s="1">
        <v>5</v>
      </c>
      <c r="BJ4" s="1">
        <v>4</v>
      </c>
      <c r="BK4" s="1">
        <v>1</v>
      </c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>
        <v>4</v>
      </c>
      <c r="CI4" s="1">
        <v>3</v>
      </c>
      <c r="CJ4" s="1">
        <v>3</v>
      </c>
      <c r="CK4" s="1">
        <v>10</v>
      </c>
      <c r="CL4" s="1">
        <v>9</v>
      </c>
      <c r="CM4" s="1">
        <v>13</v>
      </c>
      <c r="CN4" s="1">
        <v>24</v>
      </c>
      <c r="CO4" s="1">
        <v>17</v>
      </c>
      <c r="CP4" s="1">
        <v>39</v>
      </c>
      <c r="CQ4" s="1">
        <v>47</v>
      </c>
      <c r="CR4" s="1">
        <v>10</v>
      </c>
      <c r="CS4" s="1"/>
      <c r="CT4" s="1"/>
      <c r="CU4" s="1"/>
      <c r="CV4" s="1"/>
      <c r="CW4" s="1"/>
      <c r="CX4" s="1"/>
      <c r="CY4" s="1"/>
      <c r="CZ4" s="1"/>
      <c r="DA4" s="1"/>
      <c r="DB4" s="1">
        <v>3</v>
      </c>
      <c r="DC4" s="1">
        <v>10</v>
      </c>
      <c r="DD4" s="1">
        <v>2</v>
      </c>
      <c r="DE4" s="1">
        <v>4</v>
      </c>
      <c r="DF4" s="1">
        <v>5</v>
      </c>
      <c r="DG4" s="1">
        <v>7</v>
      </c>
      <c r="DH4" s="1">
        <v>4</v>
      </c>
      <c r="DI4" s="1">
        <v>7</v>
      </c>
      <c r="DJ4" s="1">
        <v>9</v>
      </c>
      <c r="DK4" s="1">
        <v>3</v>
      </c>
      <c r="DL4" s="1">
        <v>11</v>
      </c>
      <c r="DM4" s="1">
        <v>11</v>
      </c>
      <c r="DN4" s="1">
        <v>10</v>
      </c>
      <c r="DO4" s="1">
        <v>10</v>
      </c>
      <c r="DP4" s="1">
        <v>1</v>
      </c>
      <c r="DQ4" s="1">
        <v>3</v>
      </c>
      <c r="DR4" s="1">
        <v>12</v>
      </c>
      <c r="DS4" s="1">
        <v>9</v>
      </c>
      <c r="DT4" s="1">
        <v>8</v>
      </c>
      <c r="DU4" s="1">
        <v>9</v>
      </c>
      <c r="DV4" s="1">
        <v>8</v>
      </c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IW4" s="1">
        <f t="shared" si="0"/>
        <v>751</v>
      </c>
      <c r="IX4" s="5">
        <v>37.46</v>
      </c>
      <c r="IY4" s="5">
        <f t="shared" si="1"/>
        <v>28132.46</v>
      </c>
      <c r="IZ4" s="5">
        <v>49.95</v>
      </c>
      <c r="JA4" s="5">
        <f t="shared" si="2"/>
        <v>37512.450000000004</v>
      </c>
    </row>
    <row r="5" spans="1:261">
      <c r="A5" s="4">
        <v>6454807</v>
      </c>
      <c r="B5" s="3">
        <v>810016710196</v>
      </c>
      <c r="C5" s="4" t="s">
        <v>14</v>
      </c>
      <c r="D5" s="4" t="s">
        <v>13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2</v>
      </c>
      <c r="T5" s="1">
        <v>1</v>
      </c>
      <c r="U5" s="1">
        <v>3</v>
      </c>
      <c r="V5" s="1">
        <v>1</v>
      </c>
      <c r="W5" s="1"/>
      <c r="X5" s="1"/>
      <c r="Y5" s="1"/>
      <c r="Z5" s="1">
        <v>2</v>
      </c>
      <c r="AA5" s="1">
        <v>1</v>
      </c>
      <c r="AB5" s="1"/>
      <c r="AC5" s="1"/>
      <c r="AD5" s="1">
        <v>1</v>
      </c>
      <c r="AE5" s="1">
        <v>2</v>
      </c>
      <c r="AF5" s="1">
        <v>2</v>
      </c>
      <c r="AG5" s="1"/>
      <c r="AH5" s="1"/>
      <c r="AI5" s="1">
        <v>1</v>
      </c>
      <c r="AJ5" s="1">
        <v>16</v>
      </c>
      <c r="AK5" s="1"/>
      <c r="AL5" s="1"/>
      <c r="AM5" s="1"/>
      <c r="AN5" s="1">
        <v>2</v>
      </c>
      <c r="AO5" s="1"/>
      <c r="AP5" s="1">
        <v>1</v>
      </c>
      <c r="AQ5" s="1"/>
      <c r="AR5" s="1">
        <v>7</v>
      </c>
      <c r="AS5" s="1">
        <v>1</v>
      </c>
      <c r="AT5" s="1"/>
      <c r="AU5" s="1"/>
      <c r="AV5" s="1">
        <v>4</v>
      </c>
      <c r="AW5" s="1">
        <v>3</v>
      </c>
      <c r="AX5" s="1">
        <v>5</v>
      </c>
      <c r="AY5" s="1"/>
      <c r="AZ5" s="1">
        <v>2</v>
      </c>
      <c r="BA5" s="1">
        <v>3</v>
      </c>
      <c r="BB5" s="1">
        <v>1</v>
      </c>
      <c r="BC5" s="1">
        <v>1</v>
      </c>
      <c r="BD5" s="1"/>
      <c r="BE5" s="1"/>
      <c r="BF5" s="1"/>
      <c r="BG5" s="1"/>
      <c r="BH5" s="1"/>
      <c r="BI5" s="1">
        <v>1</v>
      </c>
      <c r="BJ5" s="1"/>
      <c r="BK5" s="1">
        <v>2</v>
      </c>
      <c r="BL5" s="1"/>
      <c r="BM5" s="1">
        <v>1</v>
      </c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IW5" s="1">
        <f t="shared" si="0"/>
        <v>66</v>
      </c>
      <c r="IX5" s="5">
        <v>37.49</v>
      </c>
      <c r="IY5" s="5">
        <f t="shared" si="1"/>
        <v>2474.34</v>
      </c>
      <c r="IZ5" s="5">
        <v>49.95</v>
      </c>
      <c r="JA5" s="5">
        <f t="shared" si="2"/>
        <v>3296.7000000000003</v>
      </c>
    </row>
    <row r="6" spans="1:261">
      <c r="A6" s="4">
        <v>6454806</v>
      </c>
      <c r="B6" s="3">
        <v>810016710127</v>
      </c>
      <c r="C6" s="4" t="s">
        <v>3</v>
      </c>
      <c r="D6" s="4" t="s">
        <v>2</v>
      </c>
      <c r="E6" s="1">
        <v>5</v>
      </c>
      <c r="F6" s="1">
        <v>7</v>
      </c>
      <c r="G6" s="1">
        <v>14</v>
      </c>
      <c r="H6" s="1">
        <v>30</v>
      </c>
      <c r="I6" s="1">
        <v>257</v>
      </c>
      <c r="J6" s="1">
        <v>21</v>
      </c>
      <c r="K6" s="1">
        <v>8</v>
      </c>
      <c r="L6" s="1">
        <v>9</v>
      </c>
      <c r="M6" s="1">
        <v>18</v>
      </c>
      <c r="N6" s="1">
        <v>23</v>
      </c>
      <c r="O6" s="1">
        <v>19</v>
      </c>
      <c r="P6" s="1">
        <v>8</v>
      </c>
      <c r="Q6" s="1">
        <v>3</v>
      </c>
      <c r="R6" s="1"/>
      <c r="S6" s="1">
        <v>14</v>
      </c>
      <c r="T6" s="1">
        <v>34</v>
      </c>
      <c r="U6" s="1">
        <v>13</v>
      </c>
      <c r="V6" s="1">
        <v>12</v>
      </c>
      <c r="W6" s="1">
        <v>12</v>
      </c>
      <c r="X6" s="1">
        <v>1</v>
      </c>
      <c r="Y6" s="1">
        <v>10</v>
      </c>
      <c r="Z6" s="1">
        <v>207</v>
      </c>
      <c r="AA6" s="52">
        <v>235</v>
      </c>
      <c r="AB6" s="1">
        <v>17</v>
      </c>
      <c r="AC6" s="1">
        <v>24</v>
      </c>
      <c r="AD6" s="1">
        <v>10</v>
      </c>
      <c r="AE6" s="1"/>
      <c r="AF6" s="1"/>
      <c r="AG6" s="1">
        <v>5</v>
      </c>
      <c r="AH6" s="1">
        <v>18</v>
      </c>
      <c r="AI6" s="1">
        <v>14</v>
      </c>
      <c r="AJ6" s="1"/>
      <c r="AK6" s="1">
        <v>23</v>
      </c>
      <c r="AL6" s="1">
        <v>26</v>
      </c>
      <c r="AM6" s="1">
        <v>14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IW6" s="1">
        <f t="shared" si="0"/>
        <v>1111</v>
      </c>
      <c r="IX6" s="5">
        <v>27.71</v>
      </c>
      <c r="IY6" s="5">
        <f t="shared" si="1"/>
        <v>30785.81</v>
      </c>
      <c r="IZ6" s="5">
        <v>36.950000000000003</v>
      </c>
      <c r="JA6" s="5">
        <f t="shared" si="2"/>
        <v>41051.450000000004</v>
      </c>
    </row>
    <row r="7" spans="1:261">
      <c r="A7" s="4">
        <v>6454803</v>
      </c>
      <c r="B7" s="3">
        <v>810016710110</v>
      </c>
      <c r="C7" s="4" t="s">
        <v>18</v>
      </c>
      <c r="D7" s="4" t="s">
        <v>17</v>
      </c>
      <c r="E7" s="1">
        <v>1</v>
      </c>
      <c r="F7" s="1">
        <v>2</v>
      </c>
      <c r="G7" s="1">
        <v>1</v>
      </c>
      <c r="H7" s="1">
        <v>3</v>
      </c>
      <c r="I7" s="1">
        <v>12</v>
      </c>
      <c r="J7" s="1">
        <v>4</v>
      </c>
      <c r="K7" s="1">
        <v>4</v>
      </c>
      <c r="L7" s="1">
        <v>3</v>
      </c>
      <c r="M7" s="1">
        <v>8</v>
      </c>
      <c r="N7" s="1">
        <v>3</v>
      </c>
      <c r="O7" s="1">
        <v>4</v>
      </c>
      <c r="P7" s="1">
        <v>2</v>
      </c>
      <c r="Q7" s="1">
        <v>1</v>
      </c>
      <c r="R7" s="1">
        <v>1</v>
      </c>
      <c r="S7" s="1">
        <v>8</v>
      </c>
      <c r="T7" s="1">
        <v>10</v>
      </c>
      <c r="U7" s="1">
        <v>4</v>
      </c>
      <c r="V7" s="1">
        <v>2</v>
      </c>
      <c r="W7" s="1">
        <v>2</v>
      </c>
      <c r="X7" s="1">
        <v>3</v>
      </c>
      <c r="Y7" s="1">
        <v>19</v>
      </c>
      <c r="Z7" s="1">
        <v>12</v>
      </c>
      <c r="AA7" s="1">
        <v>8</v>
      </c>
      <c r="AB7" s="1"/>
      <c r="AC7" s="1"/>
      <c r="AD7" s="1"/>
      <c r="AE7" s="1"/>
      <c r="AF7" s="1"/>
      <c r="AG7" s="1">
        <v>2</v>
      </c>
      <c r="AH7" s="1">
        <v>6</v>
      </c>
      <c r="AI7" s="1">
        <v>8</v>
      </c>
      <c r="AJ7" s="1">
        <v>8</v>
      </c>
      <c r="AK7" s="1">
        <v>3</v>
      </c>
      <c r="AL7" s="1">
        <v>11</v>
      </c>
      <c r="AM7" s="1">
        <v>12</v>
      </c>
      <c r="AN7" s="1">
        <v>26</v>
      </c>
      <c r="AO7" s="1">
        <v>47</v>
      </c>
      <c r="AP7" s="1">
        <v>52</v>
      </c>
      <c r="AQ7" s="1">
        <v>49</v>
      </c>
      <c r="AR7" s="1">
        <v>60</v>
      </c>
      <c r="AS7" s="1">
        <v>20</v>
      </c>
      <c r="AT7" s="1">
        <v>26</v>
      </c>
      <c r="AU7" s="1">
        <v>22</v>
      </c>
      <c r="AV7" s="1">
        <v>30</v>
      </c>
      <c r="AW7" s="1">
        <v>12</v>
      </c>
      <c r="AX7" s="1"/>
      <c r="AY7" s="1">
        <v>1</v>
      </c>
      <c r="AZ7" s="1">
        <v>9</v>
      </c>
      <c r="BA7" s="1">
        <v>3</v>
      </c>
      <c r="BB7" s="1">
        <v>11</v>
      </c>
      <c r="BC7" s="1">
        <v>3</v>
      </c>
      <c r="BD7" s="1">
        <v>4</v>
      </c>
      <c r="BE7" s="1">
        <v>19</v>
      </c>
      <c r="BF7" s="1">
        <v>14</v>
      </c>
      <c r="BG7" s="1">
        <v>7</v>
      </c>
      <c r="BH7" s="1">
        <v>8</v>
      </c>
      <c r="BI7" s="1">
        <v>13</v>
      </c>
      <c r="BJ7" s="1">
        <v>6</v>
      </c>
      <c r="BK7" s="1">
        <v>9</v>
      </c>
      <c r="BL7" s="1">
        <v>12</v>
      </c>
      <c r="BM7" s="1">
        <v>11</v>
      </c>
      <c r="BN7" s="1">
        <v>20</v>
      </c>
      <c r="BO7" s="1">
        <v>10</v>
      </c>
      <c r="BP7" s="1">
        <v>23</v>
      </c>
      <c r="BQ7" s="1">
        <v>14</v>
      </c>
      <c r="BR7" s="1">
        <v>9</v>
      </c>
      <c r="BS7" s="1">
        <v>11</v>
      </c>
      <c r="BT7" s="1">
        <v>15</v>
      </c>
      <c r="BU7" s="1">
        <v>6</v>
      </c>
      <c r="BV7" s="1">
        <v>5</v>
      </c>
      <c r="BW7" s="1"/>
      <c r="BX7" s="1">
        <v>11</v>
      </c>
      <c r="BY7" s="1">
        <v>2</v>
      </c>
      <c r="BZ7" s="1">
        <v>7</v>
      </c>
      <c r="CA7" s="1">
        <v>13</v>
      </c>
      <c r="CB7" s="1">
        <v>20</v>
      </c>
      <c r="CC7" s="1">
        <v>8</v>
      </c>
      <c r="CD7" s="1">
        <v>16</v>
      </c>
      <c r="CE7" s="1">
        <v>14</v>
      </c>
      <c r="CF7" s="1">
        <v>19</v>
      </c>
      <c r="CG7" s="1">
        <v>17</v>
      </c>
      <c r="CH7" s="1">
        <v>29</v>
      </c>
      <c r="CI7" s="1">
        <v>40</v>
      </c>
      <c r="CJ7" s="1">
        <v>7</v>
      </c>
      <c r="CK7" s="1">
        <v>26</v>
      </c>
      <c r="CL7" s="1">
        <v>16</v>
      </c>
      <c r="CM7" s="1">
        <v>24</v>
      </c>
      <c r="CN7" s="1">
        <v>21</v>
      </c>
      <c r="CO7" s="1">
        <v>15</v>
      </c>
      <c r="CP7" s="1">
        <v>25</v>
      </c>
      <c r="CQ7" s="1">
        <v>29</v>
      </c>
      <c r="CR7" s="1">
        <v>65</v>
      </c>
      <c r="CS7" s="1">
        <v>74</v>
      </c>
      <c r="CT7" s="1">
        <v>27</v>
      </c>
      <c r="CU7" s="1">
        <v>17</v>
      </c>
      <c r="CV7" s="1">
        <v>15</v>
      </c>
      <c r="CW7" s="1">
        <v>21</v>
      </c>
      <c r="CX7" s="1">
        <v>39</v>
      </c>
      <c r="CY7" s="1">
        <v>27</v>
      </c>
      <c r="CZ7" s="1"/>
      <c r="DA7" s="1"/>
      <c r="DB7" s="1"/>
      <c r="DC7" s="1">
        <v>8</v>
      </c>
      <c r="DD7" s="1">
        <v>17</v>
      </c>
      <c r="DE7" s="1">
        <v>9</v>
      </c>
      <c r="DF7" s="1">
        <v>21</v>
      </c>
      <c r="DG7" s="1">
        <v>11</v>
      </c>
      <c r="DH7" s="1">
        <v>15</v>
      </c>
      <c r="DI7" s="1">
        <v>8</v>
      </c>
      <c r="DJ7" s="1">
        <v>14</v>
      </c>
      <c r="DK7" s="1">
        <v>13</v>
      </c>
      <c r="DL7" s="1">
        <v>12</v>
      </c>
      <c r="DM7" s="1">
        <v>10</v>
      </c>
      <c r="DN7" s="1">
        <v>16</v>
      </c>
      <c r="DO7" s="1">
        <v>16</v>
      </c>
      <c r="DP7" s="1">
        <v>13</v>
      </c>
      <c r="DQ7" s="1">
        <v>2</v>
      </c>
      <c r="DR7" s="1">
        <v>4</v>
      </c>
      <c r="DS7" s="1">
        <v>17</v>
      </c>
      <c r="DT7" s="1">
        <v>3</v>
      </c>
      <c r="DU7" s="1">
        <v>7</v>
      </c>
      <c r="DV7" s="1">
        <v>17</v>
      </c>
      <c r="DW7" s="1">
        <v>17</v>
      </c>
      <c r="DX7" s="1">
        <v>12</v>
      </c>
      <c r="DY7" s="1">
        <v>9</v>
      </c>
      <c r="DZ7" s="1">
        <v>12</v>
      </c>
      <c r="EA7" s="1">
        <v>17</v>
      </c>
      <c r="EB7" s="1">
        <v>4</v>
      </c>
      <c r="EC7" s="1">
        <v>12</v>
      </c>
      <c r="ED7" s="1">
        <v>12</v>
      </c>
      <c r="EE7" s="1">
        <v>5</v>
      </c>
      <c r="EF7" s="1">
        <v>11</v>
      </c>
      <c r="EG7" s="1">
        <v>13</v>
      </c>
      <c r="EH7" s="1">
        <v>12</v>
      </c>
      <c r="EI7" s="1">
        <v>8</v>
      </c>
      <c r="EJ7" s="1">
        <v>7</v>
      </c>
      <c r="EK7" s="1">
        <v>14</v>
      </c>
      <c r="EL7" s="1">
        <v>10</v>
      </c>
      <c r="EM7" s="1">
        <v>5</v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IW7" s="1">
        <f t="shared" si="0"/>
        <v>1811</v>
      </c>
      <c r="IX7" s="5">
        <v>37.46</v>
      </c>
      <c r="IY7" s="5">
        <f t="shared" si="1"/>
        <v>67840.06</v>
      </c>
      <c r="IZ7" s="5">
        <v>49.95</v>
      </c>
      <c r="JA7" s="5">
        <f t="shared" si="2"/>
        <v>90459.450000000012</v>
      </c>
    </row>
    <row r="8" spans="1:261">
      <c r="A8" s="4">
        <v>6454805</v>
      </c>
      <c r="B8" s="3">
        <v>810016710066</v>
      </c>
      <c r="C8" s="4" t="s">
        <v>9</v>
      </c>
      <c r="D8" s="4" t="s">
        <v>8</v>
      </c>
      <c r="E8" s="1"/>
      <c r="F8" s="1">
        <v>1</v>
      </c>
      <c r="G8" s="1">
        <v>2</v>
      </c>
      <c r="H8" s="1">
        <v>14</v>
      </c>
      <c r="I8" s="1">
        <v>258</v>
      </c>
      <c r="J8" s="1">
        <v>79</v>
      </c>
      <c r="K8" s="1">
        <v>7</v>
      </c>
      <c r="L8" s="1">
        <v>7</v>
      </c>
      <c r="M8" s="1">
        <v>11</v>
      </c>
      <c r="N8" s="1">
        <v>13</v>
      </c>
      <c r="O8" s="1">
        <v>6</v>
      </c>
      <c r="P8" s="1">
        <v>8</v>
      </c>
      <c r="Q8" s="1">
        <v>4</v>
      </c>
      <c r="R8" s="1">
        <v>2</v>
      </c>
      <c r="S8" s="1">
        <v>10</v>
      </c>
      <c r="T8" s="1">
        <v>7</v>
      </c>
      <c r="U8" s="1">
        <v>9</v>
      </c>
      <c r="V8" s="1">
        <v>6</v>
      </c>
      <c r="W8" s="1">
        <v>3</v>
      </c>
      <c r="X8" s="1">
        <v>7</v>
      </c>
      <c r="Y8" s="1">
        <v>1</v>
      </c>
      <c r="Z8" s="1"/>
      <c r="AA8" s="1">
        <v>1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>
        <v>8</v>
      </c>
      <c r="BA8" s="1">
        <v>2</v>
      </c>
      <c r="BB8" s="1">
        <v>5</v>
      </c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IW8" s="1">
        <f t="shared" si="0"/>
        <v>471</v>
      </c>
      <c r="IX8" s="5">
        <v>27.71</v>
      </c>
      <c r="IY8" s="5">
        <f t="shared" si="1"/>
        <v>13051.41</v>
      </c>
      <c r="IZ8" s="5">
        <v>36.950000000000003</v>
      </c>
      <c r="JA8" s="5">
        <f t="shared" si="2"/>
        <v>17403.45</v>
      </c>
    </row>
    <row r="9" spans="1:261">
      <c r="A9" s="4">
        <v>6454808</v>
      </c>
      <c r="B9" s="3">
        <v>810016710059</v>
      </c>
      <c r="C9" s="4" t="s">
        <v>7</v>
      </c>
      <c r="D9" s="4" t="s">
        <v>6</v>
      </c>
      <c r="E9" s="1"/>
      <c r="F9" s="1"/>
      <c r="G9" s="1">
        <v>2</v>
      </c>
      <c r="H9" s="1">
        <v>94</v>
      </c>
      <c r="I9" s="1">
        <v>156</v>
      </c>
      <c r="J9" s="1">
        <v>26</v>
      </c>
      <c r="K9" s="1">
        <v>4</v>
      </c>
      <c r="L9" s="1">
        <v>5</v>
      </c>
      <c r="M9" s="1">
        <v>6</v>
      </c>
      <c r="N9" s="1">
        <v>9</v>
      </c>
      <c r="O9" s="1">
        <v>11</v>
      </c>
      <c r="P9" s="1">
        <v>16</v>
      </c>
      <c r="Q9" s="1">
        <v>10</v>
      </c>
      <c r="R9" s="1">
        <v>3</v>
      </c>
      <c r="S9" s="1">
        <v>10</v>
      </c>
      <c r="T9" s="1">
        <v>8</v>
      </c>
      <c r="U9" s="1">
        <v>5</v>
      </c>
      <c r="V9" s="1">
        <v>10</v>
      </c>
      <c r="W9" s="1">
        <v>8</v>
      </c>
      <c r="X9" s="1">
        <v>12</v>
      </c>
      <c r="Y9" s="1">
        <v>12</v>
      </c>
      <c r="Z9" s="1">
        <v>13</v>
      </c>
      <c r="AA9" s="1">
        <v>19</v>
      </c>
      <c r="AB9" s="1">
        <v>16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>
        <v>11</v>
      </c>
      <c r="AO9" s="1">
        <v>28</v>
      </c>
      <c r="AP9" s="1">
        <v>40</v>
      </c>
      <c r="AQ9" s="1">
        <v>42</v>
      </c>
      <c r="AR9" s="1">
        <v>50</v>
      </c>
      <c r="AS9" s="1">
        <v>39</v>
      </c>
      <c r="AT9" s="1">
        <v>17</v>
      </c>
      <c r="AU9" s="1"/>
      <c r="AV9" s="1"/>
      <c r="AW9" s="1"/>
      <c r="AX9" s="1"/>
      <c r="AY9" s="1">
        <v>4</v>
      </c>
      <c r="AZ9" s="1">
        <v>14</v>
      </c>
      <c r="BA9" s="1">
        <v>22</v>
      </c>
      <c r="BB9" s="1">
        <v>6</v>
      </c>
      <c r="BC9" s="1"/>
      <c r="BD9" s="1"/>
      <c r="BE9" s="1"/>
      <c r="BF9" s="1"/>
      <c r="BG9" s="1">
        <v>2</v>
      </c>
      <c r="BH9" s="1"/>
      <c r="BI9" s="1"/>
      <c r="BJ9" s="1"/>
      <c r="BK9" s="1"/>
      <c r="BL9" s="1"/>
      <c r="BM9" s="1"/>
      <c r="BN9" s="1"/>
      <c r="BO9" s="1"/>
      <c r="BP9" s="1">
        <v>5</v>
      </c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>
        <v>5</v>
      </c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IW9" s="1">
        <f t="shared" si="0"/>
        <v>740</v>
      </c>
      <c r="IX9" s="5">
        <v>27.71</v>
      </c>
      <c r="IY9" s="5">
        <f t="shared" si="1"/>
        <v>20505.400000000001</v>
      </c>
      <c r="IZ9" s="5">
        <v>36.950000000000003</v>
      </c>
      <c r="JA9" s="5">
        <f t="shared" si="2"/>
        <v>27343.000000000004</v>
      </c>
    </row>
    <row r="10" spans="1:261">
      <c r="A10" s="4">
        <v>6454798</v>
      </c>
      <c r="B10" s="3">
        <v>810016710042</v>
      </c>
      <c r="C10" s="4" t="s">
        <v>5</v>
      </c>
      <c r="D10" s="4" t="s">
        <v>4</v>
      </c>
      <c r="E10" s="1">
        <v>2</v>
      </c>
      <c r="F10" s="1"/>
      <c r="G10" s="1"/>
      <c r="H10" s="1">
        <v>7</v>
      </c>
      <c r="I10" s="1">
        <v>40</v>
      </c>
      <c r="J10" s="1">
        <v>212</v>
      </c>
      <c r="K10" s="1">
        <v>6</v>
      </c>
      <c r="L10" s="1">
        <v>4</v>
      </c>
      <c r="M10" s="1"/>
      <c r="N10" s="1">
        <v>1</v>
      </c>
      <c r="O10" s="1">
        <v>1</v>
      </c>
      <c r="P10" s="1"/>
      <c r="Q10" s="1"/>
      <c r="R10" s="1"/>
      <c r="S10" s="1"/>
      <c r="T10" s="1"/>
      <c r="U10" s="1"/>
      <c r="V10" s="1">
        <v>5</v>
      </c>
      <c r="W10" s="1">
        <v>2</v>
      </c>
      <c r="X10" s="1">
        <v>5</v>
      </c>
      <c r="Y10" s="1">
        <v>4</v>
      </c>
      <c r="Z10" s="1">
        <v>2</v>
      </c>
      <c r="AA10" s="1">
        <v>4</v>
      </c>
      <c r="AB10" s="1">
        <v>10</v>
      </c>
      <c r="AC10" s="1">
        <v>10</v>
      </c>
      <c r="AD10" s="1">
        <v>13</v>
      </c>
      <c r="AE10" s="1">
        <v>16</v>
      </c>
      <c r="AF10" s="1">
        <v>3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>
        <v>1</v>
      </c>
      <c r="BA10" s="1"/>
      <c r="BB10" s="1">
        <v>4</v>
      </c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>
        <v>2</v>
      </c>
      <c r="BP10" s="1">
        <v>1</v>
      </c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IW10" s="1">
        <f t="shared" si="0"/>
        <v>355</v>
      </c>
      <c r="IX10" s="5">
        <v>27.71</v>
      </c>
      <c r="IY10" s="5">
        <f t="shared" si="1"/>
        <v>9837.0500000000011</v>
      </c>
      <c r="IZ10" s="5">
        <v>36.950000000000003</v>
      </c>
      <c r="JA10" s="5">
        <f t="shared" si="2"/>
        <v>13117.250000000002</v>
      </c>
    </row>
    <row r="11" spans="1:261">
      <c r="A11" s="4">
        <v>6454801</v>
      </c>
      <c r="B11" s="3">
        <v>810016710004</v>
      </c>
      <c r="C11" s="4" t="s">
        <v>133</v>
      </c>
      <c r="D11" s="4" t="s">
        <v>130</v>
      </c>
      <c r="E11" s="1"/>
      <c r="F11" s="1">
        <v>2</v>
      </c>
      <c r="G11" s="1">
        <v>2</v>
      </c>
      <c r="H11" s="1">
        <v>6</v>
      </c>
      <c r="I11" s="1">
        <v>256</v>
      </c>
      <c r="J11" s="1">
        <v>11</v>
      </c>
      <c r="K11" s="1">
        <v>6</v>
      </c>
      <c r="L11" s="1">
        <v>9</v>
      </c>
      <c r="M11" s="1">
        <v>16</v>
      </c>
      <c r="N11" s="1">
        <v>5</v>
      </c>
      <c r="O11" s="1">
        <v>17</v>
      </c>
      <c r="P11" s="1">
        <v>12</v>
      </c>
      <c r="Q11" s="1">
        <v>12</v>
      </c>
      <c r="R11" s="1">
        <v>9</v>
      </c>
      <c r="S11" s="1">
        <v>81</v>
      </c>
      <c r="T11" s="1">
        <v>45</v>
      </c>
      <c r="U11" s="1">
        <v>13</v>
      </c>
      <c r="V11" s="1">
        <v>13</v>
      </c>
      <c r="W11" s="1">
        <v>12</v>
      </c>
      <c r="X11" s="1">
        <v>12</v>
      </c>
      <c r="Y11" s="1">
        <v>15</v>
      </c>
      <c r="Z11" s="1">
        <v>15</v>
      </c>
      <c r="AA11" s="1">
        <v>14</v>
      </c>
      <c r="AB11" s="1">
        <v>17</v>
      </c>
      <c r="AC11" s="1">
        <v>15</v>
      </c>
      <c r="AD11" s="1">
        <v>10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>
        <v>8</v>
      </c>
      <c r="BA11" s="1">
        <v>1</v>
      </c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>
        <v>4</v>
      </c>
      <c r="BO11" s="1">
        <v>3</v>
      </c>
      <c r="BP11" s="1">
        <v>3</v>
      </c>
      <c r="BQ11" s="1">
        <v>1</v>
      </c>
      <c r="BR11" s="1">
        <v>6</v>
      </c>
      <c r="BS11" s="1">
        <v>6</v>
      </c>
      <c r="BT11" s="1">
        <v>3</v>
      </c>
      <c r="BU11" s="1">
        <v>3</v>
      </c>
      <c r="BV11" s="1">
        <v>8</v>
      </c>
      <c r="BW11" s="1">
        <v>13</v>
      </c>
      <c r="BX11" s="1"/>
      <c r="BY11" s="1"/>
      <c r="BZ11" s="1"/>
      <c r="CA11" s="1">
        <v>4</v>
      </c>
      <c r="CB11" s="1">
        <v>5</v>
      </c>
      <c r="CC11" s="1">
        <v>5</v>
      </c>
      <c r="CD11" s="1">
        <v>3</v>
      </c>
      <c r="CE11" s="1">
        <v>6</v>
      </c>
      <c r="CF11" s="1">
        <v>3</v>
      </c>
      <c r="CG11" s="1">
        <v>7</v>
      </c>
      <c r="CH11" s="1">
        <v>9</v>
      </c>
      <c r="CI11" s="1">
        <v>5</v>
      </c>
      <c r="CJ11" s="1">
        <v>6</v>
      </c>
      <c r="CK11" s="1">
        <v>12</v>
      </c>
      <c r="CL11" s="1">
        <v>7</v>
      </c>
      <c r="CM11" s="1">
        <v>6</v>
      </c>
      <c r="CN11" s="1">
        <v>9</v>
      </c>
      <c r="CO11" s="1">
        <v>6</v>
      </c>
      <c r="CP11" s="1">
        <v>16</v>
      </c>
      <c r="CQ11" s="1">
        <v>4</v>
      </c>
      <c r="CR11" s="1">
        <v>23</v>
      </c>
      <c r="CS11" s="1">
        <v>4</v>
      </c>
      <c r="CT11" s="1">
        <v>5</v>
      </c>
      <c r="CU11" s="1">
        <v>5</v>
      </c>
      <c r="CV11" s="1">
        <v>5</v>
      </c>
      <c r="CW11" s="1">
        <v>5</v>
      </c>
      <c r="CX11" s="1">
        <v>12</v>
      </c>
      <c r="CY11" s="1">
        <v>11</v>
      </c>
      <c r="CZ11" s="1">
        <v>7</v>
      </c>
      <c r="DA11" s="1">
        <v>8</v>
      </c>
      <c r="DB11" s="1">
        <v>15</v>
      </c>
      <c r="DC11" s="1">
        <v>13</v>
      </c>
      <c r="DD11" s="1">
        <v>6</v>
      </c>
      <c r="DE11" s="1">
        <v>3</v>
      </c>
      <c r="DF11" s="1">
        <v>7</v>
      </c>
      <c r="DG11" s="1">
        <v>3</v>
      </c>
      <c r="DH11" s="1">
        <v>7</v>
      </c>
      <c r="DI11" s="1">
        <v>1</v>
      </c>
      <c r="DJ11" s="1">
        <v>4</v>
      </c>
      <c r="DK11" s="1">
        <v>6</v>
      </c>
      <c r="DL11" s="1">
        <v>2</v>
      </c>
      <c r="DM11" s="52">
        <v>169</v>
      </c>
      <c r="DN11" s="1">
        <v>6</v>
      </c>
      <c r="DO11" s="1">
        <v>3</v>
      </c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IW11" s="1">
        <f t="shared" si="0"/>
        <v>1127</v>
      </c>
      <c r="IX11" s="5">
        <v>37.49</v>
      </c>
      <c r="IY11" s="5">
        <f t="shared" si="1"/>
        <v>42251.23</v>
      </c>
      <c r="IZ11" s="5">
        <v>49.95</v>
      </c>
      <c r="JA11" s="5">
        <f t="shared" si="2"/>
        <v>56293.65</v>
      </c>
    </row>
    <row r="12" spans="1:261">
      <c r="A12" s="16"/>
      <c r="B12" s="17"/>
      <c r="C12" s="2" t="s">
        <v>49</v>
      </c>
      <c r="D12" s="18" t="s">
        <v>47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>
        <v>18</v>
      </c>
      <c r="AO12" s="1">
        <v>28</v>
      </c>
      <c r="AP12" s="1">
        <v>38</v>
      </c>
      <c r="AQ12" s="1">
        <v>39</v>
      </c>
      <c r="AR12" s="1">
        <v>61</v>
      </c>
      <c r="AS12" s="1">
        <v>46</v>
      </c>
      <c r="AT12" s="1">
        <v>52</v>
      </c>
      <c r="AU12" s="1">
        <v>37</v>
      </c>
      <c r="AV12" s="1">
        <v>24</v>
      </c>
      <c r="AW12" s="1">
        <v>10</v>
      </c>
      <c r="AX12" s="1">
        <v>19</v>
      </c>
      <c r="AY12" s="1">
        <v>11</v>
      </c>
      <c r="AZ12" s="1">
        <v>29</v>
      </c>
      <c r="BA12" s="52">
        <v>312</v>
      </c>
      <c r="BB12" s="1">
        <v>14</v>
      </c>
      <c r="BC12" s="1">
        <v>24</v>
      </c>
      <c r="BD12" s="1">
        <v>24</v>
      </c>
      <c r="BE12" s="1">
        <v>331</v>
      </c>
      <c r="BF12" s="1"/>
      <c r="BG12" s="1">
        <v>8</v>
      </c>
      <c r="BH12" s="1">
        <v>27</v>
      </c>
      <c r="BI12" s="1">
        <v>29</v>
      </c>
      <c r="BJ12" s="1">
        <v>10</v>
      </c>
      <c r="BK12" s="1">
        <v>7</v>
      </c>
      <c r="BL12" s="52">
        <v>267</v>
      </c>
      <c r="BM12" s="1">
        <v>116</v>
      </c>
      <c r="BN12" s="1">
        <v>26</v>
      </c>
      <c r="BO12" s="1">
        <v>1</v>
      </c>
      <c r="BP12" s="52">
        <v>334</v>
      </c>
      <c r="BQ12" s="1">
        <v>36</v>
      </c>
      <c r="BR12" s="1">
        <v>19</v>
      </c>
      <c r="BS12" s="1">
        <v>10</v>
      </c>
      <c r="BT12" s="1">
        <v>12</v>
      </c>
      <c r="BU12" s="1">
        <v>29</v>
      </c>
      <c r="BV12" s="1">
        <v>26</v>
      </c>
      <c r="BW12" s="1">
        <v>20</v>
      </c>
      <c r="BX12" s="1">
        <v>15</v>
      </c>
      <c r="BY12" s="1">
        <v>45</v>
      </c>
      <c r="BZ12" s="1">
        <v>23</v>
      </c>
      <c r="CA12" s="1">
        <v>9</v>
      </c>
      <c r="CB12" s="52">
        <v>232</v>
      </c>
      <c r="CC12" s="1">
        <v>82</v>
      </c>
      <c r="CD12" s="1">
        <v>31</v>
      </c>
      <c r="CE12" s="1">
        <v>11</v>
      </c>
      <c r="CF12" s="1">
        <v>10</v>
      </c>
      <c r="CG12" s="1">
        <v>10</v>
      </c>
      <c r="CH12" s="9" t="s">
        <v>186</v>
      </c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IW12" s="1">
        <f t="shared" si="0"/>
        <v>2562</v>
      </c>
      <c r="IX12" s="5">
        <v>37.46</v>
      </c>
      <c r="IY12" s="5">
        <f t="shared" si="1"/>
        <v>95972.52</v>
      </c>
      <c r="IZ12" s="5">
        <v>49.95</v>
      </c>
      <c r="JA12" s="5">
        <f t="shared" si="2"/>
        <v>127971.90000000001</v>
      </c>
    </row>
    <row r="13" spans="1:261">
      <c r="A13" s="16"/>
      <c r="B13" s="17"/>
      <c r="C13" s="2" t="s">
        <v>50</v>
      </c>
      <c r="D13" s="18" t="s">
        <v>48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>
        <v>5</v>
      </c>
      <c r="AO13" s="1">
        <v>23</v>
      </c>
      <c r="AP13" s="1">
        <v>19</v>
      </c>
      <c r="AQ13" s="1">
        <v>28</v>
      </c>
      <c r="AR13" s="1">
        <v>42</v>
      </c>
      <c r="AS13" s="1">
        <v>43</v>
      </c>
      <c r="AT13" s="52">
        <v>486</v>
      </c>
      <c r="AU13" s="1">
        <v>15</v>
      </c>
      <c r="AV13" s="1">
        <v>14</v>
      </c>
      <c r="AW13" s="1">
        <v>48</v>
      </c>
      <c r="AX13" s="1">
        <v>459</v>
      </c>
      <c r="AY13" s="1">
        <v>30</v>
      </c>
      <c r="AZ13" s="1">
        <v>14</v>
      </c>
      <c r="BA13" s="1">
        <v>10</v>
      </c>
      <c r="BB13" s="1">
        <v>38</v>
      </c>
      <c r="BC13" s="1">
        <v>14</v>
      </c>
      <c r="BD13" s="1">
        <v>10</v>
      </c>
      <c r="BE13" s="1">
        <v>15</v>
      </c>
      <c r="BF13" s="1">
        <v>33</v>
      </c>
      <c r="BG13" s="1">
        <v>16</v>
      </c>
      <c r="BH13" s="1">
        <v>12</v>
      </c>
      <c r="BI13" s="52">
        <v>306</v>
      </c>
      <c r="BJ13" s="1">
        <v>23</v>
      </c>
      <c r="BK13" s="1">
        <v>23</v>
      </c>
      <c r="BL13" s="1">
        <v>20</v>
      </c>
      <c r="BM13" s="1">
        <v>10</v>
      </c>
      <c r="BN13" s="52">
        <v>307</v>
      </c>
      <c r="BO13" s="1">
        <v>34</v>
      </c>
      <c r="BP13" s="1">
        <v>31</v>
      </c>
      <c r="BQ13" s="1">
        <v>10</v>
      </c>
      <c r="BR13" s="1">
        <v>8</v>
      </c>
      <c r="BS13" s="1">
        <v>10</v>
      </c>
      <c r="BT13" s="52">
        <v>112</v>
      </c>
      <c r="BU13" s="1">
        <v>10</v>
      </c>
      <c r="BV13" s="1">
        <v>111</v>
      </c>
      <c r="BW13" s="1">
        <v>18</v>
      </c>
      <c r="BX13" s="1">
        <v>31</v>
      </c>
      <c r="BY13" s="1">
        <v>19</v>
      </c>
      <c r="BZ13" s="1">
        <v>16</v>
      </c>
      <c r="CA13" s="52">
        <v>240</v>
      </c>
      <c r="CB13" s="1">
        <v>25</v>
      </c>
      <c r="CC13" s="1">
        <v>14</v>
      </c>
      <c r="CD13" s="52">
        <v>285</v>
      </c>
      <c r="CE13" s="1">
        <v>11</v>
      </c>
      <c r="CF13" s="1">
        <v>8</v>
      </c>
      <c r="CG13" s="1">
        <v>12</v>
      </c>
      <c r="CH13" s="9" t="s">
        <v>186</v>
      </c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>
        <v>4</v>
      </c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IW13" s="1">
        <f t="shared" si="0"/>
        <v>3072</v>
      </c>
      <c r="IX13" s="5">
        <v>74.959999999999994</v>
      </c>
      <c r="IY13" s="5">
        <f t="shared" si="1"/>
        <v>230277.12</v>
      </c>
      <c r="IZ13" s="5">
        <v>99.95</v>
      </c>
      <c r="JA13" s="5">
        <f t="shared" si="2"/>
        <v>307046.40000000002</v>
      </c>
    </row>
    <row r="14" spans="1:261">
      <c r="A14" s="16"/>
      <c r="B14" s="17"/>
      <c r="C14" s="4" t="s">
        <v>55</v>
      </c>
      <c r="D14" s="4" t="s">
        <v>79</v>
      </c>
      <c r="E14" s="1" t="s">
        <v>235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>
        <v>2</v>
      </c>
      <c r="BF14" s="1">
        <v>8</v>
      </c>
      <c r="BG14" s="1">
        <v>5</v>
      </c>
      <c r="BH14" s="1"/>
      <c r="BI14" s="1">
        <v>83</v>
      </c>
      <c r="BJ14" s="1">
        <v>4</v>
      </c>
      <c r="BK14" s="1">
        <v>10</v>
      </c>
      <c r="BL14" s="1">
        <v>2</v>
      </c>
      <c r="BM14" s="1">
        <v>15</v>
      </c>
      <c r="BN14" s="1">
        <v>2</v>
      </c>
      <c r="BO14" s="1">
        <v>5</v>
      </c>
      <c r="BP14" s="1"/>
      <c r="BQ14" s="1">
        <v>5</v>
      </c>
      <c r="BR14" s="1">
        <v>3</v>
      </c>
      <c r="BS14" s="1">
        <v>3</v>
      </c>
      <c r="BT14" s="1">
        <v>2</v>
      </c>
      <c r="BU14" s="1">
        <v>4</v>
      </c>
      <c r="BV14" s="1">
        <v>2</v>
      </c>
      <c r="BW14" s="1"/>
      <c r="BX14" s="1">
        <v>4</v>
      </c>
      <c r="BY14" s="1">
        <v>7</v>
      </c>
      <c r="BZ14" s="1">
        <v>6</v>
      </c>
      <c r="CA14" s="1">
        <v>4</v>
      </c>
      <c r="CB14" s="1">
        <v>10</v>
      </c>
      <c r="CC14" s="1">
        <v>4</v>
      </c>
      <c r="CD14" s="1">
        <v>6</v>
      </c>
      <c r="CE14" s="1">
        <v>2</v>
      </c>
      <c r="CF14" s="1">
        <v>2</v>
      </c>
      <c r="CG14" s="1">
        <v>2</v>
      </c>
      <c r="CH14" s="1">
        <v>2</v>
      </c>
      <c r="CI14" s="1">
        <v>6</v>
      </c>
      <c r="CJ14" s="1">
        <v>7</v>
      </c>
      <c r="CK14" s="1"/>
      <c r="CL14" s="1">
        <v>15</v>
      </c>
      <c r="CM14" s="1">
        <v>6</v>
      </c>
      <c r="CN14" s="1">
        <v>8</v>
      </c>
      <c r="CO14" s="1">
        <v>5</v>
      </c>
      <c r="CP14" s="1">
        <v>29</v>
      </c>
      <c r="CQ14" s="1">
        <v>20</v>
      </c>
      <c r="CR14" s="1">
        <v>39</v>
      </c>
      <c r="CS14" s="1">
        <v>58</v>
      </c>
      <c r="CT14" s="1">
        <v>11</v>
      </c>
      <c r="CU14" s="1">
        <v>10</v>
      </c>
      <c r="CV14" s="1">
        <v>7</v>
      </c>
      <c r="CW14" s="1">
        <v>9</v>
      </c>
      <c r="CX14" s="1">
        <v>15</v>
      </c>
      <c r="CY14" s="1">
        <v>6</v>
      </c>
      <c r="CZ14" s="1">
        <v>16</v>
      </c>
      <c r="DA14" s="1">
        <v>16</v>
      </c>
      <c r="DB14" s="1">
        <v>23</v>
      </c>
      <c r="DC14" s="1"/>
      <c r="DD14" s="1">
        <v>5</v>
      </c>
      <c r="DE14" s="1">
        <v>9</v>
      </c>
      <c r="DF14" s="1">
        <v>5</v>
      </c>
      <c r="DG14" s="1">
        <v>3</v>
      </c>
      <c r="DH14" s="1">
        <v>2</v>
      </c>
      <c r="DI14" s="1">
        <v>7</v>
      </c>
      <c r="DJ14" s="1">
        <v>5</v>
      </c>
      <c r="DK14" s="1">
        <v>2</v>
      </c>
      <c r="DL14" s="1">
        <v>2</v>
      </c>
      <c r="DM14" s="1">
        <v>3</v>
      </c>
      <c r="DN14" s="1">
        <v>5</v>
      </c>
      <c r="DO14" s="1">
        <v>3</v>
      </c>
      <c r="DP14" s="1">
        <v>4</v>
      </c>
      <c r="DQ14" s="1">
        <v>4</v>
      </c>
      <c r="DR14" s="1">
        <v>4</v>
      </c>
      <c r="DS14" s="1">
        <v>7</v>
      </c>
      <c r="DT14" s="1">
        <v>2</v>
      </c>
      <c r="DU14" s="1">
        <v>2</v>
      </c>
      <c r="DV14" s="1">
        <v>4</v>
      </c>
      <c r="DW14" s="1">
        <v>7</v>
      </c>
      <c r="DX14" s="1">
        <v>10</v>
      </c>
      <c r="DY14" s="1">
        <v>6</v>
      </c>
      <c r="DZ14" s="1">
        <v>3</v>
      </c>
      <c r="EA14" s="1"/>
      <c r="EB14" s="1"/>
      <c r="EC14" s="1">
        <v>7</v>
      </c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IW14" s="1">
        <f t="shared" si="0"/>
        <v>621</v>
      </c>
      <c r="IX14" s="5">
        <v>37.46</v>
      </c>
      <c r="IY14" s="5">
        <f t="shared" si="1"/>
        <v>23262.66</v>
      </c>
      <c r="IZ14" s="5">
        <v>49.95</v>
      </c>
      <c r="JA14" s="5">
        <f t="shared" si="2"/>
        <v>31018.95</v>
      </c>
    </row>
    <row r="15" spans="1:261">
      <c r="A15" s="16"/>
      <c r="B15" s="17"/>
      <c r="C15" s="4" t="s">
        <v>56</v>
      </c>
      <c r="D15" s="4" t="s">
        <v>80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>
        <v>4</v>
      </c>
      <c r="BF15" s="1">
        <v>6</v>
      </c>
      <c r="BG15" s="1">
        <v>5</v>
      </c>
      <c r="BH15" s="1">
        <v>12</v>
      </c>
      <c r="BI15" s="1">
        <v>98</v>
      </c>
      <c r="BJ15" s="1">
        <v>4</v>
      </c>
      <c r="BK15" s="1">
        <v>1</v>
      </c>
      <c r="BL15" s="1">
        <v>3</v>
      </c>
      <c r="BM15" s="1">
        <v>6</v>
      </c>
      <c r="BN15" s="1">
        <v>4</v>
      </c>
      <c r="BO15" s="1"/>
      <c r="BP15" s="1">
        <v>3</v>
      </c>
      <c r="BQ15" s="1">
        <v>12</v>
      </c>
      <c r="BR15" s="1">
        <v>2</v>
      </c>
      <c r="BS15" s="1"/>
      <c r="BT15" s="1">
        <v>2</v>
      </c>
      <c r="BU15" s="1">
        <v>2</v>
      </c>
      <c r="BV15" s="1">
        <v>2</v>
      </c>
      <c r="BW15" s="1">
        <v>3</v>
      </c>
      <c r="BX15" s="1">
        <v>3</v>
      </c>
      <c r="BY15" s="1">
        <v>1</v>
      </c>
      <c r="BZ15" s="1">
        <v>4</v>
      </c>
      <c r="CA15" s="1">
        <v>2</v>
      </c>
      <c r="CB15" s="1">
        <v>7</v>
      </c>
      <c r="CC15" s="1"/>
      <c r="CD15" s="1">
        <v>4</v>
      </c>
      <c r="CE15" s="1">
        <v>5</v>
      </c>
      <c r="CF15" s="1">
        <v>7</v>
      </c>
      <c r="CG15" s="1">
        <v>1</v>
      </c>
      <c r="CH15" s="1">
        <v>4</v>
      </c>
      <c r="CI15" s="1">
        <v>5</v>
      </c>
      <c r="CJ15" s="1">
        <v>7</v>
      </c>
      <c r="CK15" s="1">
        <v>4</v>
      </c>
      <c r="CL15" s="1"/>
      <c r="CM15" s="1"/>
      <c r="CN15" s="1">
        <v>2</v>
      </c>
      <c r="CO15" s="1">
        <v>3</v>
      </c>
      <c r="CP15" s="1">
        <v>13</v>
      </c>
      <c r="CQ15" s="1">
        <v>13</v>
      </c>
      <c r="CR15" s="1">
        <v>17</v>
      </c>
      <c r="CS15" s="1"/>
      <c r="CT15" s="1"/>
      <c r="CU15" s="1">
        <v>1</v>
      </c>
      <c r="CV15" s="1">
        <v>25</v>
      </c>
      <c r="CW15" s="1">
        <v>6</v>
      </c>
      <c r="CX15" s="1">
        <v>11</v>
      </c>
      <c r="CY15" s="1">
        <v>3</v>
      </c>
      <c r="CZ15" s="1">
        <v>2</v>
      </c>
      <c r="DA15" s="1">
        <v>6</v>
      </c>
      <c r="DB15" s="1">
        <v>14</v>
      </c>
      <c r="DC15" s="1">
        <v>2</v>
      </c>
      <c r="DD15" s="1">
        <v>8</v>
      </c>
      <c r="DE15" s="1">
        <v>5</v>
      </c>
      <c r="DF15" s="1">
        <v>2</v>
      </c>
      <c r="DG15" s="1">
        <v>4</v>
      </c>
      <c r="DH15" s="1">
        <v>3</v>
      </c>
      <c r="DI15" s="1">
        <v>6</v>
      </c>
      <c r="DJ15" s="1">
        <v>3</v>
      </c>
      <c r="DK15" s="1"/>
      <c r="DL15" s="1">
        <v>3</v>
      </c>
      <c r="DM15" s="1">
        <v>2</v>
      </c>
      <c r="DN15" s="1">
        <v>3</v>
      </c>
      <c r="DO15" s="1">
        <v>3</v>
      </c>
      <c r="DP15" s="1">
        <v>2</v>
      </c>
      <c r="DQ15" s="1">
        <v>2</v>
      </c>
      <c r="DR15" s="1">
        <v>7</v>
      </c>
      <c r="DS15" s="1">
        <v>8</v>
      </c>
      <c r="DT15" s="1">
        <v>5</v>
      </c>
      <c r="DU15" s="1">
        <v>1</v>
      </c>
      <c r="DV15" s="1">
        <v>2</v>
      </c>
      <c r="DW15" s="1">
        <v>2</v>
      </c>
      <c r="DX15" s="1">
        <v>7</v>
      </c>
      <c r="DY15" s="1">
        <v>6</v>
      </c>
      <c r="DZ15" s="1">
        <v>3</v>
      </c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IW15" s="1">
        <f t="shared" si="0"/>
        <v>428</v>
      </c>
      <c r="IX15" s="5">
        <v>37.46</v>
      </c>
      <c r="IY15" s="5">
        <f t="shared" si="1"/>
        <v>16032.880000000001</v>
      </c>
      <c r="IZ15" s="5">
        <v>49.95</v>
      </c>
      <c r="JA15" s="5">
        <f t="shared" si="2"/>
        <v>21378.600000000002</v>
      </c>
    </row>
    <row r="16" spans="1:261">
      <c r="A16" s="16"/>
      <c r="B16" s="17"/>
      <c r="C16" s="4" t="s">
        <v>57</v>
      </c>
      <c r="D16" s="4" t="s">
        <v>81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>
        <v>1</v>
      </c>
      <c r="BG16" s="1"/>
      <c r="BH16" s="1"/>
      <c r="BI16" s="1">
        <v>16</v>
      </c>
      <c r="BJ16" s="1"/>
      <c r="BK16" s="1">
        <v>1</v>
      </c>
      <c r="BL16" s="1"/>
      <c r="BM16" s="1">
        <v>2</v>
      </c>
      <c r="BN16" s="1">
        <v>1</v>
      </c>
      <c r="BO16" s="1"/>
      <c r="BP16" s="1"/>
      <c r="BQ16" s="1">
        <v>5</v>
      </c>
      <c r="BR16" s="1"/>
      <c r="BS16" s="1">
        <v>1</v>
      </c>
      <c r="BT16" s="1"/>
      <c r="BU16" s="1"/>
      <c r="BV16" s="1"/>
      <c r="BW16" s="1">
        <v>3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/>
      <c r="CE16" s="1"/>
      <c r="CF16" s="1"/>
      <c r="CG16" s="1">
        <v>1</v>
      </c>
      <c r="CH16" s="1">
        <v>2</v>
      </c>
      <c r="CI16" s="1">
        <v>1</v>
      </c>
      <c r="CJ16" s="1">
        <v>2</v>
      </c>
      <c r="CK16" s="1"/>
      <c r="CL16" s="1">
        <v>8</v>
      </c>
      <c r="CM16" s="1">
        <v>2</v>
      </c>
      <c r="CN16" s="1">
        <v>3</v>
      </c>
      <c r="CO16" s="1">
        <v>6</v>
      </c>
      <c r="CP16" s="1">
        <v>7</v>
      </c>
      <c r="CQ16" s="1">
        <v>6</v>
      </c>
      <c r="CR16" s="1">
        <v>17</v>
      </c>
      <c r="CS16" s="1">
        <v>14</v>
      </c>
      <c r="CT16" s="1">
        <v>4</v>
      </c>
      <c r="CU16" s="1">
        <v>8</v>
      </c>
      <c r="CV16" s="1">
        <v>15</v>
      </c>
      <c r="CW16" s="1"/>
      <c r="CX16" s="1">
        <v>1</v>
      </c>
      <c r="CY16" s="1"/>
      <c r="CZ16" s="1"/>
      <c r="DA16" s="1"/>
      <c r="DB16" s="1"/>
      <c r="DC16" s="1"/>
      <c r="DD16" s="1"/>
      <c r="DE16" s="1">
        <v>1</v>
      </c>
      <c r="DF16" s="1"/>
      <c r="DG16" s="1"/>
      <c r="DH16" s="1">
        <v>4</v>
      </c>
      <c r="DI16" s="1">
        <v>2</v>
      </c>
      <c r="DJ16" s="1"/>
      <c r="DK16" s="1">
        <v>2</v>
      </c>
      <c r="DL16" s="1">
        <v>1</v>
      </c>
      <c r="DM16" s="1">
        <v>2</v>
      </c>
      <c r="DN16" s="1"/>
      <c r="DO16" s="1">
        <v>1</v>
      </c>
      <c r="DP16" s="1"/>
      <c r="DQ16" s="1">
        <v>1</v>
      </c>
      <c r="DR16" s="1">
        <v>1</v>
      </c>
      <c r="DS16" s="1"/>
      <c r="DT16" s="1">
        <v>2</v>
      </c>
      <c r="DU16" s="1">
        <v>3</v>
      </c>
      <c r="DV16" s="1">
        <v>2</v>
      </c>
      <c r="DW16" s="1">
        <v>1</v>
      </c>
      <c r="DX16" s="1">
        <v>1</v>
      </c>
      <c r="DY16" s="1">
        <v>3</v>
      </c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IW16" s="1">
        <f t="shared" si="0"/>
        <v>160</v>
      </c>
      <c r="IX16" s="5">
        <v>37.46</v>
      </c>
      <c r="IY16" s="5">
        <f t="shared" si="1"/>
        <v>5993.6</v>
      </c>
      <c r="IZ16" s="5">
        <v>49.95</v>
      </c>
      <c r="JA16" s="5">
        <f t="shared" si="2"/>
        <v>7992</v>
      </c>
    </row>
    <row r="17" spans="1:261">
      <c r="A17" s="16"/>
      <c r="B17" s="17"/>
      <c r="C17" s="4" t="s">
        <v>58</v>
      </c>
      <c r="D17" s="4" t="s">
        <v>82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>
        <v>2</v>
      </c>
      <c r="BF17" s="1">
        <v>2</v>
      </c>
      <c r="BG17" s="1">
        <v>3</v>
      </c>
      <c r="BH17" s="1">
        <v>1</v>
      </c>
      <c r="BI17" s="1">
        <v>4</v>
      </c>
      <c r="BJ17" s="1">
        <v>48</v>
      </c>
      <c r="BK17" s="1">
        <v>3</v>
      </c>
      <c r="BL17" s="1"/>
      <c r="BM17" s="1"/>
      <c r="BN17" s="1"/>
      <c r="BO17" s="1"/>
      <c r="BP17" s="1"/>
      <c r="BQ17" s="1"/>
      <c r="BR17" s="1"/>
      <c r="BS17" s="1">
        <v>6</v>
      </c>
      <c r="BT17" s="1">
        <v>2</v>
      </c>
      <c r="BU17" s="1">
        <v>4</v>
      </c>
      <c r="BV17" s="1">
        <v>14</v>
      </c>
      <c r="BW17" s="1">
        <v>203</v>
      </c>
      <c r="BX17" s="1"/>
      <c r="BY17" s="1"/>
      <c r="BZ17" s="1"/>
      <c r="CA17" s="1"/>
      <c r="CB17" s="1">
        <v>169</v>
      </c>
      <c r="CC17" s="1"/>
      <c r="CD17" s="1">
        <v>1</v>
      </c>
      <c r="CE17" s="1">
        <v>5</v>
      </c>
      <c r="CF17" s="1">
        <v>2</v>
      </c>
      <c r="CG17" s="1">
        <v>3</v>
      </c>
      <c r="CH17" s="1">
        <v>5</v>
      </c>
      <c r="CI17" s="1">
        <v>4</v>
      </c>
      <c r="CJ17" s="1">
        <v>1</v>
      </c>
      <c r="CK17" s="1">
        <v>2</v>
      </c>
      <c r="CL17" s="1">
        <v>1</v>
      </c>
      <c r="CM17" s="1">
        <v>2</v>
      </c>
      <c r="CN17" s="1">
        <v>2</v>
      </c>
      <c r="CO17" s="1">
        <v>1</v>
      </c>
      <c r="CP17" s="1">
        <v>4</v>
      </c>
      <c r="CQ17" s="1">
        <v>4</v>
      </c>
      <c r="CR17" s="1">
        <v>11</v>
      </c>
      <c r="CS17" s="1">
        <v>8</v>
      </c>
      <c r="CT17" s="1">
        <v>4</v>
      </c>
      <c r="CU17" s="1">
        <v>2</v>
      </c>
      <c r="CV17" s="1">
        <v>4</v>
      </c>
      <c r="CW17" s="1">
        <v>7</v>
      </c>
      <c r="CX17" s="1">
        <v>1</v>
      </c>
      <c r="CY17" s="1">
        <v>3</v>
      </c>
      <c r="CZ17" s="1">
        <v>4</v>
      </c>
      <c r="DA17" s="1">
        <v>5</v>
      </c>
      <c r="DB17" s="1">
        <v>2</v>
      </c>
      <c r="DC17" s="1">
        <v>5</v>
      </c>
      <c r="DD17" s="1">
        <v>3</v>
      </c>
      <c r="DE17" s="1"/>
      <c r="DF17" s="1"/>
      <c r="DG17" s="1">
        <v>3</v>
      </c>
      <c r="DH17" s="1"/>
      <c r="DI17" s="1">
        <v>2</v>
      </c>
      <c r="DJ17" s="1">
        <v>2</v>
      </c>
      <c r="DK17" s="1">
        <v>1</v>
      </c>
      <c r="DL17" s="1">
        <v>2</v>
      </c>
      <c r="DM17" s="1"/>
      <c r="DN17" s="1"/>
      <c r="DO17" s="1">
        <v>3</v>
      </c>
      <c r="DP17" s="1">
        <v>2</v>
      </c>
      <c r="DQ17" s="1">
        <v>3</v>
      </c>
      <c r="DR17" s="1">
        <v>2</v>
      </c>
      <c r="DS17" s="1">
        <v>5</v>
      </c>
      <c r="DT17" s="1">
        <v>1</v>
      </c>
      <c r="DU17" s="1">
        <v>1</v>
      </c>
      <c r="DV17" s="1">
        <v>1</v>
      </c>
      <c r="DW17" s="1">
        <v>2</v>
      </c>
      <c r="DX17" s="1"/>
      <c r="DY17" s="1"/>
      <c r="DZ17" s="1">
        <v>2</v>
      </c>
      <c r="EA17" s="1"/>
      <c r="EB17" s="52">
        <v>87</v>
      </c>
      <c r="EC17" s="1">
        <v>1</v>
      </c>
      <c r="ED17" s="1">
        <v>2</v>
      </c>
      <c r="EE17" s="1"/>
      <c r="EF17" s="52">
        <v>109</v>
      </c>
      <c r="EG17" s="1">
        <v>1</v>
      </c>
      <c r="EH17" s="1"/>
      <c r="EI17" s="1"/>
      <c r="EJ17" s="1">
        <v>1</v>
      </c>
      <c r="EK17" s="1">
        <v>3</v>
      </c>
      <c r="EL17" s="1">
        <v>1</v>
      </c>
      <c r="EM17" s="1">
        <v>2</v>
      </c>
      <c r="EN17" s="1"/>
      <c r="EO17" s="1">
        <v>3</v>
      </c>
      <c r="EP17" s="1">
        <v>4</v>
      </c>
      <c r="EQ17" s="1">
        <v>6</v>
      </c>
      <c r="ER17" s="1">
        <v>18</v>
      </c>
      <c r="ES17" s="1">
        <v>4</v>
      </c>
      <c r="ET17" s="1">
        <v>3</v>
      </c>
      <c r="EU17" s="1"/>
      <c r="EV17" s="1">
        <v>1</v>
      </c>
      <c r="EW17" s="1">
        <v>1</v>
      </c>
      <c r="EX17" s="1">
        <v>4</v>
      </c>
      <c r="EY17" s="1">
        <v>6</v>
      </c>
      <c r="EZ17" s="1">
        <v>1</v>
      </c>
      <c r="FA17" s="1">
        <v>1</v>
      </c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IW17" s="1">
        <f t="shared" si="0"/>
        <v>848</v>
      </c>
      <c r="IX17" s="5">
        <v>22.46</v>
      </c>
      <c r="IY17" s="5">
        <f t="shared" si="1"/>
        <v>19046.080000000002</v>
      </c>
      <c r="IZ17" s="5">
        <v>29.95</v>
      </c>
      <c r="JA17" s="5">
        <f t="shared" si="2"/>
        <v>25397.599999999999</v>
      </c>
    </row>
    <row r="18" spans="1:261">
      <c r="A18" s="16"/>
      <c r="B18" s="17"/>
      <c r="C18" s="4" t="s">
        <v>59</v>
      </c>
      <c r="D18" s="4" t="s">
        <v>84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>
        <v>1</v>
      </c>
      <c r="BG18" s="1">
        <v>1</v>
      </c>
      <c r="BH18" s="1">
        <v>1</v>
      </c>
      <c r="BI18" s="1"/>
      <c r="BJ18" s="1">
        <v>39</v>
      </c>
      <c r="BK18" s="1">
        <v>4</v>
      </c>
      <c r="BL18" s="1">
        <v>3</v>
      </c>
      <c r="BM18" s="1"/>
      <c r="BN18" s="1">
        <v>2</v>
      </c>
      <c r="BO18" s="1">
        <v>1</v>
      </c>
      <c r="BP18" s="1"/>
      <c r="BQ18" s="1">
        <v>1</v>
      </c>
      <c r="BR18" s="1">
        <v>1</v>
      </c>
      <c r="BS18" s="1">
        <v>1</v>
      </c>
      <c r="BT18" s="1">
        <v>4</v>
      </c>
      <c r="BU18" s="1">
        <v>2</v>
      </c>
      <c r="BV18" s="1">
        <v>8</v>
      </c>
      <c r="BW18" s="1">
        <v>64</v>
      </c>
      <c r="BX18" s="1">
        <v>2</v>
      </c>
      <c r="BY18" s="1">
        <v>2</v>
      </c>
      <c r="BZ18" s="1">
        <v>1</v>
      </c>
      <c r="CA18" s="1">
        <v>3</v>
      </c>
      <c r="CB18" s="1">
        <v>61</v>
      </c>
      <c r="CC18" s="1">
        <v>3</v>
      </c>
      <c r="CD18" s="1">
        <v>6</v>
      </c>
      <c r="CE18" s="1">
        <v>2</v>
      </c>
      <c r="CF18" s="1">
        <v>1</v>
      </c>
      <c r="CG18" s="1">
        <v>1</v>
      </c>
      <c r="CH18" s="1">
        <v>3</v>
      </c>
      <c r="CI18" s="1"/>
      <c r="CJ18" s="1"/>
      <c r="CK18" s="1">
        <v>1</v>
      </c>
      <c r="CL18" s="1"/>
      <c r="CM18" s="1"/>
      <c r="CN18" s="1"/>
      <c r="CO18" s="1"/>
      <c r="CP18" s="1">
        <v>5</v>
      </c>
      <c r="CQ18" s="1">
        <v>1</v>
      </c>
      <c r="CR18" s="1">
        <v>4</v>
      </c>
      <c r="CS18" s="1">
        <v>2</v>
      </c>
      <c r="CT18" s="1"/>
      <c r="CU18" s="1">
        <v>1</v>
      </c>
      <c r="CV18" s="1">
        <v>3</v>
      </c>
      <c r="CW18" s="1">
        <v>2</v>
      </c>
      <c r="CX18" s="1">
        <v>1</v>
      </c>
      <c r="CY18" s="1"/>
      <c r="CZ18" s="1"/>
      <c r="DA18" s="1"/>
      <c r="DB18" s="1"/>
      <c r="DC18" s="1">
        <v>2</v>
      </c>
      <c r="DD18" s="1">
        <v>2</v>
      </c>
      <c r="DE18" s="1"/>
      <c r="DF18" s="1"/>
      <c r="DG18" s="1">
        <v>1</v>
      </c>
      <c r="DH18" s="1">
        <v>1</v>
      </c>
      <c r="DI18" s="1">
        <v>1</v>
      </c>
      <c r="DJ18" s="1"/>
      <c r="DK18" s="1"/>
      <c r="DL18" s="1"/>
      <c r="DM18" s="1">
        <v>1</v>
      </c>
      <c r="DN18" s="1"/>
      <c r="DO18" s="1">
        <v>7</v>
      </c>
      <c r="DP18" s="1"/>
      <c r="DQ18" s="1"/>
      <c r="DR18" s="1"/>
      <c r="DS18" s="1"/>
      <c r="DT18" s="1">
        <v>1</v>
      </c>
      <c r="DU18" s="1">
        <v>1</v>
      </c>
      <c r="DV18" s="1"/>
      <c r="DW18" s="1"/>
      <c r="DX18" s="1">
        <v>1</v>
      </c>
      <c r="DY18" s="1">
        <v>1</v>
      </c>
      <c r="DZ18" s="1">
        <v>2</v>
      </c>
      <c r="EA18" s="1">
        <v>1</v>
      </c>
      <c r="EB18" s="52">
        <v>51</v>
      </c>
      <c r="EC18" s="1"/>
      <c r="ED18" s="1"/>
      <c r="EE18" s="1"/>
      <c r="EF18" s="52">
        <v>54</v>
      </c>
      <c r="EG18" s="1"/>
      <c r="EH18" s="1"/>
      <c r="EI18" s="1">
        <v>1</v>
      </c>
      <c r="EJ18" s="1"/>
      <c r="EK18" s="1">
        <v>2</v>
      </c>
      <c r="EL18" s="1">
        <v>1</v>
      </c>
      <c r="EM18" s="1">
        <v>1</v>
      </c>
      <c r="EN18" s="1">
        <v>2</v>
      </c>
      <c r="EO18" s="1">
        <v>2</v>
      </c>
      <c r="EP18" s="1">
        <v>1</v>
      </c>
      <c r="EQ18" s="1">
        <v>2</v>
      </c>
      <c r="ER18" s="1">
        <v>4</v>
      </c>
      <c r="ES18" s="1">
        <v>2</v>
      </c>
      <c r="ET18" s="1"/>
      <c r="EU18" s="1"/>
      <c r="EV18" s="1"/>
      <c r="EW18" s="1">
        <v>2</v>
      </c>
      <c r="EX18" s="1">
        <v>2</v>
      </c>
      <c r="EY18" s="1"/>
      <c r="EZ18" s="1">
        <v>1</v>
      </c>
      <c r="FA18" s="1">
        <v>2</v>
      </c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IW18" s="1">
        <f t="shared" si="0"/>
        <v>390</v>
      </c>
      <c r="IX18" s="5">
        <v>22.46</v>
      </c>
      <c r="IY18" s="5">
        <f t="shared" si="1"/>
        <v>8759.4</v>
      </c>
      <c r="IZ18" s="5">
        <v>29.95</v>
      </c>
      <c r="JA18" s="5">
        <f t="shared" si="2"/>
        <v>11680.5</v>
      </c>
    </row>
    <row r="19" spans="1:261">
      <c r="A19" s="16"/>
      <c r="B19" s="17"/>
      <c r="C19" s="4" t="s">
        <v>60</v>
      </c>
      <c r="D19" s="4" t="s">
        <v>83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>
        <v>3</v>
      </c>
      <c r="BF19" s="1"/>
      <c r="BG19" s="1"/>
      <c r="BH19" s="1">
        <v>6</v>
      </c>
      <c r="BI19" s="1">
        <v>2</v>
      </c>
      <c r="BJ19" s="1">
        <v>34</v>
      </c>
      <c r="BK19" s="1">
        <v>4</v>
      </c>
      <c r="BL19" s="1">
        <v>2</v>
      </c>
      <c r="BM19" s="1">
        <v>2</v>
      </c>
      <c r="BN19" s="1"/>
      <c r="BO19" s="1">
        <v>3</v>
      </c>
      <c r="BP19" s="1"/>
      <c r="BQ19" s="1"/>
      <c r="BR19" s="1">
        <v>2</v>
      </c>
      <c r="BS19" s="1">
        <v>2</v>
      </c>
      <c r="BT19" s="1">
        <v>2</v>
      </c>
      <c r="BU19" s="1">
        <v>5</v>
      </c>
      <c r="BV19" s="1">
        <v>15</v>
      </c>
      <c r="BW19" s="1">
        <v>87</v>
      </c>
      <c r="BX19" s="1">
        <v>5</v>
      </c>
      <c r="BY19" s="1">
        <v>2</v>
      </c>
      <c r="BZ19" s="1">
        <v>4</v>
      </c>
      <c r="CA19" s="1">
        <v>1</v>
      </c>
      <c r="CB19" s="1">
        <v>84</v>
      </c>
      <c r="CC19" s="1">
        <v>1</v>
      </c>
      <c r="CD19" s="1">
        <v>4</v>
      </c>
      <c r="CE19" s="1">
        <v>6</v>
      </c>
      <c r="CF19" s="1">
        <v>3</v>
      </c>
      <c r="CG19" s="1">
        <v>2</v>
      </c>
      <c r="CH19" s="1">
        <v>6</v>
      </c>
      <c r="CI19" s="1">
        <v>2</v>
      </c>
      <c r="CJ19" s="1">
        <v>2</v>
      </c>
      <c r="CK19" s="1">
        <v>4</v>
      </c>
      <c r="CL19" s="1">
        <v>1</v>
      </c>
      <c r="CM19" s="1"/>
      <c r="CN19" s="1">
        <v>2</v>
      </c>
      <c r="CO19" s="1"/>
      <c r="CP19" s="1">
        <v>8</v>
      </c>
      <c r="CQ19" s="1">
        <v>4</v>
      </c>
      <c r="CR19" s="1">
        <v>9</v>
      </c>
      <c r="CS19" s="1">
        <v>4</v>
      </c>
      <c r="CT19" s="1">
        <v>2</v>
      </c>
      <c r="CU19" s="1">
        <v>4</v>
      </c>
      <c r="CV19" s="1">
        <v>1</v>
      </c>
      <c r="CW19" s="1">
        <v>7</v>
      </c>
      <c r="CX19" s="1"/>
      <c r="CY19" s="1">
        <v>2</v>
      </c>
      <c r="CZ19" s="1">
        <v>1</v>
      </c>
      <c r="DA19" s="1">
        <v>1</v>
      </c>
      <c r="DB19" s="1">
        <v>1</v>
      </c>
      <c r="DC19" s="1">
        <v>5</v>
      </c>
      <c r="DD19" s="1">
        <v>4</v>
      </c>
      <c r="DE19" s="1">
        <v>1</v>
      </c>
      <c r="DF19" s="1"/>
      <c r="DG19" s="1">
        <v>5</v>
      </c>
      <c r="DH19" s="1">
        <v>1</v>
      </c>
      <c r="DI19" s="1">
        <v>1</v>
      </c>
      <c r="DJ19" s="1">
        <v>3</v>
      </c>
      <c r="DK19" s="1">
        <v>1</v>
      </c>
      <c r="DL19" s="1"/>
      <c r="DM19" s="1">
        <v>3</v>
      </c>
      <c r="DN19" s="1">
        <v>1</v>
      </c>
      <c r="DO19" s="1">
        <v>2</v>
      </c>
      <c r="DP19" s="1">
        <v>2</v>
      </c>
      <c r="DQ19" s="1"/>
      <c r="DR19" s="1"/>
      <c r="DS19" s="1">
        <v>1</v>
      </c>
      <c r="DT19" s="1">
        <v>2</v>
      </c>
      <c r="DU19" s="1">
        <v>3</v>
      </c>
      <c r="DV19" s="1">
        <v>1</v>
      </c>
      <c r="DW19" s="1"/>
      <c r="DX19" s="1">
        <v>1</v>
      </c>
      <c r="DY19" s="1">
        <v>3</v>
      </c>
      <c r="DZ19" s="1">
        <v>1</v>
      </c>
      <c r="EA19" s="1"/>
      <c r="EB19" s="52">
        <v>78</v>
      </c>
      <c r="EC19" s="1">
        <v>1</v>
      </c>
      <c r="ED19" s="1">
        <v>2</v>
      </c>
      <c r="EE19" s="1">
        <v>1</v>
      </c>
      <c r="EF19" s="52">
        <v>99</v>
      </c>
      <c r="EG19" s="1"/>
      <c r="EH19" s="1"/>
      <c r="EI19" s="1">
        <v>1</v>
      </c>
      <c r="EJ19" s="1"/>
      <c r="EK19" s="1">
        <v>1</v>
      </c>
      <c r="EL19" s="1"/>
      <c r="EM19" s="1">
        <v>2</v>
      </c>
      <c r="EN19" s="1">
        <v>2</v>
      </c>
      <c r="EO19" s="1">
        <v>3</v>
      </c>
      <c r="EP19" s="1">
        <v>7</v>
      </c>
      <c r="EQ19" s="1">
        <v>7</v>
      </c>
      <c r="ER19" s="1">
        <v>7</v>
      </c>
      <c r="ES19" s="1">
        <v>2</v>
      </c>
      <c r="ET19" s="1">
        <v>4</v>
      </c>
      <c r="EU19" s="1">
        <v>2</v>
      </c>
      <c r="EV19" s="1">
        <v>5</v>
      </c>
      <c r="EW19" s="1">
        <v>1</v>
      </c>
      <c r="EX19" s="1">
        <v>7</v>
      </c>
      <c r="EY19" s="1">
        <v>3</v>
      </c>
      <c r="EZ19" s="1">
        <v>1</v>
      </c>
      <c r="FA19" s="1">
        <v>1</v>
      </c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IW19" s="1">
        <f t="shared" si="0"/>
        <v>620</v>
      </c>
      <c r="IX19" s="5">
        <v>22.46</v>
      </c>
      <c r="IY19" s="5">
        <f t="shared" si="1"/>
        <v>13925.2</v>
      </c>
      <c r="IZ19" s="5">
        <v>29.95</v>
      </c>
      <c r="JA19" s="5">
        <f t="shared" si="2"/>
        <v>18569</v>
      </c>
    </row>
    <row r="20" spans="1:261">
      <c r="A20" s="16"/>
      <c r="B20" s="17"/>
      <c r="C20" s="4" t="s">
        <v>61</v>
      </c>
      <c r="D20" s="4" t="s">
        <v>78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>
        <v>1</v>
      </c>
      <c r="BK20" s="1"/>
      <c r="BL20" s="1"/>
      <c r="BM20" s="1"/>
      <c r="BN20" s="1"/>
      <c r="BO20" s="1"/>
      <c r="BP20" s="1"/>
      <c r="BQ20" s="1">
        <v>1</v>
      </c>
      <c r="BR20" s="1"/>
      <c r="BS20" s="1"/>
      <c r="BT20" s="1"/>
      <c r="BU20" s="1">
        <v>1</v>
      </c>
      <c r="BV20" s="1"/>
      <c r="BW20" s="1"/>
      <c r="BX20" s="1"/>
      <c r="BY20" s="1"/>
      <c r="BZ20" s="1"/>
      <c r="CA20" s="1"/>
      <c r="CB20" s="1">
        <v>1</v>
      </c>
      <c r="CC20" s="1">
        <v>1</v>
      </c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IW20" s="1">
        <f t="shared" si="0"/>
        <v>5</v>
      </c>
      <c r="IX20" s="5">
        <v>11.2</v>
      </c>
      <c r="IY20" s="5">
        <f t="shared" si="1"/>
        <v>56</v>
      </c>
      <c r="IZ20" s="5">
        <v>14.95</v>
      </c>
      <c r="JA20" s="5">
        <f t="shared" si="2"/>
        <v>74.75</v>
      </c>
    </row>
    <row r="21" spans="1:261">
      <c r="A21" s="16"/>
      <c r="B21" s="17"/>
      <c r="C21" s="4" t="s">
        <v>62</v>
      </c>
      <c r="D21" s="4" t="s">
        <v>65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>
        <v>3</v>
      </c>
      <c r="BF21" s="1">
        <v>4</v>
      </c>
      <c r="BG21" s="1">
        <v>1</v>
      </c>
      <c r="BH21" s="1">
        <v>2</v>
      </c>
      <c r="BI21" s="1">
        <v>5</v>
      </c>
      <c r="BJ21" s="1">
        <v>3</v>
      </c>
      <c r="BK21" s="1">
        <v>2</v>
      </c>
      <c r="BL21" s="1">
        <v>3</v>
      </c>
      <c r="BM21" s="1">
        <v>1</v>
      </c>
      <c r="BN21" s="1">
        <v>4</v>
      </c>
      <c r="BO21" s="1">
        <v>2</v>
      </c>
      <c r="BP21" s="1">
        <v>3</v>
      </c>
      <c r="BQ21" s="1">
        <v>1</v>
      </c>
      <c r="BR21" s="1">
        <v>2</v>
      </c>
      <c r="BS21" s="1"/>
      <c r="BT21" s="1">
        <v>6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3</v>
      </c>
      <c r="CB21" s="1">
        <v>7</v>
      </c>
      <c r="CC21" s="1">
        <v>2</v>
      </c>
      <c r="CD21" s="1">
        <v>2</v>
      </c>
      <c r="CE21" s="1">
        <v>3</v>
      </c>
      <c r="CF21" s="1">
        <v>3</v>
      </c>
      <c r="CG21" s="1"/>
      <c r="CH21" s="1">
        <v>2</v>
      </c>
      <c r="CI21" s="1"/>
      <c r="CJ21" s="1">
        <v>2</v>
      </c>
      <c r="CK21" s="1">
        <v>9</v>
      </c>
      <c r="CL21" s="1">
        <v>4</v>
      </c>
      <c r="CM21" s="1">
        <v>1</v>
      </c>
      <c r="CN21" s="1">
        <v>2</v>
      </c>
      <c r="CO21" s="1"/>
      <c r="CP21" s="1"/>
      <c r="CQ21" s="1">
        <v>6</v>
      </c>
      <c r="CR21" s="1">
        <v>2</v>
      </c>
      <c r="CS21" s="1">
        <v>6</v>
      </c>
      <c r="CT21" s="1">
        <v>7</v>
      </c>
      <c r="CU21" s="1">
        <v>6</v>
      </c>
      <c r="CV21" s="1">
        <v>6</v>
      </c>
      <c r="CW21" s="1">
        <v>8</v>
      </c>
      <c r="CX21" s="1">
        <v>9</v>
      </c>
      <c r="CY21" s="1">
        <v>2</v>
      </c>
      <c r="CZ21" s="1">
        <v>5</v>
      </c>
      <c r="DA21" s="1">
        <v>3</v>
      </c>
      <c r="DB21" s="1">
        <v>1</v>
      </c>
      <c r="DC21" s="1">
        <v>3</v>
      </c>
      <c r="DD21" s="1">
        <v>4</v>
      </c>
      <c r="DE21" s="1">
        <v>5</v>
      </c>
      <c r="DF21" s="1">
        <v>2</v>
      </c>
      <c r="DG21" s="1">
        <v>3</v>
      </c>
      <c r="DH21" s="1">
        <v>3</v>
      </c>
      <c r="DI21" s="1">
        <v>1</v>
      </c>
      <c r="DJ21" s="1">
        <v>1</v>
      </c>
      <c r="DK21" s="1">
        <v>4</v>
      </c>
      <c r="DL21" s="1">
        <v>5</v>
      </c>
      <c r="DM21" s="1">
        <v>8</v>
      </c>
      <c r="DN21" s="1">
        <v>5</v>
      </c>
      <c r="DO21" s="1">
        <v>11</v>
      </c>
      <c r="DP21" s="1">
        <v>1</v>
      </c>
      <c r="DQ21" s="1">
        <v>6</v>
      </c>
      <c r="DR21" s="1">
        <v>4</v>
      </c>
      <c r="DS21" s="1">
        <v>2</v>
      </c>
      <c r="DT21" s="1">
        <v>7</v>
      </c>
      <c r="DU21" s="1">
        <v>1</v>
      </c>
      <c r="DV21" s="1">
        <v>6</v>
      </c>
      <c r="DW21" s="1">
        <v>3</v>
      </c>
      <c r="DX21" s="1">
        <v>4</v>
      </c>
      <c r="DY21" s="1">
        <v>3</v>
      </c>
      <c r="DZ21" s="1">
        <v>2</v>
      </c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IW21" s="1">
        <f t="shared" si="0"/>
        <v>255</v>
      </c>
      <c r="IX21" s="5">
        <v>18.71</v>
      </c>
      <c r="IY21" s="5">
        <f t="shared" si="1"/>
        <v>4771.05</v>
      </c>
      <c r="IZ21" s="5">
        <v>24.95</v>
      </c>
      <c r="JA21" s="5">
        <f t="shared" si="2"/>
        <v>6362.25</v>
      </c>
    </row>
    <row r="22" spans="1:261">
      <c r="A22" s="16"/>
      <c r="B22" s="17"/>
      <c r="C22" s="4" t="s">
        <v>63</v>
      </c>
      <c r="D22" s="4" t="s">
        <v>77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>
        <v>1</v>
      </c>
      <c r="BF22" s="1"/>
      <c r="BG22" s="1">
        <v>1</v>
      </c>
      <c r="BH22" s="1">
        <v>1</v>
      </c>
      <c r="BI22" s="1">
        <v>2</v>
      </c>
      <c r="BJ22" s="1">
        <v>1</v>
      </c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>
        <v>1</v>
      </c>
      <c r="BW22" s="1">
        <v>4</v>
      </c>
      <c r="BX22" s="1"/>
      <c r="BY22" s="1"/>
      <c r="BZ22" s="1"/>
      <c r="CA22" s="1">
        <v>2</v>
      </c>
      <c r="CB22" s="1">
        <v>4</v>
      </c>
      <c r="CC22" s="1"/>
      <c r="CD22" s="1"/>
      <c r="CE22" s="1">
        <v>1</v>
      </c>
      <c r="CF22" s="1">
        <v>1</v>
      </c>
      <c r="CG22" s="1">
        <v>1</v>
      </c>
      <c r="CH22" s="1">
        <v>3</v>
      </c>
      <c r="CI22" s="1"/>
      <c r="CJ22" s="1">
        <v>2</v>
      </c>
      <c r="CK22" s="1"/>
      <c r="CL22" s="1">
        <v>1</v>
      </c>
      <c r="CM22" s="1"/>
      <c r="CN22" s="1">
        <v>3</v>
      </c>
      <c r="CO22" s="1"/>
      <c r="CP22" s="1">
        <v>3</v>
      </c>
      <c r="CQ22" s="1"/>
      <c r="CR22" s="1">
        <v>6</v>
      </c>
      <c r="CS22" s="1">
        <v>5</v>
      </c>
      <c r="CT22" s="1">
        <v>3</v>
      </c>
      <c r="CU22" s="1"/>
      <c r="CV22" s="1"/>
      <c r="CW22" s="1">
        <v>1</v>
      </c>
      <c r="CX22" s="1">
        <v>1</v>
      </c>
      <c r="CY22" s="1"/>
      <c r="CZ22" s="1">
        <v>1</v>
      </c>
      <c r="DA22" s="1">
        <v>2</v>
      </c>
      <c r="DB22" s="1"/>
      <c r="DC22" s="1"/>
      <c r="DD22" s="1"/>
      <c r="DE22" s="1"/>
      <c r="DF22" s="1"/>
      <c r="DG22" s="1"/>
      <c r="DH22" s="1"/>
      <c r="DI22" s="1">
        <v>4</v>
      </c>
      <c r="DJ22" s="1">
        <v>1</v>
      </c>
      <c r="DK22" s="1"/>
      <c r="DL22" s="1"/>
      <c r="DM22" s="1"/>
      <c r="DN22" s="1"/>
      <c r="DO22" s="1">
        <v>1</v>
      </c>
      <c r="DP22" s="1"/>
      <c r="DQ22" s="1"/>
      <c r="DR22" s="1"/>
      <c r="DS22" s="1"/>
      <c r="DT22" s="1"/>
      <c r="DU22" s="1"/>
      <c r="DV22" s="1"/>
      <c r="DW22" s="1">
        <v>2</v>
      </c>
      <c r="DX22" s="1">
        <v>4</v>
      </c>
      <c r="DY22" s="1"/>
      <c r="DZ22" s="1">
        <v>4</v>
      </c>
      <c r="EA22" s="1">
        <v>1</v>
      </c>
      <c r="EB22" s="1"/>
      <c r="EC22" s="1">
        <v>2</v>
      </c>
      <c r="ED22" s="1"/>
      <c r="EE22" s="1"/>
      <c r="EF22" s="1">
        <v>1</v>
      </c>
      <c r="EG22" s="1">
        <v>2</v>
      </c>
      <c r="EH22" s="1">
        <v>1</v>
      </c>
      <c r="EI22" s="1"/>
      <c r="EJ22" s="1"/>
      <c r="EK22" s="1"/>
      <c r="EL22" s="1">
        <v>1</v>
      </c>
      <c r="EM22" s="1"/>
      <c r="EN22" s="1"/>
      <c r="EO22" s="1">
        <v>1</v>
      </c>
      <c r="EP22" s="1"/>
      <c r="EQ22" s="1"/>
      <c r="ER22" s="1"/>
      <c r="ES22" s="1"/>
      <c r="ET22" s="1"/>
      <c r="EU22" s="1"/>
      <c r="EV22" s="1"/>
      <c r="EW22" s="1">
        <v>1</v>
      </c>
      <c r="EX22" s="1"/>
      <c r="EY22" s="1">
        <v>6</v>
      </c>
      <c r="EZ22" s="1">
        <v>1</v>
      </c>
      <c r="FA22" s="1">
        <v>2</v>
      </c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IW22" s="1">
        <f t="shared" si="0"/>
        <v>86</v>
      </c>
      <c r="IX22" s="5">
        <v>7.46</v>
      </c>
      <c r="IY22" s="5">
        <f t="shared" si="1"/>
        <v>641.55999999999995</v>
      </c>
      <c r="IZ22" s="5">
        <v>9.9499999999999993</v>
      </c>
      <c r="JA22" s="5">
        <f t="shared" si="2"/>
        <v>855.69999999999993</v>
      </c>
    </row>
    <row r="23" spans="1:261">
      <c r="A23" s="16"/>
      <c r="B23" s="17"/>
      <c r="C23" s="4" t="s">
        <v>64</v>
      </c>
      <c r="D23" s="4" t="s">
        <v>76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>
        <v>1</v>
      </c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>
        <v>2</v>
      </c>
      <c r="BV23" s="1">
        <v>1</v>
      </c>
      <c r="BW23" s="1">
        <v>1</v>
      </c>
      <c r="BX23" s="1"/>
      <c r="BY23" s="1"/>
      <c r="BZ23" s="1">
        <v>2</v>
      </c>
      <c r="CA23" s="1"/>
      <c r="CB23" s="1">
        <v>1</v>
      </c>
      <c r="CC23" s="1">
        <v>1</v>
      </c>
      <c r="CD23" s="1"/>
      <c r="CE23" s="1">
        <v>1</v>
      </c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>
        <v>2</v>
      </c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IW23" s="1">
        <f t="shared" si="0"/>
        <v>12</v>
      </c>
      <c r="IX23" s="5">
        <v>7.46</v>
      </c>
      <c r="IY23" s="5">
        <f t="shared" si="1"/>
        <v>89.52</v>
      </c>
      <c r="IZ23" s="5">
        <v>9.9499999999999993</v>
      </c>
      <c r="JA23" s="5">
        <f t="shared" si="2"/>
        <v>119.39999999999999</v>
      </c>
    </row>
    <row r="24" spans="1:261">
      <c r="A24" s="16"/>
      <c r="B24" s="17"/>
      <c r="C24" s="4" t="s">
        <v>94</v>
      </c>
      <c r="D24" s="4" t="s">
        <v>105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>
        <v>2</v>
      </c>
      <c r="BK24" s="1">
        <v>1</v>
      </c>
      <c r="BL24" s="52">
        <v>214</v>
      </c>
      <c r="BM24" s="1">
        <v>4</v>
      </c>
      <c r="BN24" s="1">
        <v>6</v>
      </c>
      <c r="BO24" s="1">
        <v>6</v>
      </c>
      <c r="BP24" s="1">
        <v>3</v>
      </c>
      <c r="BQ24" s="1">
        <v>4</v>
      </c>
      <c r="BR24" s="1">
        <v>6</v>
      </c>
      <c r="BS24" s="1">
        <v>4</v>
      </c>
      <c r="BT24" s="52">
        <v>71</v>
      </c>
      <c r="BU24" s="1">
        <v>10</v>
      </c>
      <c r="BV24" s="1">
        <v>6</v>
      </c>
      <c r="BW24" s="1">
        <v>14</v>
      </c>
      <c r="BX24" s="1">
        <v>11</v>
      </c>
      <c r="BY24" s="1">
        <v>6</v>
      </c>
      <c r="BZ24" s="1">
        <v>6</v>
      </c>
      <c r="CA24" s="1">
        <v>7</v>
      </c>
      <c r="CB24" s="1">
        <v>4</v>
      </c>
      <c r="CC24" s="1">
        <v>8</v>
      </c>
      <c r="CD24" s="1">
        <v>6</v>
      </c>
      <c r="CE24" s="1">
        <v>8</v>
      </c>
      <c r="CF24" s="1">
        <v>5</v>
      </c>
      <c r="CG24" s="1">
        <v>8</v>
      </c>
      <c r="CH24" s="1">
        <v>6</v>
      </c>
      <c r="CI24" s="1">
        <v>7</v>
      </c>
      <c r="CJ24" s="1">
        <v>10</v>
      </c>
      <c r="CK24" s="1">
        <v>6</v>
      </c>
      <c r="CL24" s="1">
        <v>7</v>
      </c>
      <c r="CM24" s="1">
        <v>6</v>
      </c>
      <c r="CN24" s="1">
        <v>20</v>
      </c>
      <c r="CO24" s="1">
        <v>11</v>
      </c>
      <c r="CP24" s="1">
        <v>32</v>
      </c>
      <c r="CQ24" s="1">
        <v>54</v>
      </c>
      <c r="CR24" s="1">
        <v>131</v>
      </c>
      <c r="CS24" s="1">
        <v>221</v>
      </c>
      <c r="CT24" s="1">
        <v>18</v>
      </c>
      <c r="CU24" s="1">
        <v>15</v>
      </c>
      <c r="CV24" s="1">
        <v>14</v>
      </c>
      <c r="CW24" s="1">
        <v>14</v>
      </c>
      <c r="CX24" s="1">
        <v>5</v>
      </c>
      <c r="CY24" s="1">
        <v>9</v>
      </c>
      <c r="CZ24" s="1">
        <v>9</v>
      </c>
      <c r="DA24" s="1">
        <v>11</v>
      </c>
      <c r="DB24" s="1">
        <v>6</v>
      </c>
      <c r="DC24" s="1">
        <v>4</v>
      </c>
      <c r="DD24" s="1">
        <v>4</v>
      </c>
      <c r="DE24" s="1">
        <v>7</v>
      </c>
      <c r="DF24" s="1">
        <v>9</v>
      </c>
      <c r="DG24" s="1">
        <v>5</v>
      </c>
      <c r="DH24" s="1">
        <v>5</v>
      </c>
      <c r="DI24" s="1">
        <v>1</v>
      </c>
      <c r="DJ24" s="1">
        <v>1</v>
      </c>
      <c r="DK24" s="1"/>
      <c r="DL24" s="1"/>
      <c r="DM24" s="1">
        <v>5</v>
      </c>
      <c r="DN24" s="1">
        <v>5</v>
      </c>
      <c r="DO24" s="1"/>
      <c r="DP24" s="1">
        <v>1</v>
      </c>
      <c r="DQ24" s="1">
        <v>2</v>
      </c>
      <c r="DR24" s="1">
        <v>9</v>
      </c>
      <c r="DS24" s="1">
        <v>4</v>
      </c>
      <c r="DT24" s="1">
        <v>1</v>
      </c>
      <c r="DU24" s="1"/>
      <c r="DV24" s="1">
        <v>2</v>
      </c>
      <c r="DW24" s="1"/>
      <c r="DX24" s="1">
        <v>2</v>
      </c>
      <c r="DY24" s="1">
        <v>4</v>
      </c>
      <c r="DZ24" s="1">
        <v>2</v>
      </c>
      <c r="EA24" s="1">
        <v>1</v>
      </c>
      <c r="EB24" s="1">
        <v>6</v>
      </c>
      <c r="EC24" s="1">
        <v>3</v>
      </c>
      <c r="ED24" s="1">
        <v>4</v>
      </c>
      <c r="EE24" s="1">
        <v>2</v>
      </c>
      <c r="EF24" s="1"/>
      <c r="EG24" s="1">
        <v>1</v>
      </c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>
        <v>10</v>
      </c>
      <c r="ES24" s="1">
        <v>6</v>
      </c>
      <c r="ET24" s="1"/>
      <c r="EU24" s="1">
        <v>2</v>
      </c>
      <c r="EV24" s="1">
        <v>5</v>
      </c>
      <c r="EW24" s="1">
        <v>6</v>
      </c>
      <c r="EX24" s="1"/>
      <c r="EY24" s="1">
        <v>4</v>
      </c>
      <c r="EZ24" s="1">
        <v>3</v>
      </c>
      <c r="FA24" s="1">
        <v>3</v>
      </c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IW24" s="1">
        <f t="shared" si="0"/>
        <v>1161</v>
      </c>
      <c r="IX24" s="5">
        <v>39.96</v>
      </c>
      <c r="IY24" s="5">
        <f t="shared" si="1"/>
        <v>46393.56</v>
      </c>
      <c r="IZ24" s="5">
        <v>49.95</v>
      </c>
      <c r="JA24" s="5">
        <f t="shared" si="2"/>
        <v>57991.950000000004</v>
      </c>
    </row>
    <row r="25" spans="1:261">
      <c r="A25" s="16"/>
      <c r="B25" s="17"/>
      <c r="C25" s="4" t="s">
        <v>102</v>
      </c>
      <c r="D25" s="4" t="s">
        <v>113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>
        <v>10</v>
      </c>
      <c r="BL25" s="1">
        <v>15</v>
      </c>
      <c r="BM25" s="1">
        <v>3</v>
      </c>
      <c r="BN25" s="1">
        <v>1</v>
      </c>
      <c r="BO25" s="1">
        <v>4</v>
      </c>
      <c r="BP25" s="1">
        <v>8</v>
      </c>
      <c r="BQ25" s="1">
        <v>4</v>
      </c>
      <c r="BR25" s="1">
        <v>6</v>
      </c>
      <c r="BS25" s="1">
        <v>5</v>
      </c>
      <c r="BT25" s="1">
        <v>3</v>
      </c>
      <c r="BU25" s="1">
        <v>3</v>
      </c>
      <c r="BV25" s="1">
        <v>5</v>
      </c>
      <c r="BW25" s="1">
        <v>3</v>
      </c>
      <c r="BX25" s="1">
        <v>4</v>
      </c>
      <c r="BY25" s="1">
        <v>2</v>
      </c>
      <c r="BZ25" s="1">
        <v>3</v>
      </c>
      <c r="CA25" s="1">
        <v>3</v>
      </c>
      <c r="CB25" s="1">
        <v>5</v>
      </c>
      <c r="CC25" s="1"/>
      <c r="CD25" s="1">
        <v>5</v>
      </c>
      <c r="CE25" s="1">
        <v>2</v>
      </c>
      <c r="CF25" s="1">
        <v>1</v>
      </c>
      <c r="CG25" s="1">
        <v>2</v>
      </c>
      <c r="CH25" s="1">
        <v>4</v>
      </c>
      <c r="CI25" s="1">
        <v>3</v>
      </c>
      <c r="CJ25" s="1">
        <v>5</v>
      </c>
      <c r="CK25" s="1">
        <v>5</v>
      </c>
      <c r="CL25" s="1">
        <v>2</v>
      </c>
      <c r="CM25" s="1">
        <v>7</v>
      </c>
      <c r="CN25" s="1">
        <v>3</v>
      </c>
      <c r="CO25" s="1">
        <v>3</v>
      </c>
      <c r="CP25" s="1">
        <v>7</v>
      </c>
      <c r="CQ25" s="1">
        <v>2</v>
      </c>
      <c r="CR25" s="1">
        <v>14</v>
      </c>
      <c r="CS25" s="1">
        <v>25</v>
      </c>
      <c r="CT25" s="1">
        <v>14</v>
      </c>
      <c r="CU25" s="1">
        <v>8</v>
      </c>
      <c r="CV25" s="1">
        <v>8</v>
      </c>
      <c r="CW25" s="1">
        <v>3</v>
      </c>
      <c r="CX25" s="1">
        <v>3</v>
      </c>
      <c r="CY25" s="1">
        <v>5</v>
      </c>
      <c r="CZ25" s="1">
        <v>4</v>
      </c>
      <c r="DA25" s="1">
        <v>1</v>
      </c>
      <c r="DB25" s="1">
        <v>6</v>
      </c>
      <c r="DC25" s="1">
        <v>10</v>
      </c>
      <c r="DD25" s="1">
        <v>6</v>
      </c>
      <c r="DE25" s="1">
        <v>3</v>
      </c>
      <c r="DF25" s="1">
        <v>6</v>
      </c>
      <c r="DG25" s="1">
        <v>2</v>
      </c>
      <c r="DH25" s="1">
        <v>1</v>
      </c>
      <c r="DI25" s="1">
        <v>9</v>
      </c>
      <c r="DJ25" s="1">
        <v>3</v>
      </c>
      <c r="DK25" s="1">
        <v>3</v>
      </c>
      <c r="DL25" s="1">
        <v>4</v>
      </c>
      <c r="DM25" s="1">
        <v>2</v>
      </c>
      <c r="DN25" s="1">
        <v>4</v>
      </c>
      <c r="DO25" s="1">
        <v>2</v>
      </c>
      <c r="DP25" s="1">
        <v>1</v>
      </c>
      <c r="DQ25" s="1"/>
      <c r="DR25" s="1"/>
      <c r="DS25" s="1">
        <v>2</v>
      </c>
      <c r="DT25" s="1">
        <v>5</v>
      </c>
      <c r="DU25" s="1">
        <v>1</v>
      </c>
      <c r="DV25" s="1">
        <v>1</v>
      </c>
      <c r="DW25" s="1"/>
      <c r="DX25" s="1">
        <v>1</v>
      </c>
      <c r="DY25" s="1">
        <v>5</v>
      </c>
      <c r="DZ25" s="1">
        <v>2</v>
      </c>
      <c r="EA25" s="1">
        <v>4</v>
      </c>
      <c r="EB25" s="1">
        <v>5</v>
      </c>
      <c r="EC25" s="1">
        <v>1</v>
      </c>
      <c r="ED25" s="1">
        <v>2</v>
      </c>
      <c r="EE25" s="1">
        <v>1</v>
      </c>
      <c r="EF25" s="1">
        <v>2</v>
      </c>
      <c r="EG25" s="1">
        <v>2</v>
      </c>
      <c r="EH25" s="1"/>
      <c r="EI25" s="1">
        <v>3</v>
      </c>
      <c r="EJ25" s="1">
        <v>4</v>
      </c>
      <c r="EK25" s="1">
        <v>1</v>
      </c>
      <c r="EL25" s="1">
        <v>3</v>
      </c>
      <c r="EM25" s="1">
        <v>3</v>
      </c>
      <c r="EN25" s="1">
        <v>3</v>
      </c>
      <c r="EO25" s="1"/>
      <c r="EP25" s="1">
        <v>3</v>
      </c>
      <c r="EQ25" s="1"/>
      <c r="ER25" s="1">
        <v>1</v>
      </c>
      <c r="ES25" s="1">
        <v>14</v>
      </c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IW25" s="1">
        <f t="shared" si="0"/>
        <v>354</v>
      </c>
      <c r="IX25" s="5">
        <v>95.96</v>
      </c>
      <c r="IY25" s="5">
        <f t="shared" si="1"/>
        <v>33969.839999999997</v>
      </c>
      <c r="IZ25" s="5">
        <v>119.95</v>
      </c>
      <c r="JA25" s="5">
        <f t="shared" si="2"/>
        <v>42462.3</v>
      </c>
    </row>
    <row r="26" spans="1:261">
      <c r="A26" s="16"/>
      <c r="B26" s="17"/>
      <c r="C26" s="4" t="s">
        <v>98</v>
      </c>
      <c r="D26" s="4" t="s">
        <v>109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>
        <v>1</v>
      </c>
      <c r="BL26" s="1">
        <v>7</v>
      </c>
      <c r="BM26" s="1">
        <v>2</v>
      </c>
      <c r="BN26" s="1">
        <v>3</v>
      </c>
      <c r="BO26" s="1">
        <v>10</v>
      </c>
      <c r="BP26" s="1">
        <v>4</v>
      </c>
      <c r="BQ26" s="1">
        <v>8</v>
      </c>
      <c r="BR26" s="1">
        <v>4</v>
      </c>
      <c r="BS26" s="1">
        <v>5</v>
      </c>
      <c r="BT26" s="1">
        <v>3</v>
      </c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>
        <v>2</v>
      </c>
      <c r="CI26" s="1">
        <v>1</v>
      </c>
      <c r="CJ26" s="1">
        <v>3</v>
      </c>
      <c r="CK26" s="1">
        <v>1</v>
      </c>
      <c r="CL26" s="1">
        <v>3</v>
      </c>
      <c r="CM26" s="1">
        <v>4</v>
      </c>
      <c r="CN26" s="1">
        <v>7</v>
      </c>
      <c r="CO26" s="1">
        <v>5</v>
      </c>
      <c r="CP26" s="1">
        <v>14</v>
      </c>
      <c r="CQ26" s="1">
        <v>26</v>
      </c>
      <c r="CR26" s="1">
        <v>23</v>
      </c>
      <c r="CS26" s="1">
        <v>30</v>
      </c>
      <c r="CT26" s="1">
        <v>10</v>
      </c>
      <c r="CU26" s="1">
        <v>7</v>
      </c>
      <c r="CV26" s="1">
        <v>6</v>
      </c>
      <c r="CW26" s="1">
        <v>7</v>
      </c>
      <c r="CX26" s="1">
        <v>5</v>
      </c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>
        <v>1</v>
      </c>
      <c r="DZ26" s="1">
        <v>5</v>
      </c>
      <c r="EA26" s="1">
        <v>7</v>
      </c>
      <c r="EB26" s="1">
        <v>3</v>
      </c>
      <c r="EC26" s="1">
        <v>2</v>
      </c>
      <c r="ED26" s="1"/>
      <c r="EE26" s="1"/>
      <c r="EF26" s="1">
        <v>1</v>
      </c>
      <c r="EG26" s="1">
        <v>3</v>
      </c>
      <c r="EH26" s="1">
        <v>4</v>
      </c>
      <c r="EI26" s="1"/>
      <c r="EJ26" s="1"/>
      <c r="EK26" s="1">
        <v>1</v>
      </c>
      <c r="EL26" s="1">
        <v>3</v>
      </c>
      <c r="EM26" s="1">
        <v>1</v>
      </c>
      <c r="EN26" s="1">
        <v>1</v>
      </c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IW26" s="1">
        <f t="shared" si="0"/>
        <v>233</v>
      </c>
      <c r="IX26" s="5">
        <v>63.96</v>
      </c>
      <c r="IY26" s="5">
        <f t="shared" si="1"/>
        <v>14902.68</v>
      </c>
      <c r="IZ26" s="5">
        <v>79.95</v>
      </c>
      <c r="JA26" s="5">
        <f t="shared" si="2"/>
        <v>18628.350000000002</v>
      </c>
    </row>
    <row r="27" spans="1:261">
      <c r="A27" s="16"/>
      <c r="B27" s="17"/>
      <c r="C27" s="4" t="s">
        <v>100</v>
      </c>
      <c r="D27" s="4" t="s">
        <v>111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>
        <v>6</v>
      </c>
      <c r="BL27" s="1">
        <v>7</v>
      </c>
      <c r="BM27" s="1">
        <v>4</v>
      </c>
      <c r="BN27" s="1">
        <v>4</v>
      </c>
      <c r="BO27" s="1">
        <v>5</v>
      </c>
      <c r="BP27" s="1">
        <v>2</v>
      </c>
      <c r="BQ27" s="1">
        <v>5</v>
      </c>
      <c r="BR27" s="1">
        <v>3</v>
      </c>
      <c r="BS27" s="1">
        <v>1</v>
      </c>
      <c r="BT27" s="1">
        <v>3</v>
      </c>
      <c r="BU27" s="1">
        <v>6</v>
      </c>
      <c r="BV27" s="1">
        <v>2</v>
      </c>
      <c r="BW27" s="1">
        <v>10</v>
      </c>
      <c r="BX27" s="1">
        <v>7</v>
      </c>
      <c r="BY27" s="1">
        <v>3</v>
      </c>
      <c r="BZ27" s="1">
        <v>3</v>
      </c>
      <c r="CA27" s="1">
        <v>7</v>
      </c>
      <c r="CB27" s="1">
        <v>6</v>
      </c>
      <c r="CC27" s="1">
        <v>7</v>
      </c>
      <c r="CD27" s="1">
        <v>8</v>
      </c>
      <c r="CE27" s="1">
        <v>3</v>
      </c>
      <c r="CF27" s="1">
        <v>3</v>
      </c>
      <c r="CG27" s="1">
        <v>3</v>
      </c>
      <c r="CH27" s="1">
        <v>5</v>
      </c>
      <c r="CI27" s="1">
        <v>4</v>
      </c>
      <c r="CJ27" s="1">
        <v>3</v>
      </c>
      <c r="CK27" s="1">
        <v>2</v>
      </c>
      <c r="CL27" s="1">
        <v>9</v>
      </c>
      <c r="CM27" s="1">
        <v>2</v>
      </c>
      <c r="CN27" s="1">
        <v>5</v>
      </c>
      <c r="CO27" s="1">
        <v>10</v>
      </c>
      <c r="CP27" s="1">
        <v>11</v>
      </c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IW27" s="1">
        <f t="shared" si="0"/>
        <v>159</v>
      </c>
      <c r="IX27" s="5">
        <v>31.96</v>
      </c>
      <c r="IY27" s="5">
        <f t="shared" si="1"/>
        <v>5081.6400000000003</v>
      </c>
      <c r="IZ27" s="5">
        <v>39.950000000000003</v>
      </c>
      <c r="JA27" s="5">
        <f t="shared" si="2"/>
        <v>6352.05</v>
      </c>
    </row>
    <row r="28" spans="1:261">
      <c r="A28" s="16"/>
      <c r="B28" s="17"/>
      <c r="C28" s="4" t="s">
        <v>103</v>
      </c>
      <c r="D28" s="4" t="s">
        <v>114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>
        <v>2</v>
      </c>
      <c r="BL28" s="1">
        <v>5</v>
      </c>
      <c r="BM28" s="1">
        <v>8</v>
      </c>
      <c r="BN28" s="1">
        <v>5</v>
      </c>
      <c r="BO28" s="1">
        <v>5</v>
      </c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>
        <v>3</v>
      </c>
      <c r="CJ28" s="1">
        <v>10</v>
      </c>
      <c r="CK28" s="1">
        <v>12</v>
      </c>
      <c r="CL28" s="1">
        <v>10</v>
      </c>
      <c r="CM28" s="1">
        <v>8</v>
      </c>
      <c r="CN28" s="1">
        <v>16</v>
      </c>
      <c r="CO28" s="1">
        <v>14</v>
      </c>
      <c r="CP28" s="1">
        <v>37</v>
      </c>
      <c r="CQ28" s="1">
        <v>45</v>
      </c>
      <c r="CR28" s="1">
        <v>70</v>
      </c>
      <c r="CS28" s="1">
        <v>68</v>
      </c>
      <c r="CT28" s="1"/>
      <c r="CU28" s="1"/>
      <c r="CV28" s="1">
        <v>3</v>
      </c>
      <c r="CW28" s="1">
        <v>9</v>
      </c>
      <c r="CX28" s="1">
        <v>5</v>
      </c>
      <c r="CY28" s="1">
        <v>1</v>
      </c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>
        <v>12</v>
      </c>
      <c r="DN28" s="1">
        <v>2</v>
      </c>
      <c r="DO28" s="1">
        <v>3</v>
      </c>
      <c r="DP28" s="1">
        <v>5</v>
      </c>
      <c r="DQ28" s="1">
        <v>7</v>
      </c>
      <c r="DR28" s="1">
        <v>6</v>
      </c>
      <c r="DS28" s="1">
        <v>6</v>
      </c>
      <c r="DT28" s="1">
        <v>7</v>
      </c>
      <c r="DU28" s="1">
        <v>7</v>
      </c>
      <c r="DV28" s="1">
        <v>4</v>
      </c>
      <c r="DW28" s="1">
        <v>7</v>
      </c>
      <c r="DX28" s="1">
        <v>6</v>
      </c>
      <c r="DY28" s="1">
        <v>7</v>
      </c>
      <c r="DZ28" s="1">
        <v>10</v>
      </c>
      <c r="EA28" s="1">
        <v>5</v>
      </c>
      <c r="EB28" s="1">
        <v>11</v>
      </c>
      <c r="EC28" s="1">
        <v>4</v>
      </c>
      <c r="ED28" s="1">
        <v>12</v>
      </c>
      <c r="EE28" s="1">
        <v>8</v>
      </c>
      <c r="EF28" s="1">
        <v>12</v>
      </c>
      <c r="EG28" s="1">
        <v>8</v>
      </c>
      <c r="EH28" s="1"/>
      <c r="EI28" s="1"/>
      <c r="EJ28" s="1"/>
      <c r="EK28" s="1"/>
      <c r="EL28" s="1"/>
      <c r="EM28" s="1"/>
      <c r="EN28" s="1"/>
      <c r="EO28" s="1"/>
      <c r="EP28" s="1">
        <v>5</v>
      </c>
      <c r="EQ28" s="1">
        <v>38</v>
      </c>
      <c r="ER28" s="1">
        <v>34</v>
      </c>
      <c r="ES28" s="1">
        <v>27</v>
      </c>
      <c r="ET28" s="1">
        <v>13</v>
      </c>
      <c r="EU28" s="1">
        <v>16</v>
      </c>
      <c r="EV28" s="1">
        <v>14</v>
      </c>
      <c r="EW28" s="1">
        <v>5</v>
      </c>
      <c r="EX28" s="1">
        <v>6</v>
      </c>
      <c r="EY28" s="1">
        <v>6</v>
      </c>
      <c r="EZ28" s="1">
        <v>3</v>
      </c>
      <c r="FA28" s="1">
        <v>6</v>
      </c>
      <c r="FB28" s="1">
        <v>3</v>
      </c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IW28" s="1">
        <f t="shared" si="0"/>
        <v>661</v>
      </c>
      <c r="IX28" s="5">
        <v>71.959999999999994</v>
      </c>
      <c r="IY28" s="5">
        <f t="shared" si="1"/>
        <v>47565.56</v>
      </c>
      <c r="IZ28" s="5">
        <v>89.95</v>
      </c>
      <c r="JA28" s="5">
        <f t="shared" si="2"/>
        <v>59456.950000000004</v>
      </c>
    </row>
    <row r="29" spans="1:261">
      <c r="A29" s="16"/>
      <c r="B29" s="17"/>
      <c r="C29" s="4" t="s">
        <v>104</v>
      </c>
      <c r="D29" s="4" t="s">
        <v>115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>
        <v>3</v>
      </c>
      <c r="BL29" s="1">
        <v>3</v>
      </c>
      <c r="BM29" s="1"/>
      <c r="BN29" s="1">
        <v>3</v>
      </c>
      <c r="BO29" s="1">
        <v>2</v>
      </c>
      <c r="BP29" s="1">
        <v>3</v>
      </c>
      <c r="BQ29" s="1">
        <v>2</v>
      </c>
      <c r="BR29" s="1">
        <v>3</v>
      </c>
      <c r="BS29" s="1">
        <v>5</v>
      </c>
      <c r="BT29" s="1">
        <v>11</v>
      </c>
      <c r="BU29" s="1">
        <v>6</v>
      </c>
      <c r="BV29" s="1">
        <v>4</v>
      </c>
      <c r="BW29" s="1">
        <v>4</v>
      </c>
      <c r="BX29" s="1">
        <v>1</v>
      </c>
      <c r="BY29" s="1">
        <v>2</v>
      </c>
      <c r="BZ29" s="1">
        <v>4</v>
      </c>
      <c r="CA29" s="1">
        <v>3</v>
      </c>
      <c r="CB29" s="1">
        <v>5</v>
      </c>
      <c r="CC29" s="1">
        <v>4</v>
      </c>
      <c r="CD29" s="1">
        <v>3</v>
      </c>
      <c r="CE29" s="1"/>
      <c r="CF29" s="1">
        <v>9</v>
      </c>
      <c r="CG29" s="1">
        <v>5</v>
      </c>
      <c r="CH29" s="1">
        <v>3</v>
      </c>
      <c r="CI29" s="1">
        <v>9</v>
      </c>
      <c r="CJ29" s="1">
        <v>3</v>
      </c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>
        <v>4</v>
      </c>
      <c r="DN29" s="1">
        <v>2</v>
      </c>
      <c r="DO29" s="1">
        <v>3</v>
      </c>
      <c r="DP29" s="1">
        <v>1</v>
      </c>
      <c r="DQ29" s="1">
        <v>1</v>
      </c>
      <c r="DR29" s="1">
        <v>2</v>
      </c>
      <c r="DS29" s="1">
        <v>6</v>
      </c>
      <c r="DT29" s="1">
        <v>3</v>
      </c>
      <c r="DU29" s="1">
        <v>3</v>
      </c>
      <c r="DV29" s="1">
        <v>3</v>
      </c>
      <c r="DW29" s="1">
        <v>2</v>
      </c>
      <c r="DX29" s="1">
        <v>3</v>
      </c>
      <c r="DY29" s="1">
        <v>4</v>
      </c>
      <c r="DZ29" s="1">
        <v>2</v>
      </c>
      <c r="EA29" s="1">
        <v>5</v>
      </c>
      <c r="EB29" s="1">
        <v>4</v>
      </c>
      <c r="EC29" s="1">
        <v>5</v>
      </c>
      <c r="ED29" s="1">
        <v>4</v>
      </c>
      <c r="EE29" s="1">
        <v>2</v>
      </c>
      <c r="EF29" s="1">
        <v>5</v>
      </c>
      <c r="EG29" s="1">
        <v>4</v>
      </c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>
        <v>1</v>
      </c>
      <c r="ET29" s="1">
        <v>8</v>
      </c>
      <c r="EU29" s="1">
        <v>17</v>
      </c>
      <c r="EV29" s="1">
        <v>14</v>
      </c>
      <c r="EW29" s="1">
        <v>13</v>
      </c>
      <c r="EX29" s="1">
        <v>9</v>
      </c>
      <c r="EY29" s="1">
        <v>6</v>
      </c>
      <c r="EZ29" s="1">
        <v>5</v>
      </c>
      <c r="FA29" s="1">
        <v>9</v>
      </c>
      <c r="FB29" s="1">
        <v>1</v>
      </c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IW29" s="1">
        <f t="shared" si="0"/>
        <v>251</v>
      </c>
      <c r="IX29" s="5">
        <v>63.99</v>
      </c>
      <c r="IY29" s="5">
        <f t="shared" si="1"/>
        <v>16061.49</v>
      </c>
      <c r="IZ29" s="5">
        <v>79.989999999999995</v>
      </c>
      <c r="JA29" s="5">
        <f t="shared" si="2"/>
        <v>20077.489999999998</v>
      </c>
    </row>
    <row r="30" spans="1:261">
      <c r="A30" s="16"/>
      <c r="B30" s="17"/>
      <c r="C30" s="4" t="s">
        <v>97</v>
      </c>
      <c r="D30" s="4" t="s">
        <v>108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>
        <v>8</v>
      </c>
      <c r="BL30" s="1">
        <v>9</v>
      </c>
      <c r="BM30" s="1">
        <v>1</v>
      </c>
      <c r="BN30" s="1">
        <v>2</v>
      </c>
      <c r="BO30" s="1">
        <v>6</v>
      </c>
      <c r="BP30" s="1"/>
      <c r="BQ30" s="1">
        <v>5</v>
      </c>
      <c r="BR30" s="1">
        <v>1</v>
      </c>
      <c r="BS30" s="1">
        <v>2</v>
      </c>
      <c r="BT30" s="1"/>
      <c r="BU30" s="1"/>
      <c r="BV30" s="1"/>
      <c r="BW30" s="1"/>
      <c r="BX30" s="1"/>
      <c r="BY30" s="1"/>
      <c r="BZ30" s="1">
        <v>3</v>
      </c>
      <c r="CA30" s="1">
        <v>1</v>
      </c>
      <c r="CB30" s="1"/>
      <c r="CC30" s="1"/>
      <c r="CD30" s="1">
        <v>1</v>
      </c>
      <c r="CE30" s="1">
        <v>2</v>
      </c>
      <c r="CF30" s="1">
        <v>1</v>
      </c>
      <c r="CG30" s="1">
        <v>2</v>
      </c>
      <c r="CH30" s="1">
        <v>1</v>
      </c>
      <c r="CI30" s="1">
        <v>3</v>
      </c>
      <c r="CJ30" s="1">
        <v>2</v>
      </c>
      <c r="CK30" s="1">
        <v>4</v>
      </c>
      <c r="CL30" s="1"/>
      <c r="CM30" s="1">
        <v>3</v>
      </c>
      <c r="CN30" s="1">
        <v>6</v>
      </c>
      <c r="CO30" s="1">
        <v>4</v>
      </c>
      <c r="CP30" s="1">
        <v>10</v>
      </c>
      <c r="CQ30" s="1"/>
      <c r="CR30" s="1">
        <v>23</v>
      </c>
      <c r="CS30" s="1"/>
      <c r="CT30" s="1">
        <v>6</v>
      </c>
      <c r="CU30" s="1">
        <v>12</v>
      </c>
      <c r="CV30" s="1">
        <v>10</v>
      </c>
      <c r="CW30" s="1">
        <v>1</v>
      </c>
      <c r="CX30" s="1">
        <v>3</v>
      </c>
      <c r="CY30" s="1">
        <v>2</v>
      </c>
      <c r="CZ30" s="1">
        <v>5</v>
      </c>
      <c r="DA30" s="1">
        <v>4</v>
      </c>
      <c r="DB30" s="1">
        <v>8</v>
      </c>
      <c r="DC30" s="1">
        <v>7</v>
      </c>
      <c r="DD30" s="1">
        <v>5</v>
      </c>
      <c r="DE30" s="1">
        <v>6</v>
      </c>
      <c r="DF30" s="1">
        <v>3</v>
      </c>
      <c r="DG30" s="1">
        <v>3</v>
      </c>
      <c r="DH30" s="1">
        <v>3</v>
      </c>
      <c r="DI30" s="1">
        <v>1</v>
      </c>
      <c r="DJ30" s="1">
        <v>2</v>
      </c>
      <c r="DK30" s="1">
        <v>4</v>
      </c>
      <c r="DL30" s="1"/>
      <c r="DM30" s="1">
        <v>2</v>
      </c>
      <c r="DN30" s="1">
        <v>2</v>
      </c>
      <c r="DO30" s="1"/>
      <c r="DP30" s="1"/>
      <c r="DQ30" s="1"/>
      <c r="DR30" s="1">
        <v>1</v>
      </c>
      <c r="DS30" s="1">
        <v>2</v>
      </c>
      <c r="DT30" s="1">
        <v>2</v>
      </c>
      <c r="DU30" s="1"/>
      <c r="DV30" s="1">
        <v>3</v>
      </c>
      <c r="DW30" s="1">
        <v>1</v>
      </c>
      <c r="DX30" s="1">
        <v>5</v>
      </c>
      <c r="DY30" s="1">
        <v>7</v>
      </c>
      <c r="DZ30" s="1">
        <v>10</v>
      </c>
      <c r="EA30" s="1">
        <v>9</v>
      </c>
      <c r="EB30" s="1">
        <v>2</v>
      </c>
      <c r="EC30" s="1">
        <v>1</v>
      </c>
      <c r="ED30" s="1">
        <v>2</v>
      </c>
      <c r="EE30" s="1">
        <v>1</v>
      </c>
      <c r="EF30" s="1">
        <v>3</v>
      </c>
      <c r="EG30" s="1">
        <v>1</v>
      </c>
      <c r="EH30" s="1"/>
      <c r="EI30" s="1">
        <v>1</v>
      </c>
      <c r="EJ30" s="1">
        <v>2</v>
      </c>
      <c r="EK30" s="1">
        <v>3</v>
      </c>
      <c r="EL30" s="1"/>
      <c r="EM30" s="1">
        <v>5</v>
      </c>
      <c r="EN30" s="1">
        <v>2</v>
      </c>
      <c r="EO30" s="1">
        <v>2</v>
      </c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IW30" s="1">
        <f t="shared" si="0"/>
        <v>254</v>
      </c>
      <c r="IX30" s="5">
        <v>39.96</v>
      </c>
      <c r="IY30" s="5">
        <f t="shared" si="1"/>
        <v>10149.84</v>
      </c>
      <c r="IZ30" s="5">
        <v>49.95</v>
      </c>
      <c r="JA30" s="5">
        <f t="shared" si="2"/>
        <v>12687.300000000001</v>
      </c>
    </row>
    <row r="31" spans="1:261">
      <c r="A31" s="16"/>
      <c r="B31" s="17"/>
      <c r="C31" s="4" t="s">
        <v>101</v>
      </c>
      <c r="D31" s="4" t="s">
        <v>112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>
        <v>2</v>
      </c>
      <c r="BL31" s="1">
        <v>1</v>
      </c>
      <c r="BM31" s="1"/>
      <c r="BN31" s="1"/>
      <c r="BO31" s="1"/>
      <c r="BP31" s="1">
        <v>4</v>
      </c>
      <c r="BQ31" s="1">
        <v>1</v>
      </c>
      <c r="BR31" s="1"/>
      <c r="BS31" s="1">
        <v>2</v>
      </c>
      <c r="BT31" s="52">
        <v>48</v>
      </c>
      <c r="BU31" s="1">
        <v>4</v>
      </c>
      <c r="BV31" s="1"/>
      <c r="BW31" s="1"/>
      <c r="BX31" s="1"/>
      <c r="BY31" s="1"/>
      <c r="BZ31" s="1"/>
      <c r="CA31" s="1"/>
      <c r="CB31" s="1">
        <v>5</v>
      </c>
      <c r="CC31" s="1">
        <v>1</v>
      </c>
      <c r="CD31" s="1">
        <v>2</v>
      </c>
      <c r="CE31" s="1">
        <v>3</v>
      </c>
      <c r="CF31" s="1"/>
      <c r="CG31" s="1"/>
      <c r="CH31" s="1"/>
      <c r="CI31" s="1">
        <v>2</v>
      </c>
      <c r="CJ31" s="1">
        <v>1</v>
      </c>
      <c r="CK31" s="1"/>
      <c r="CL31" s="1">
        <v>6</v>
      </c>
      <c r="CM31" s="1"/>
      <c r="CN31" s="1">
        <v>2</v>
      </c>
      <c r="CO31" s="1">
        <v>1</v>
      </c>
      <c r="CP31" s="1"/>
      <c r="CQ31" s="1">
        <v>17</v>
      </c>
      <c r="CR31" s="1">
        <v>1</v>
      </c>
      <c r="CS31" s="1">
        <v>37</v>
      </c>
      <c r="CT31" s="1">
        <v>1</v>
      </c>
      <c r="CU31" s="1">
        <v>1</v>
      </c>
      <c r="CV31" s="1"/>
      <c r="CW31" s="1">
        <v>2</v>
      </c>
      <c r="CX31" s="1"/>
      <c r="CY31" s="1">
        <v>3</v>
      </c>
      <c r="CZ31" s="1">
        <v>3</v>
      </c>
      <c r="DA31" s="1">
        <v>2</v>
      </c>
      <c r="DB31" s="1">
        <v>3</v>
      </c>
      <c r="DC31" s="1">
        <v>2</v>
      </c>
      <c r="DD31" s="1"/>
      <c r="DE31" s="1"/>
      <c r="DF31" s="1">
        <v>4</v>
      </c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IW31" s="1">
        <f t="shared" si="0"/>
        <v>161</v>
      </c>
      <c r="IX31" s="5">
        <v>23.96</v>
      </c>
      <c r="IY31" s="5">
        <f t="shared" si="1"/>
        <v>3857.56</v>
      </c>
      <c r="IZ31" s="5">
        <v>29.95</v>
      </c>
      <c r="JA31" s="5">
        <f t="shared" si="2"/>
        <v>4821.95</v>
      </c>
    </row>
    <row r="32" spans="1:261">
      <c r="A32" s="16"/>
      <c r="B32" s="17"/>
      <c r="C32" s="4" t="s">
        <v>99</v>
      </c>
      <c r="D32" s="4" t="s">
        <v>110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>
        <v>5</v>
      </c>
      <c r="BM32" s="1"/>
      <c r="BN32" s="1">
        <v>4</v>
      </c>
      <c r="BO32" s="52">
        <v>53</v>
      </c>
      <c r="BP32" s="1">
        <v>8</v>
      </c>
      <c r="BQ32" s="1">
        <v>1</v>
      </c>
      <c r="BR32" s="1">
        <v>2</v>
      </c>
      <c r="BS32" s="1">
        <v>2</v>
      </c>
      <c r="BT32" s="1"/>
      <c r="BU32" s="1"/>
      <c r="BV32" s="1">
        <v>4</v>
      </c>
      <c r="BW32" s="1">
        <v>3</v>
      </c>
      <c r="BX32" s="1">
        <v>3</v>
      </c>
      <c r="BY32" s="1"/>
      <c r="BZ32" s="1"/>
      <c r="CA32" s="1">
        <v>1</v>
      </c>
      <c r="CB32" s="1">
        <v>3</v>
      </c>
      <c r="CC32" s="1">
        <v>4</v>
      </c>
      <c r="CD32" s="1">
        <v>2</v>
      </c>
      <c r="CE32" s="1"/>
      <c r="CF32" s="1">
        <v>1</v>
      </c>
      <c r="CG32" s="1">
        <v>2</v>
      </c>
      <c r="CH32" s="1"/>
      <c r="CI32" s="1"/>
      <c r="CJ32" s="1"/>
      <c r="CK32" s="1">
        <v>7</v>
      </c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>
        <v>2</v>
      </c>
      <c r="DN32" s="1">
        <v>2</v>
      </c>
      <c r="DO32" s="1"/>
      <c r="DP32" s="1">
        <v>2</v>
      </c>
      <c r="DQ32" s="1">
        <v>3</v>
      </c>
      <c r="DR32" s="1">
        <v>1</v>
      </c>
      <c r="DS32" s="1">
        <v>1</v>
      </c>
      <c r="DT32" s="1">
        <v>2</v>
      </c>
      <c r="DU32" s="1">
        <v>1</v>
      </c>
      <c r="DV32" s="1">
        <v>1</v>
      </c>
      <c r="DW32" s="1"/>
      <c r="DX32" s="1">
        <v>2</v>
      </c>
      <c r="DY32" s="1">
        <v>1</v>
      </c>
      <c r="DZ32" s="1"/>
      <c r="EA32" s="1"/>
      <c r="EB32" s="1"/>
      <c r="EC32" s="1"/>
      <c r="ED32" s="1"/>
      <c r="EE32" s="1"/>
      <c r="EF32" s="1"/>
      <c r="EG32" s="1"/>
      <c r="EH32" s="1">
        <v>2</v>
      </c>
      <c r="EI32" s="1"/>
      <c r="EJ32" s="1">
        <v>2</v>
      </c>
      <c r="EK32" s="1"/>
      <c r="EL32" s="1">
        <v>1</v>
      </c>
      <c r="EM32" s="1">
        <v>4</v>
      </c>
      <c r="EN32" s="1">
        <v>2</v>
      </c>
      <c r="EO32" s="1">
        <v>3</v>
      </c>
      <c r="EP32" s="1">
        <v>8</v>
      </c>
      <c r="EQ32" s="1">
        <v>8</v>
      </c>
      <c r="ER32" s="1">
        <v>4</v>
      </c>
      <c r="ES32" s="1">
        <v>5</v>
      </c>
      <c r="ET32" s="1">
        <v>7</v>
      </c>
      <c r="EU32" s="1">
        <v>5</v>
      </c>
      <c r="EV32" s="1">
        <v>4</v>
      </c>
      <c r="EW32" s="1">
        <v>3</v>
      </c>
      <c r="EX32" s="1">
        <v>4</v>
      </c>
      <c r="EY32" s="1">
        <v>1</v>
      </c>
      <c r="EZ32" s="1">
        <v>3</v>
      </c>
      <c r="FA32" s="1">
        <v>1</v>
      </c>
      <c r="FB32" s="1">
        <v>2</v>
      </c>
      <c r="FC32" s="1">
        <v>3</v>
      </c>
      <c r="FD32" s="1">
        <v>5</v>
      </c>
      <c r="FE32" s="1">
        <v>2</v>
      </c>
      <c r="FF32" s="1">
        <v>2</v>
      </c>
      <c r="FG32" s="1">
        <v>1</v>
      </c>
      <c r="FH32" s="1"/>
      <c r="FI32" s="1">
        <v>1</v>
      </c>
      <c r="FJ32" s="1">
        <v>1</v>
      </c>
      <c r="FK32" s="1">
        <v>3</v>
      </c>
      <c r="FL32" s="1">
        <v>3</v>
      </c>
      <c r="FM32" s="1">
        <v>2</v>
      </c>
      <c r="FN32" s="1">
        <v>1</v>
      </c>
      <c r="FO32" s="1"/>
      <c r="FP32" s="1">
        <v>1</v>
      </c>
      <c r="FQ32" s="1"/>
      <c r="FR32" s="1"/>
      <c r="FS32" s="1"/>
      <c r="FT32" s="1"/>
      <c r="FU32" s="1"/>
      <c r="FV32" s="1">
        <v>1</v>
      </c>
      <c r="FW32" s="1"/>
      <c r="FX32" s="1"/>
      <c r="FY32" s="1">
        <v>1</v>
      </c>
      <c r="FZ32" s="1">
        <v>1</v>
      </c>
      <c r="GA32" s="52">
        <v>10</v>
      </c>
      <c r="GB32" s="1">
        <v>1</v>
      </c>
      <c r="GC32" s="1">
        <v>1</v>
      </c>
      <c r="GD32" s="1">
        <v>1</v>
      </c>
      <c r="GE32" s="1">
        <v>1</v>
      </c>
      <c r="GF32" s="1"/>
      <c r="GG32" s="1">
        <v>2</v>
      </c>
      <c r="GH32" s="1"/>
      <c r="GI32" s="1"/>
      <c r="GJ32" s="1"/>
      <c r="GK32" s="1"/>
      <c r="GL32" s="1"/>
      <c r="GM32" s="1">
        <v>1</v>
      </c>
      <c r="GN32" s="1"/>
      <c r="GO32" s="1">
        <v>2</v>
      </c>
      <c r="GP32" s="1">
        <v>1</v>
      </c>
      <c r="GQ32" s="1">
        <v>4</v>
      </c>
      <c r="GR32" s="1">
        <v>1</v>
      </c>
      <c r="GS32" s="1">
        <v>2</v>
      </c>
      <c r="GT32" s="1">
        <v>1</v>
      </c>
      <c r="GU32" s="1"/>
      <c r="GV32" s="1">
        <v>2</v>
      </c>
      <c r="GW32" s="1"/>
      <c r="GX32" s="1">
        <v>1</v>
      </c>
      <c r="GY32" s="1"/>
      <c r="GZ32" s="1">
        <v>1</v>
      </c>
      <c r="HA32" s="1">
        <v>1</v>
      </c>
      <c r="HB32" s="1">
        <v>1</v>
      </c>
      <c r="HC32" s="1">
        <v>2</v>
      </c>
      <c r="HD32" s="1"/>
      <c r="HE32" s="1"/>
      <c r="HF32" s="1"/>
      <c r="HG32" s="1"/>
      <c r="HH32" s="1"/>
      <c r="HI32" s="1"/>
      <c r="HJ32" s="1"/>
      <c r="HK32" s="1"/>
      <c r="HL32" s="1"/>
      <c r="HM32" s="1">
        <v>1</v>
      </c>
      <c r="HN32" s="1">
        <v>1</v>
      </c>
      <c r="HO32" s="1"/>
      <c r="HP32" s="1"/>
      <c r="HQ32" s="52">
        <v>2</v>
      </c>
      <c r="HR32" s="1"/>
      <c r="HS32" s="1"/>
      <c r="HT32" s="1"/>
      <c r="HU32" s="1"/>
      <c r="HV32" s="1"/>
      <c r="HW32" s="1"/>
      <c r="HX32" s="1"/>
      <c r="IW32" s="1">
        <f t="shared" si="0"/>
        <v>260</v>
      </c>
      <c r="IX32" s="5">
        <v>191.96</v>
      </c>
      <c r="IY32" s="5">
        <f t="shared" si="1"/>
        <v>49909.599999999999</v>
      </c>
      <c r="IZ32" s="5">
        <v>239.95</v>
      </c>
      <c r="JA32" s="5">
        <f t="shared" si="2"/>
        <v>62387</v>
      </c>
    </row>
    <row r="33" spans="1:261">
      <c r="A33" s="16"/>
      <c r="B33" s="17"/>
      <c r="C33" s="4" t="s">
        <v>96</v>
      </c>
      <c r="D33" s="4" t="s">
        <v>107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>
        <v>1</v>
      </c>
      <c r="BO33" s="1">
        <v>3</v>
      </c>
      <c r="BP33" s="1"/>
      <c r="BQ33" s="1"/>
      <c r="BR33" s="1"/>
      <c r="BS33" s="1">
        <v>5</v>
      </c>
      <c r="BT33" s="1">
        <v>1</v>
      </c>
      <c r="BU33" s="1">
        <v>2</v>
      </c>
      <c r="BV33" s="1">
        <v>1</v>
      </c>
      <c r="BW33" s="1"/>
      <c r="BX33" s="1">
        <v>1</v>
      </c>
      <c r="BY33" s="1">
        <v>1</v>
      </c>
      <c r="BZ33" s="1"/>
      <c r="CA33" s="1"/>
      <c r="CB33" s="1">
        <v>1</v>
      </c>
      <c r="CC33" s="1"/>
      <c r="CD33" s="1">
        <v>1</v>
      </c>
      <c r="CE33" s="1">
        <v>1</v>
      </c>
      <c r="CF33" s="1">
        <v>1</v>
      </c>
      <c r="CG33" s="1">
        <v>1</v>
      </c>
      <c r="CH33" s="1"/>
      <c r="CI33" s="1">
        <v>2</v>
      </c>
      <c r="CJ33" s="1">
        <v>1</v>
      </c>
      <c r="CK33" s="1">
        <v>1</v>
      </c>
      <c r="CL33" s="1"/>
      <c r="CM33" s="1"/>
      <c r="CN33" s="1">
        <v>1</v>
      </c>
      <c r="CO33" s="1"/>
      <c r="CP33" s="1"/>
      <c r="CQ33" s="1">
        <v>1</v>
      </c>
      <c r="CR33" s="1">
        <v>2</v>
      </c>
      <c r="CS33" s="1">
        <v>3</v>
      </c>
      <c r="CT33" s="1">
        <v>4</v>
      </c>
      <c r="CU33" s="1"/>
      <c r="CV33" s="1">
        <v>1</v>
      </c>
      <c r="CW33" s="1"/>
      <c r="CX33" s="1"/>
      <c r="CY33" s="1"/>
      <c r="CZ33" s="1">
        <v>1</v>
      </c>
      <c r="DA33" s="1">
        <v>1</v>
      </c>
      <c r="DB33" s="1">
        <v>1</v>
      </c>
      <c r="DC33" s="1"/>
      <c r="DD33" s="1"/>
      <c r="DE33" s="1">
        <v>2</v>
      </c>
      <c r="DF33" s="1"/>
      <c r="DG33" s="1">
        <v>2</v>
      </c>
      <c r="DH33" s="1">
        <v>1</v>
      </c>
      <c r="DI33" s="1"/>
      <c r="DJ33" s="1"/>
      <c r="DK33" s="1"/>
      <c r="DL33" s="1"/>
      <c r="DM33" s="1">
        <v>1</v>
      </c>
      <c r="DN33" s="1"/>
      <c r="DO33" s="1"/>
      <c r="DP33" s="1"/>
      <c r="DQ33" s="1"/>
      <c r="DR33" s="1">
        <v>1</v>
      </c>
      <c r="DS33" s="1"/>
      <c r="DT33" s="1"/>
      <c r="DU33" s="1">
        <v>1</v>
      </c>
      <c r="DV33" s="1">
        <v>1</v>
      </c>
      <c r="DW33" s="1"/>
      <c r="DX33" s="1"/>
      <c r="DY33" s="1">
        <v>2</v>
      </c>
      <c r="DZ33" s="1"/>
      <c r="EA33" s="1"/>
      <c r="EB33" s="1"/>
      <c r="EC33" s="1"/>
      <c r="ED33" s="1">
        <v>2</v>
      </c>
      <c r="EE33" s="1">
        <v>1</v>
      </c>
      <c r="EF33" s="1"/>
      <c r="EG33" s="1">
        <v>1</v>
      </c>
      <c r="EH33" s="1">
        <v>6</v>
      </c>
      <c r="EI33" s="1"/>
      <c r="EJ33" s="1"/>
      <c r="EK33" s="1"/>
      <c r="EL33" s="1">
        <v>1</v>
      </c>
      <c r="EM33" s="1"/>
      <c r="EN33" s="1"/>
      <c r="EO33" s="1"/>
      <c r="EP33" s="1"/>
      <c r="EQ33" s="1">
        <v>3</v>
      </c>
      <c r="ER33" s="1">
        <v>3</v>
      </c>
      <c r="ES33" s="1">
        <v>6</v>
      </c>
      <c r="ET33" s="1">
        <v>1</v>
      </c>
      <c r="EU33" s="1">
        <v>1</v>
      </c>
      <c r="EV33" s="1"/>
      <c r="EW33" s="1"/>
      <c r="EX33" s="1">
        <v>1</v>
      </c>
      <c r="EY33" s="1"/>
      <c r="EZ33" s="1">
        <v>2</v>
      </c>
      <c r="FA33" s="1"/>
      <c r="FB33" s="1"/>
      <c r="FC33" s="1">
        <v>1</v>
      </c>
      <c r="FD33" s="1"/>
      <c r="FE33" s="1"/>
      <c r="FF33" s="1"/>
      <c r="FG33" s="1"/>
      <c r="FH33" s="1">
        <v>1</v>
      </c>
      <c r="FI33" s="1">
        <v>1</v>
      </c>
      <c r="FJ33" s="1"/>
      <c r="FK33" s="1"/>
      <c r="FL33" s="1"/>
      <c r="FM33" s="1"/>
      <c r="FN33" s="1"/>
      <c r="FO33" s="1"/>
      <c r="FP33" s="1"/>
      <c r="FQ33" s="1">
        <v>1</v>
      </c>
      <c r="FR33" s="1"/>
      <c r="FS33" s="1"/>
      <c r="FT33" s="1">
        <v>1</v>
      </c>
      <c r="FU33" s="1"/>
      <c r="FV33" s="1"/>
      <c r="FW33" s="1">
        <v>4</v>
      </c>
      <c r="FX33" s="1"/>
      <c r="FY33" s="1">
        <v>1</v>
      </c>
      <c r="FZ33" s="1">
        <v>1</v>
      </c>
      <c r="GA33" s="1">
        <v>3</v>
      </c>
      <c r="GB33" s="1"/>
      <c r="GC33" s="1"/>
      <c r="GD33" s="1">
        <v>3</v>
      </c>
      <c r="GE33" s="1"/>
      <c r="GF33" s="1">
        <v>3</v>
      </c>
      <c r="GG33" s="1"/>
      <c r="GH33" s="1"/>
      <c r="GI33" s="1">
        <v>1</v>
      </c>
      <c r="GJ33" s="1"/>
      <c r="GK33" s="1">
        <v>1</v>
      </c>
      <c r="GL33" s="1">
        <v>1</v>
      </c>
      <c r="GM33" s="1"/>
      <c r="GN33" s="1">
        <v>3</v>
      </c>
      <c r="GO33" s="1">
        <v>1</v>
      </c>
      <c r="GP33" s="1">
        <v>2</v>
      </c>
      <c r="GQ33" s="1">
        <v>8</v>
      </c>
      <c r="GR33" s="1">
        <v>7</v>
      </c>
      <c r="GS33" s="1">
        <v>7</v>
      </c>
      <c r="GT33" s="1"/>
      <c r="GU33" s="1"/>
      <c r="GV33" s="1"/>
      <c r="GW33" s="1">
        <v>1</v>
      </c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IW33" s="1">
        <f t="shared" si="0"/>
        <v>130</v>
      </c>
      <c r="IX33" s="5">
        <v>71.959999999999994</v>
      </c>
      <c r="IY33" s="5">
        <f t="shared" si="1"/>
        <v>9354.7999999999993</v>
      </c>
      <c r="IZ33" s="5">
        <v>89.95</v>
      </c>
      <c r="JA33" s="5">
        <f t="shared" si="2"/>
        <v>11693.5</v>
      </c>
    </row>
    <row r="34" spans="1:261">
      <c r="A34" s="16"/>
      <c r="B34" s="17"/>
      <c r="C34" s="4" t="s">
        <v>95</v>
      </c>
      <c r="D34" s="4" t="s">
        <v>106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>
        <v>1</v>
      </c>
      <c r="BO34" s="1">
        <v>2</v>
      </c>
      <c r="BP34" s="1">
        <v>1</v>
      </c>
      <c r="BQ34" s="1"/>
      <c r="BR34" s="1"/>
      <c r="BS34" s="1">
        <v>2</v>
      </c>
      <c r="BT34" s="1"/>
      <c r="BU34" s="1"/>
      <c r="BV34" s="1">
        <v>2</v>
      </c>
      <c r="BW34" s="1">
        <v>2</v>
      </c>
      <c r="BX34" s="1">
        <v>2</v>
      </c>
      <c r="BY34" s="1">
        <v>1</v>
      </c>
      <c r="BZ34" s="1"/>
      <c r="CA34" s="1">
        <v>1</v>
      </c>
      <c r="CB34" s="1">
        <v>1</v>
      </c>
      <c r="CC34" s="1">
        <v>1</v>
      </c>
      <c r="CD34" s="1">
        <v>1</v>
      </c>
      <c r="CE34" s="1"/>
      <c r="CF34" s="1">
        <v>2</v>
      </c>
      <c r="CG34" s="1">
        <v>1</v>
      </c>
      <c r="CH34" s="1"/>
      <c r="CI34" s="1"/>
      <c r="CJ34" s="1"/>
      <c r="CK34" s="1">
        <v>1</v>
      </c>
      <c r="CL34" s="1">
        <v>2</v>
      </c>
      <c r="CM34" s="1">
        <v>1</v>
      </c>
      <c r="CN34" s="1">
        <v>1</v>
      </c>
      <c r="CO34" s="1">
        <v>2</v>
      </c>
      <c r="CP34" s="1">
        <v>3</v>
      </c>
      <c r="CQ34" s="1">
        <v>7</v>
      </c>
      <c r="CR34" s="1">
        <v>5</v>
      </c>
      <c r="CS34" s="1">
        <v>8</v>
      </c>
      <c r="CT34" s="1"/>
      <c r="CU34" s="1"/>
      <c r="CV34" s="1"/>
      <c r="CW34" s="1">
        <v>1</v>
      </c>
      <c r="CX34" s="1">
        <v>4</v>
      </c>
      <c r="CY34" s="1">
        <v>1</v>
      </c>
      <c r="CZ34" s="1">
        <v>1</v>
      </c>
      <c r="DA34" s="1"/>
      <c r="DB34" s="1">
        <v>3</v>
      </c>
      <c r="DC34" s="1"/>
      <c r="DD34" s="1"/>
      <c r="DE34" s="1">
        <v>1</v>
      </c>
      <c r="DF34" s="1">
        <v>1</v>
      </c>
      <c r="DG34" s="1">
        <v>3</v>
      </c>
      <c r="DH34" s="1"/>
      <c r="DI34" s="1"/>
      <c r="DJ34" s="1">
        <v>3</v>
      </c>
      <c r="DK34" s="1">
        <v>2</v>
      </c>
      <c r="DL34" s="1">
        <v>1</v>
      </c>
      <c r="DM34" s="1"/>
      <c r="DN34" s="1">
        <v>3</v>
      </c>
      <c r="DO34" s="1"/>
      <c r="DP34" s="1"/>
      <c r="DQ34" s="1">
        <v>1</v>
      </c>
      <c r="DR34" s="1">
        <v>2</v>
      </c>
      <c r="DS34" s="1">
        <v>1</v>
      </c>
      <c r="DT34" s="1">
        <v>2</v>
      </c>
      <c r="DU34" s="1">
        <v>4</v>
      </c>
      <c r="DV34" s="1">
        <v>1</v>
      </c>
      <c r="DW34" s="1">
        <v>1</v>
      </c>
      <c r="DX34" s="1">
        <v>2</v>
      </c>
      <c r="DY34" s="42">
        <v>1</v>
      </c>
      <c r="DZ34" s="1"/>
      <c r="EA34" s="1">
        <v>1</v>
      </c>
      <c r="EB34" s="1">
        <v>1</v>
      </c>
      <c r="EC34" s="1">
        <v>1</v>
      </c>
      <c r="ED34" s="1">
        <v>2</v>
      </c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IW34" s="1">
        <f t="shared" ref="IW34:IW55" si="3">SUM(E34:HX34)</f>
        <v>94</v>
      </c>
      <c r="IX34" s="5">
        <v>55.99</v>
      </c>
      <c r="IY34" s="5">
        <f t="shared" ref="IY34:IY55" si="4">IW34*IX34</f>
        <v>5263.06</v>
      </c>
      <c r="IZ34" s="5">
        <v>69.989999999999995</v>
      </c>
      <c r="JA34" s="5">
        <f t="shared" si="2"/>
        <v>6579.0599999999995</v>
      </c>
    </row>
    <row r="35" spans="1:261">
      <c r="A35" s="16"/>
      <c r="B35" s="17"/>
      <c r="C35" s="51" t="s">
        <v>139</v>
      </c>
      <c r="D35" s="38" t="s">
        <v>151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>
        <v>1</v>
      </c>
      <c r="DZ35" s="1">
        <v>7</v>
      </c>
      <c r="EA35" s="1">
        <v>7</v>
      </c>
      <c r="EB35" s="1">
        <v>9</v>
      </c>
      <c r="EC35" s="1">
        <v>7</v>
      </c>
      <c r="ED35" s="1">
        <v>18</v>
      </c>
      <c r="EE35" s="1">
        <v>13</v>
      </c>
      <c r="EF35" s="1">
        <v>1</v>
      </c>
      <c r="EG35" s="1"/>
      <c r="EH35" s="1"/>
      <c r="EI35" s="9" t="s">
        <v>213</v>
      </c>
      <c r="EJ35" s="1"/>
      <c r="EK35" s="1">
        <v>9</v>
      </c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IW35" s="1">
        <f t="shared" si="3"/>
        <v>72</v>
      </c>
      <c r="IX35" s="5">
        <v>37.46</v>
      </c>
      <c r="IY35" s="5">
        <f t="shared" si="4"/>
        <v>2697.12</v>
      </c>
      <c r="IZ35" s="5">
        <v>49.95</v>
      </c>
      <c r="JA35" s="5">
        <f t="shared" si="2"/>
        <v>3596.4</v>
      </c>
    </row>
    <row r="36" spans="1:261">
      <c r="A36" s="16"/>
      <c r="B36" s="17"/>
      <c r="C36" s="53" t="s">
        <v>140</v>
      </c>
      <c r="D36" s="38" t="s">
        <v>152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>
        <v>1</v>
      </c>
      <c r="DZ36" s="1">
        <v>2</v>
      </c>
      <c r="EA36" s="1">
        <v>6</v>
      </c>
      <c r="EB36" s="1">
        <v>3</v>
      </c>
      <c r="EC36" s="1">
        <v>6</v>
      </c>
      <c r="ED36" s="52">
        <v>39</v>
      </c>
      <c r="EE36" s="1">
        <v>3</v>
      </c>
      <c r="EF36" s="1">
        <v>3</v>
      </c>
      <c r="EG36" s="1">
        <v>4</v>
      </c>
      <c r="EH36" s="1">
        <v>6</v>
      </c>
      <c r="EI36" s="52">
        <v>43</v>
      </c>
      <c r="EJ36" s="1">
        <v>8</v>
      </c>
      <c r="EK36" s="1">
        <v>4</v>
      </c>
      <c r="EL36" s="52">
        <v>90</v>
      </c>
      <c r="EM36" s="1">
        <v>22</v>
      </c>
      <c r="EN36" s="1">
        <v>6</v>
      </c>
      <c r="EO36" s="1">
        <v>17</v>
      </c>
      <c r="EP36" s="1">
        <v>135</v>
      </c>
      <c r="EQ36" s="1">
        <v>22</v>
      </c>
      <c r="ER36" s="1">
        <v>34</v>
      </c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>
        <v>2</v>
      </c>
      <c r="FM36" s="1">
        <v>9</v>
      </c>
      <c r="FN36" s="1">
        <v>16</v>
      </c>
      <c r="FO36" s="52">
        <v>63</v>
      </c>
      <c r="FP36" s="1">
        <v>24</v>
      </c>
      <c r="FQ36" s="1">
        <v>7</v>
      </c>
      <c r="FR36" s="52">
        <v>37</v>
      </c>
      <c r="FS36" s="1">
        <v>47</v>
      </c>
      <c r="FT36" s="1">
        <v>11</v>
      </c>
      <c r="FU36" s="1">
        <v>14</v>
      </c>
      <c r="FV36" s="1">
        <v>28</v>
      </c>
      <c r="FW36" s="68">
        <v>33</v>
      </c>
      <c r="FX36" s="52">
        <v>143</v>
      </c>
      <c r="FY36" s="1">
        <v>24</v>
      </c>
      <c r="FZ36" s="1">
        <v>11</v>
      </c>
      <c r="GA36" s="1">
        <v>24</v>
      </c>
      <c r="GB36" s="1">
        <v>24</v>
      </c>
      <c r="GC36" s="1">
        <v>28</v>
      </c>
      <c r="GD36" s="1">
        <v>75</v>
      </c>
      <c r="GE36" s="1">
        <v>17</v>
      </c>
      <c r="GF36" s="1">
        <v>28</v>
      </c>
      <c r="GG36" s="1">
        <v>30</v>
      </c>
      <c r="GH36" s="1">
        <v>24</v>
      </c>
      <c r="GI36" s="1">
        <v>6</v>
      </c>
      <c r="GJ36" s="1">
        <v>21</v>
      </c>
      <c r="GK36" s="1">
        <v>18</v>
      </c>
      <c r="GL36" s="1">
        <v>19</v>
      </c>
      <c r="GM36" s="1">
        <v>15</v>
      </c>
      <c r="GN36" s="1">
        <v>13</v>
      </c>
      <c r="GO36" s="1">
        <v>26</v>
      </c>
      <c r="GP36" s="1">
        <v>74</v>
      </c>
      <c r="GQ36" s="1">
        <v>141</v>
      </c>
      <c r="GR36" s="1">
        <v>73</v>
      </c>
      <c r="GS36" s="1">
        <v>66</v>
      </c>
      <c r="GT36" s="1">
        <v>10</v>
      </c>
      <c r="GU36" s="1">
        <v>5</v>
      </c>
      <c r="GV36" s="1">
        <v>16</v>
      </c>
      <c r="GW36" s="1">
        <v>22</v>
      </c>
      <c r="GX36" s="1">
        <v>27</v>
      </c>
      <c r="GY36" s="1">
        <v>19</v>
      </c>
      <c r="GZ36" s="1">
        <v>5</v>
      </c>
      <c r="HA36" s="1">
        <v>9</v>
      </c>
      <c r="HB36" s="1">
        <v>10</v>
      </c>
      <c r="HC36" s="52">
        <v>46</v>
      </c>
      <c r="HD36" s="1">
        <v>22</v>
      </c>
      <c r="HE36" s="1">
        <v>5</v>
      </c>
      <c r="HF36" s="1">
        <v>13</v>
      </c>
      <c r="HG36" s="1">
        <v>20</v>
      </c>
      <c r="HH36" s="1">
        <v>20</v>
      </c>
      <c r="HI36" s="1">
        <v>34</v>
      </c>
      <c r="HJ36" s="1">
        <v>17</v>
      </c>
      <c r="HK36" s="1">
        <v>14</v>
      </c>
      <c r="HL36" s="1">
        <v>2</v>
      </c>
      <c r="HM36" s="1">
        <v>9</v>
      </c>
      <c r="HN36" s="1">
        <v>1</v>
      </c>
      <c r="HO36" s="1">
        <v>13</v>
      </c>
      <c r="HP36" s="1">
        <v>41</v>
      </c>
      <c r="HQ36" s="1">
        <v>12</v>
      </c>
      <c r="HR36" s="1">
        <v>6</v>
      </c>
      <c r="HS36" s="1">
        <v>8</v>
      </c>
      <c r="HT36" s="1">
        <v>5</v>
      </c>
      <c r="HU36" s="1">
        <v>13</v>
      </c>
      <c r="HV36" s="1"/>
      <c r="HW36" s="1"/>
      <c r="HX36" s="1"/>
      <c r="IW36" s="1">
        <f t="shared" si="3"/>
        <v>2069</v>
      </c>
      <c r="IX36" s="5">
        <v>37.46</v>
      </c>
      <c r="IY36" s="5">
        <f t="shared" si="4"/>
        <v>77504.740000000005</v>
      </c>
      <c r="IZ36" s="5">
        <v>49.95</v>
      </c>
      <c r="JA36" s="5">
        <f t="shared" si="2"/>
        <v>103346.55</v>
      </c>
    </row>
    <row r="37" spans="1:261">
      <c r="A37" s="16"/>
      <c r="B37" s="17"/>
      <c r="C37" s="53" t="s">
        <v>141</v>
      </c>
      <c r="D37" s="38" t="s">
        <v>153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>
        <v>1</v>
      </c>
      <c r="DY37" s="1">
        <v>1</v>
      </c>
      <c r="DZ37" s="1">
        <v>3</v>
      </c>
      <c r="EA37" s="1">
        <v>3</v>
      </c>
      <c r="EB37" s="1">
        <v>1</v>
      </c>
      <c r="EC37" s="1">
        <v>12</v>
      </c>
      <c r="ED37" s="52">
        <v>25</v>
      </c>
      <c r="EE37" s="1">
        <v>6</v>
      </c>
      <c r="EF37" s="1"/>
      <c r="EG37" s="1"/>
      <c r="EH37" s="1"/>
      <c r="EI37" s="52">
        <v>40</v>
      </c>
      <c r="EJ37" s="1">
        <v>2</v>
      </c>
      <c r="EK37" s="1"/>
      <c r="EL37" s="52">
        <v>46</v>
      </c>
      <c r="EM37" s="1">
        <v>6</v>
      </c>
      <c r="EN37" s="1">
        <v>2</v>
      </c>
      <c r="EO37" s="1">
        <v>4</v>
      </c>
      <c r="EP37" s="1">
        <v>100</v>
      </c>
      <c r="EQ37" s="1">
        <v>42</v>
      </c>
      <c r="ER37" s="1">
        <v>60</v>
      </c>
      <c r="ES37" s="1">
        <v>9</v>
      </c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>
        <v>1</v>
      </c>
      <c r="FE37" s="1">
        <v>18</v>
      </c>
      <c r="FF37" s="1">
        <v>7</v>
      </c>
      <c r="FG37" s="52">
        <v>50</v>
      </c>
      <c r="FH37" s="1">
        <v>10</v>
      </c>
      <c r="FI37" s="1">
        <v>13</v>
      </c>
      <c r="FJ37" s="1">
        <v>4</v>
      </c>
      <c r="FK37" s="1">
        <v>5</v>
      </c>
      <c r="FL37" s="1">
        <v>19</v>
      </c>
      <c r="FM37" s="1">
        <v>5</v>
      </c>
      <c r="FN37" s="1">
        <v>12</v>
      </c>
      <c r="FO37" s="52">
        <v>74</v>
      </c>
      <c r="FP37" s="1">
        <v>19</v>
      </c>
      <c r="FQ37" s="1">
        <v>4</v>
      </c>
      <c r="FR37" s="52">
        <v>14</v>
      </c>
      <c r="FS37" s="1">
        <v>18</v>
      </c>
      <c r="FT37" s="1">
        <v>5</v>
      </c>
      <c r="FU37" s="1">
        <v>7</v>
      </c>
      <c r="FV37" s="1">
        <v>12</v>
      </c>
      <c r="FW37" s="68">
        <v>17</v>
      </c>
      <c r="FX37" s="52">
        <v>62</v>
      </c>
      <c r="FY37" s="1">
        <v>11</v>
      </c>
      <c r="FZ37" s="1">
        <v>3</v>
      </c>
      <c r="GA37" s="1">
        <v>10</v>
      </c>
      <c r="GB37" s="1">
        <v>23</v>
      </c>
      <c r="GC37" s="1">
        <v>33</v>
      </c>
      <c r="GD37" s="1">
        <v>48</v>
      </c>
      <c r="GE37" s="1">
        <v>9</v>
      </c>
      <c r="GF37" s="1">
        <v>12</v>
      </c>
      <c r="GG37" s="1">
        <v>13</v>
      </c>
      <c r="GH37" s="1">
        <v>13</v>
      </c>
      <c r="GI37" s="1">
        <v>7</v>
      </c>
      <c r="GJ37" s="1">
        <v>14</v>
      </c>
      <c r="GK37" s="1">
        <v>7</v>
      </c>
      <c r="GL37" s="1">
        <v>10</v>
      </c>
      <c r="GM37" s="1">
        <v>10</v>
      </c>
      <c r="GN37" s="1">
        <v>8</v>
      </c>
      <c r="GO37" s="1">
        <v>13</v>
      </c>
      <c r="GP37" s="1">
        <v>31</v>
      </c>
      <c r="GQ37" s="1">
        <v>90</v>
      </c>
      <c r="GR37" s="1">
        <v>42</v>
      </c>
      <c r="GS37" s="1">
        <v>29</v>
      </c>
      <c r="GT37" s="1">
        <v>9</v>
      </c>
      <c r="GU37" s="1">
        <v>3</v>
      </c>
      <c r="GV37" s="1">
        <v>7</v>
      </c>
      <c r="GW37" s="1">
        <v>6</v>
      </c>
      <c r="GX37" s="1">
        <v>25</v>
      </c>
      <c r="GY37" s="1">
        <v>13</v>
      </c>
      <c r="GZ37" s="1">
        <v>9</v>
      </c>
      <c r="HA37" s="1"/>
      <c r="HB37" s="1">
        <v>6</v>
      </c>
      <c r="HC37" s="52">
        <v>23</v>
      </c>
      <c r="HD37" s="1">
        <v>13</v>
      </c>
      <c r="HE37" s="1">
        <v>7</v>
      </c>
      <c r="HF37" s="1">
        <v>4</v>
      </c>
      <c r="HG37" s="1">
        <v>9</v>
      </c>
      <c r="HH37" s="1">
        <v>12</v>
      </c>
      <c r="HI37" s="1">
        <v>6</v>
      </c>
      <c r="HJ37" s="1">
        <v>17</v>
      </c>
      <c r="HK37" s="1">
        <v>6</v>
      </c>
      <c r="HL37" s="1">
        <v>1</v>
      </c>
      <c r="HM37" s="1">
        <v>5</v>
      </c>
      <c r="HN37" s="1">
        <v>5</v>
      </c>
      <c r="HO37" s="1">
        <v>6</v>
      </c>
      <c r="HP37" s="1">
        <v>32</v>
      </c>
      <c r="HQ37" s="1">
        <v>5</v>
      </c>
      <c r="HR37" s="1">
        <v>1</v>
      </c>
      <c r="HS37" s="1">
        <v>9</v>
      </c>
      <c r="HT37" s="1">
        <v>9</v>
      </c>
      <c r="HU37" s="1">
        <v>5</v>
      </c>
      <c r="HV37" s="1"/>
      <c r="HW37" s="1"/>
      <c r="HX37" s="1"/>
      <c r="IW37" s="1">
        <f t="shared" si="3"/>
        <v>1428</v>
      </c>
      <c r="IX37" s="5">
        <v>37.46</v>
      </c>
      <c r="IY37" s="5">
        <f t="shared" si="4"/>
        <v>53492.880000000005</v>
      </c>
      <c r="IZ37" s="5">
        <v>49.95</v>
      </c>
      <c r="JA37" s="5">
        <f t="shared" si="2"/>
        <v>71328.600000000006</v>
      </c>
    </row>
    <row r="38" spans="1:261">
      <c r="A38" s="16"/>
      <c r="B38" s="17"/>
      <c r="C38" s="51" t="s">
        <v>142</v>
      </c>
      <c r="D38" s="38" t="s">
        <v>154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>
        <v>3</v>
      </c>
      <c r="DX38" s="1">
        <v>1</v>
      </c>
      <c r="DY38" s="1">
        <v>1</v>
      </c>
      <c r="DZ38" s="1"/>
      <c r="EA38" s="1">
        <v>1</v>
      </c>
      <c r="EB38" s="1">
        <v>2</v>
      </c>
      <c r="EC38" s="1">
        <v>9</v>
      </c>
      <c r="ED38" s="1">
        <v>3</v>
      </c>
      <c r="EE38" s="52">
        <v>140</v>
      </c>
      <c r="EF38" s="1">
        <v>10</v>
      </c>
      <c r="EG38" s="1">
        <v>6</v>
      </c>
      <c r="EH38" s="1">
        <v>6</v>
      </c>
      <c r="EI38" s="1">
        <v>7</v>
      </c>
      <c r="EJ38" s="52">
        <v>172</v>
      </c>
      <c r="EK38" s="52">
        <v>164</v>
      </c>
      <c r="EL38" s="1">
        <v>4</v>
      </c>
      <c r="EM38" s="1">
        <v>5</v>
      </c>
      <c r="EN38" s="52">
        <v>330</v>
      </c>
      <c r="EO38" s="1">
        <v>3</v>
      </c>
      <c r="EP38" s="1">
        <v>86</v>
      </c>
      <c r="EQ38" s="1">
        <v>30</v>
      </c>
      <c r="ER38" s="1">
        <v>28</v>
      </c>
      <c r="ES38" s="1">
        <v>14</v>
      </c>
      <c r="ET38" s="52">
        <v>277</v>
      </c>
      <c r="EU38" s="1">
        <v>4</v>
      </c>
      <c r="EV38" s="1">
        <v>6</v>
      </c>
      <c r="EW38" s="1">
        <v>10</v>
      </c>
      <c r="EX38" s="1">
        <v>30</v>
      </c>
      <c r="EY38" s="52">
        <v>412</v>
      </c>
      <c r="EZ38" s="1">
        <v>13</v>
      </c>
      <c r="FA38" s="1">
        <v>3</v>
      </c>
      <c r="FB38" s="1">
        <v>23</v>
      </c>
      <c r="FC38" s="52">
        <v>128</v>
      </c>
      <c r="FD38" s="1">
        <v>5</v>
      </c>
      <c r="FE38" s="1">
        <v>6</v>
      </c>
      <c r="FF38" s="1">
        <v>18</v>
      </c>
      <c r="FG38" s="52">
        <v>332</v>
      </c>
      <c r="FH38" s="1">
        <v>6</v>
      </c>
      <c r="FI38" s="1">
        <v>3</v>
      </c>
      <c r="FJ38" s="1">
        <v>7</v>
      </c>
      <c r="FK38" s="52">
        <v>349</v>
      </c>
      <c r="FL38" s="1">
        <v>5</v>
      </c>
      <c r="FM38" s="1">
        <v>7</v>
      </c>
      <c r="FN38" s="1">
        <v>5</v>
      </c>
      <c r="FO38" s="1">
        <v>7</v>
      </c>
      <c r="FP38" s="52">
        <v>218</v>
      </c>
      <c r="FQ38" s="1">
        <v>12</v>
      </c>
      <c r="FR38" s="1">
        <v>11</v>
      </c>
      <c r="FS38" s="9" t="s">
        <v>213</v>
      </c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IW38" s="1">
        <f t="shared" si="3"/>
        <v>2922</v>
      </c>
      <c r="IX38" s="5">
        <v>14.99</v>
      </c>
      <c r="IY38" s="5">
        <f t="shared" si="4"/>
        <v>43800.78</v>
      </c>
      <c r="IZ38" s="5">
        <v>19.989999999999998</v>
      </c>
      <c r="JA38" s="5">
        <f t="shared" si="2"/>
        <v>58410.78</v>
      </c>
    </row>
    <row r="39" spans="1:261">
      <c r="A39" s="16"/>
      <c r="B39" s="17"/>
      <c r="C39" s="53" t="s">
        <v>143</v>
      </c>
      <c r="D39" s="38" t="s">
        <v>155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>
        <v>1</v>
      </c>
      <c r="DY39" s="1"/>
      <c r="DZ39" s="1">
        <v>2</v>
      </c>
      <c r="EA39" s="1">
        <v>1</v>
      </c>
      <c r="EB39" s="1"/>
      <c r="EC39" s="1">
        <v>4</v>
      </c>
      <c r="ED39" s="1">
        <v>1</v>
      </c>
      <c r="EE39" s="52">
        <v>161</v>
      </c>
      <c r="EF39" s="1">
        <v>6</v>
      </c>
      <c r="EG39" s="1">
        <v>4</v>
      </c>
      <c r="EH39" s="1">
        <v>5</v>
      </c>
      <c r="EI39" s="1">
        <v>7</v>
      </c>
      <c r="EJ39" s="52">
        <v>45</v>
      </c>
      <c r="EK39" s="52">
        <v>60</v>
      </c>
      <c r="EL39" s="1">
        <v>1</v>
      </c>
      <c r="EM39" s="1">
        <v>3</v>
      </c>
      <c r="EN39" s="52">
        <v>139</v>
      </c>
      <c r="EO39" s="1">
        <v>1</v>
      </c>
      <c r="EP39" s="1">
        <v>38</v>
      </c>
      <c r="EQ39" s="1">
        <v>9</v>
      </c>
      <c r="ER39" s="1">
        <v>4</v>
      </c>
      <c r="ES39" s="1">
        <v>7</v>
      </c>
      <c r="ET39" s="52">
        <v>73</v>
      </c>
      <c r="EU39" s="1">
        <v>2</v>
      </c>
      <c r="EV39" s="1">
        <v>2</v>
      </c>
      <c r="EW39" s="1">
        <v>2</v>
      </c>
      <c r="EX39" s="1">
        <v>3</v>
      </c>
      <c r="EY39" s="52">
        <v>118</v>
      </c>
      <c r="EZ39" s="1">
        <v>17</v>
      </c>
      <c r="FA39" s="1">
        <v>4</v>
      </c>
      <c r="FB39" s="1">
        <v>7</v>
      </c>
      <c r="FC39" s="52">
        <v>84</v>
      </c>
      <c r="FD39" s="1">
        <v>2</v>
      </c>
      <c r="FE39" s="1">
        <v>2</v>
      </c>
      <c r="FF39" s="1">
        <v>9</v>
      </c>
      <c r="FG39" s="52">
        <v>131</v>
      </c>
      <c r="FH39" s="1">
        <v>3</v>
      </c>
      <c r="FI39" s="1">
        <v>2</v>
      </c>
      <c r="FJ39" s="1">
        <v>14</v>
      </c>
      <c r="FK39" s="1">
        <v>16</v>
      </c>
      <c r="FL39" s="1">
        <v>4</v>
      </c>
      <c r="FM39" s="1">
        <v>4</v>
      </c>
      <c r="FN39" s="1">
        <v>5</v>
      </c>
      <c r="FO39" s="1">
        <v>10</v>
      </c>
      <c r="FP39" s="52">
        <v>76</v>
      </c>
      <c r="FQ39" s="1">
        <v>7</v>
      </c>
      <c r="FR39" s="1">
        <v>3</v>
      </c>
      <c r="FS39" s="1">
        <v>9</v>
      </c>
      <c r="FT39" s="1">
        <v>4</v>
      </c>
      <c r="FU39" s="1">
        <v>1</v>
      </c>
      <c r="FV39" s="1">
        <v>13</v>
      </c>
      <c r="FW39" s="1">
        <v>9</v>
      </c>
      <c r="FX39" s="1">
        <v>5</v>
      </c>
      <c r="FY39" s="1">
        <v>10</v>
      </c>
      <c r="FZ39" s="1">
        <v>17</v>
      </c>
      <c r="GA39" s="1">
        <v>3</v>
      </c>
      <c r="GB39" s="1">
        <v>6</v>
      </c>
      <c r="GC39" s="1">
        <v>4</v>
      </c>
      <c r="GD39" s="1">
        <v>2</v>
      </c>
      <c r="GE39" s="1">
        <v>12</v>
      </c>
      <c r="GF39" s="1">
        <v>11</v>
      </c>
      <c r="GG39" s="1">
        <v>18</v>
      </c>
      <c r="GH39" s="1">
        <v>8</v>
      </c>
      <c r="GI39" s="1">
        <v>9</v>
      </c>
      <c r="GJ39" s="1"/>
      <c r="GK39" s="1">
        <v>8</v>
      </c>
      <c r="GL39" s="1">
        <v>3</v>
      </c>
      <c r="GM39" s="1">
        <v>2</v>
      </c>
      <c r="GN39" s="1">
        <v>6</v>
      </c>
      <c r="GO39" s="1">
        <v>10</v>
      </c>
      <c r="GP39" s="1">
        <v>19</v>
      </c>
      <c r="GQ39" s="1">
        <v>45</v>
      </c>
      <c r="GR39" s="1">
        <v>30</v>
      </c>
      <c r="GS39" s="1">
        <v>32</v>
      </c>
      <c r="GT39" s="1">
        <v>10</v>
      </c>
      <c r="GU39" s="1">
        <v>1</v>
      </c>
      <c r="GV39" s="1">
        <v>17</v>
      </c>
      <c r="GW39" s="1">
        <v>12</v>
      </c>
      <c r="GX39" s="1">
        <v>48</v>
      </c>
      <c r="GY39" s="1">
        <v>7</v>
      </c>
      <c r="GZ39" s="1">
        <v>1</v>
      </c>
      <c r="HA39" s="1">
        <v>5</v>
      </c>
      <c r="HB39" s="1">
        <v>4</v>
      </c>
      <c r="HC39" s="1">
        <v>2</v>
      </c>
      <c r="HD39" s="1">
        <v>1</v>
      </c>
      <c r="HE39" s="1">
        <v>9</v>
      </c>
      <c r="HF39" s="1">
        <v>6</v>
      </c>
      <c r="HG39" s="1">
        <v>4</v>
      </c>
      <c r="HH39" s="1">
        <v>7</v>
      </c>
      <c r="HI39" s="1">
        <v>3</v>
      </c>
      <c r="HJ39" s="1">
        <v>7</v>
      </c>
      <c r="HK39" s="1">
        <v>2</v>
      </c>
      <c r="HL39" s="1">
        <v>6</v>
      </c>
      <c r="HM39" s="1">
        <v>4</v>
      </c>
      <c r="HN39" s="1">
        <v>7</v>
      </c>
      <c r="HO39" s="1">
        <v>6</v>
      </c>
      <c r="HP39" s="1">
        <v>4</v>
      </c>
      <c r="HQ39" s="1">
        <v>4</v>
      </c>
      <c r="HR39" s="1">
        <v>8</v>
      </c>
      <c r="HS39" s="1">
        <v>4</v>
      </c>
      <c r="HT39" s="1">
        <v>5</v>
      </c>
      <c r="HU39" s="1">
        <v>23</v>
      </c>
      <c r="HV39" s="1"/>
      <c r="HW39" s="1"/>
      <c r="HX39" s="1"/>
      <c r="IW39" s="1">
        <f t="shared" si="3"/>
        <v>1612</v>
      </c>
      <c r="IX39" s="5">
        <v>14.99</v>
      </c>
      <c r="IY39" s="5">
        <f t="shared" si="4"/>
        <v>24163.88</v>
      </c>
      <c r="IZ39" s="5">
        <v>19.989999999999998</v>
      </c>
      <c r="JA39" s="5">
        <f t="shared" si="2"/>
        <v>32223.879999999997</v>
      </c>
    </row>
    <row r="40" spans="1:261">
      <c r="A40" s="16"/>
      <c r="B40" s="17"/>
      <c r="C40" s="53" t="s">
        <v>144</v>
      </c>
      <c r="D40" s="38" t="s">
        <v>156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>
        <v>5</v>
      </c>
      <c r="ED40" s="1"/>
      <c r="EE40" s="1">
        <v>17</v>
      </c>
      <c r="EF40" s="1">
        <v>3</v>
      </c>
      <c r="EG40" s="1">
        <v>1</v>
      </c>
      <c r="EH40" s="1">
        <v>2</v>
      </c>
      <c r="EI40" s="1">
        <v>1</v>
      </c>
      <c r="EJ40" s="1">
        <v>21</v>
      </c>
      <c r="EK40" s="1">
        <v>30</v>
      </c>
      <c r="EL40" s="1">
        <v>4</v>
      </c>
      <c r="EM40" s="1">
        <v>2</v>
      </c>
      <c r="EN40" s="1">
        <v>30</v>
      </c>
      <c r="EO40" s="1"/>
      <c r="EP40" s="1">
        <v>14</v>
      </c>
      <c r="EQ40" s="1">
        <v>4</v>
      </c>
      <c r="ER40" s="1">
        <v>4</v>
      </c>
      <c r="ES40" s="1">
        <v>7</v>
      </c>
      <c r="ET40" s="1">
        <v>33</v>
      </c>
      <c r="EU40" s="1">
        <v>6</v>
      </c>
      <c r="EV40" s="1">
        <v>5</v>
      </c>
      <c r="EW40" s="1">
        <v>2</v>
      </c>
      <c r="EX40" s="1">
        <v>1</v>
      </c>
      <c r="EY40" s="1">
        <v>5</v>
      </c>
      <c r="EZ40" s="1"/>
      <c r="FA40" s="1"/>
      <c r="FB40" s="1"/>
      <c r="FC40" s="1"/>
      <c r="FD40" s="1"/>
      <c r="FE40" s="1"/>
      <c r="FF40" s="1">
        <v>9</v>
      </c>
      <c r="FG40" s="1">
        <v>51</v>
      </c>
      <c r="FH40" s="1">
        <v>6</v>
      </c>
      <c r="FI40" s="1">
        <v>4</v>
      </c>
      <c r="FJ40" s="1">
        <v>3</v>
      </c>
      <c r="FK40" s="1">
        <v>55</v>
      </c>
      <c r="FL40" s="1">
        <v>5</v>
      </c>
      <c r="FM40" s="1">
        <v>2</v>
      </c>
      <c r="FN40" s="1">
        <v>4</v>
      </c>
      <c r="FO40" s="1">
        <v>8</v>
      </c>
      <c r="FP40" s="1">
        <v>32</v>
      </c>
      <c r="FQ40" s="1">
        <v>4</v>
      </c>
      <c r="FR40" s="1">
        <v>7</v>
      </c>
      <c r="FS40" s="1">
        <v>3</v>
      </c>
      <c r="FT40" s="1">
        <v>4</v>
      </c>
      <c r="FU40" s="1">
        <v>2</v>
      </c>
      <c r="FV40" s="1">
        <v>1</v>
      </c>
      <c r="FW40" s="1"/>
      <c r="FX40" s="1">
        <v>2</v>
      </c>
      <c r="FY40" s="1">
        <v>19</v>
      </c>
      <c r="FZ40" s="1">
        <v>10</v>
      </c>
      <c r="GA40" s="1">
        <v>6</v>
      </c>
      <c r="GB40" s="1">
        <v>8</v>
      </c>
      <c r="GC40" s="1">
        <v>1</v>
      </c>
      <c r="GD40" s="1">
        <v>4</v>
      </c>
      <c r="GE40" s="1">
        <v>6</v>
      </c>
      <c r="GF40" s="1">
        <v>9</v>
      </c>
      <c r="GG40" s="1">
        <v>13</v>
      </c>
      <c r="GH40" s="1">
        <v>8</v>
      </c>
      <c r="GI40" s="1">
        <v>3</v>
      </c>
      <c r="GJ40" s="1">
        <v>4</v>
      </c>
      <c r="GK40" s="1">
        <v>11</v>
      </c>
      <c r="GL40" s="1">
        <v>1</v>
      </c>
      <c r="GM40" s="1">
        <v>4</v>
      </c>
      <c r="GN40" s="1">
        <v>7</v>
      </c>
      <c r="GO40" s="1">
        <v>8</v>
      </c>
      <c r="GP40" s="1">
        <v>8</v>
      </c>
      <c r="GQ40" s="1">
        <v>14</v>
      </c>
      <c r="GR40" s="1">
        <v>11</v>
      </c>
      <c r="GS40" s="1">
        <v>4</v>
      </c>
      <c r="GT40" s="1">
        <v>4</v>
      </c>
      <c r="GU40" s="1">
        <v>1</v>
      </c>
      <c r="GV40" s="1">
        <v>16</v>
      </c>
      <c r="GW40" s="1">
        <v>18</v>
      </c>
      <c r="GX40" s="1">
        <v>25</v>
      </c>
      <c r="GY40" s="1">
        <v>5</v>
      </c>
      <c r="GZ40" s="1">
        <v>4</v>
      </c>
      <c r="HA40" s="1">
        <v>13</v>
      </c>
      <c r="HB40" s="1">
        <v>6</v>
      </c>
      <c r="HC40" s="1">
        <v>8</v>
      </c>
      <c r="HD40" s="1">
        <v>7</v>
      </c>
      <c r="HE40" s="1">
        <v>6</v>
      </c>
      <c r="HF40" s="1">
        <v>6</v>
      </c>
      <c r="HG40" s="1">
        <v>3</v>
      </c>
      <c r="HH40" s="1">
        <v>11</v>
      </c>
      <c r="HI40" s="1">
        <v>5</v>
      </c>
      <c r="HJ40" s="1">
        <v>4</v>
      </c>
      <c r="HK40" s="1">
        <v>6</v>
      </c>
      <c r="HL40" s="1">
        <v>6</v>
      </c>
      <c r="HM40" s="1">
        <v>5</v>
      </c>
      <c r="HN40" s="1">
        <v>6</v>
      </c>
      <c r="HO40" s="1">
        <v>3</v>
      </c>
      <c r="HP40" s="1">
        <v>6</v>
      </c>
      <c r="HQ40" s="1">
        <v>10</v>
      </c>
      <c r="HR40" s="1">
        <v>6</v>
      </c>
      <c r="HS40" s="1">
        <v>7</v>
      </c>
      <c r="HT40" s="1">
        <v>5</v>
      </c>
      <c r="HU40" s="1">
        <v>12</v>
      </c>
      <c r="HV40" s="1"/>
      <c r="HW40" s="1"/>
      <c r="HX40" s="1"/>
      <c r="IW40" s="1">
        <f t="shared" si="3"/>
        <v>772</v>
      </c>
      <c r="IX40" s="5">
        <v>7.46</v>
      </c>
      <c r="IY40" s="5">
        <f t="shared" si="4"/>
        <v>5759.12</v>
      </c>
      <c r="IZ40" s="5">
        <v>9.9499999999999993</v>
      </c>
      <c r="JA40" s="5">
        <f t="shared" si="2"/>
        <v>7681.4</v>
      </c>
    </row>
    <row r="41" spans="1:261">
      <c r="A41" s="16"/>
      <c r="B41" s="17"/>
      <c r="C41" s="53" t="s">
        <v>145</v>
      </c>
      <c r="D41" s="38" t="s">
        <v>157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>
        <v>4</v>
      </c>
      <c r="ED41" s="1"/>
      <c r="EE41" s="1">
        <v>11</v>
      </c>
      <c r="EF41" s="1">
        <v>2</v>
      </c>
      <c r="EG41" s="1">
        <v>1</v>
      </c>
      <c r="EH41" s="1">
        <v>2</v>
      </c>
      <c r="EI41" s="1">
        <v>3</v>
      </c>
      <c r="EJ41" s="1">
        <v>9</v>
      </c>
      <c r="EK41" s="1">
        <v>9</v>
      </c>
      <c r="EL41" s="1"/>
      <c r="EM41" s="1">
        <v>1</v>
      </c>
      <c r="EN41" s="1">
        <v>13</v>
      </c>
      <c r="EO41" s="1">
        <v>2</v>
      </c>
      <c r="EP41" s="1">
        <v>4</v>
      </c>
      <c r="EQ41" s="1">
        <v>2</v>
      </c>
      <c r="ER41" s="1">
        <v>2</v>
      </c>
      <c r="ES41" s="1">
        <v>5</v>
      </c>
      <c r="ET41" s="1">
        <v>6</v>
      </c>
      <c r="EU41" s="1">
        <v>2</v>
      </c>
      <c r="EV41" s="1">
        <v>1</v>
      </c>
      <c r="EW41" s="1">
        <v>2</v>
      </c>
      <c r="EX41" s="1">
        <v>11</v>
      </c>
      <c r="EY41" s="1">
        <v>20</v>
      </c>
      <c r="EZ41" s="1">
        <v>2</v>
      </c>
      <c r="FA41" s="1"/>
      <c r="FB41" s="1">
        <v>1</v>
      </c>
      <c r="FC41" s="1">
        <v>11</v>
      </c>
      <c r="FD41" s="1">
        <v>2</v>
      </c>
      <c r="FE41" s="1">
        <v>6</v>
      </c>
      <c r="FF41" s="1">
        <v>4</v>
      </c>
      <c r="FG41" s="1">
        <v>24</v>
      </c>
      <c r="FH41" s="1">
        <v>4</v>
      </c>
      <c r="FI41" s="1">
        <v>1</v>
      </c>
      <c r="FJ41" s="1">
        <v>5</v>
      </c>
      <c r="FK41" s="1">
        <v>9</v>
      </c>
      <c r="FL41" s="1">
        <v>4</v>
      </c>
      <c r="FM41" s="1">
        <v>4</v>
      </c>
      <c r="FN41" s="1"/>
      <c r="FO41" s="1">
        <v>6</v>
      </c>
      <c r="FP41" s="1">
        <v>5</v>
      </c>
      <c r="FQ41" s="1">
        <v>2</v>
      </c>
      <c r="FR41" s="1">
        <v>2</v>
      </c>
      <c r="FS41" s="1">
        <v>1</v>
      </c>
      <c r="FT41" s="1">
        <v>4</v>
      </c>
      <c r="FU41" s="1">
        <v>2</v>
      </c>
      <c r="FV41" s="1">
        <v>2</v>
      </c>
      <c r="FW41" s="1">
        <v>8</v>
      </c>
      <c r="FX41" s="1">
        <v>2</v>
      </c>
      <c r="FY41" s="1">
        <v>5</v>
      </c>
      <c r="FZ41" s="1">
        <v>2</v>
      </c>
      <c r="GA41" s="1">
        <v>5</v>
      </c>
      <c r="GB41" s="1">
        <v>1</v>
      </c>
      <c r="GC41" s="1"/>
      <c r="GD41" s="1"/>
      <c r="GE41" s="1">
        <v>4</v>
      </c>
      <c r="GF41" s="1">
        <v>6</v>
      </c>
      <c r="GG41" s="1">
        <v>4</v>
      </c>
      <c r="GH41" s="1">
        <v>4</v>
      </c>
      <c r="GI41" s="1">
        <v>1</v>
      </c>
      <c r="GJ41" s="1"/>
      <c r="GK41" s="1">
        <v>1</v>
      </c>
      <c r="GL41" s="1"/>
      <c r="GM41" s="1"/>
      <c r="GN41" s="1">
        <v>5</v>
      </c>
      <c r="GO41" s="1">
        <v>2</v>
      </c>
      <c r="GP41" s="1">
        <v>7</v>
      </c>
      <c r="GQ41" s="1">
        <v>9</v>
      </c>
      <c r="GR41" s="1">
        <v>3</v>
      </c>
      <c r="GS41" s="1">
        <v>6</v>
      </c>
      <c r="GT41" s="1">
        <v>2</v>
      </c>
      <c r="GU41" s="1"/>
      <c r="GV41" s="1">
        <v>1</v>
      </c>
      <c r="GW41" s="1">
        <v>5</v>
      </c>
      <c r="GX41" s="1">
        <v>7</v>
      </c>
      <c r="GY41" s="1">
        <v>4</v>
      </c>
      <c r="GZ41" s="1">
        <v>2</v>
      </c>
      <c r="HA41" s="1">
        <v>1</v>
      </c>
      <c r="HB41" s="1">
        <v>1</v>
      </c>
      <c r="HC41" s="1">
        <v>1</v>
      </c>
      <c r="HD41" s="1">
        <v>1</v>
      </c>
      <c r="HE41" s="1">
        <v>1</v>
      </c>
      <c r="HF41" s="1">
        <v>1</v>
      </c>
      <c r="HG41" s="1">
        <v>6</v>
      </c>
      <c r="HH41" s="1">
        <v>3</v>
      </c>
      <c r="HI41" s="1">
        <v>2</v>
      </c>
      <c r="HJ41" s="1">
        <v>5</v>
      </c>
      <c r="HK41" s="1">
        <v>3</v>
      </c>
      <c r="HL41" s="1">
        <v>1</v>
      </c>
      <c r="HM41" s="1">
        <v>3</v>
      </c>
      <c r="HN41" s="1">
        <v>2</v>
      </c>
      <c r="HO41" s="1">
        <v>2</v>
      </c>
      <c r="HP41" s="1">
        <v>2</v>
      </c>
      <c r="HQ41" s="1">
        <v>6</v>
      </c>
      <c r="HR41" s="1">
        <v>6</v>
      </c>
      <c r="HS41" s="1">
        <v>4</v>
      </c>
      <c r="HT41" s="1">
        <v>4</v>
      </c>
      <c r="HU41" s="1">
        <v>4</v>
      </c>
      <c r="HV41" s="1"/>
      <c r="HW41" s="1"/>
      <c r="HX41" s="1"/>
      <c r="IW41" s="1">
        <f t="shared" si="3"/>
        <v>368</v>
      </c>
      <c r="IX41" s="5">
        <v>7.46</v>
      </c>
      <c r="IY41" s="5">
        <f t="shared" si="4"/>
        <v>2745.28</v>
      </c>
      <c r="IZ41" s="5">
        <v>9.9499999999999993</v>
      </c>
      <c r="JA41" s="5">
        <f t="shared" si="2"/>
        <v>3661.6</v>
      </c>
    </row>
    <row r="42" spans="1:261">
      <c r="A42" s="16"/>
      <c r="B42" s="17"/>
      <c r="C42" s="51" t="s">
        <v>146</v>
      </c>
      <c r="D42" s="38" t="s">
        <v>158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>
        <v>4</v>
      </c>
      <c r="EB42" s="1">
        <v>6</v>
      </c>
      <c r="EC42" s="1">
        <v>4</v>
      </c>
      <c r="ED42" s="1">
        <v>3</v>
      </c>
      <c r="EE42" s="1">
        <v>3</v>
      </c>
      <c r="EF42" s="1">
        <v>4</v>
      </c>
      <c r="EG42" s="1">
        <v>5</v>
      </c>
      <c r="EH42" s="1">
        <v>5</v>
      </c>
      <c r="EI42" s="1"/>
      <c r="EJ42" s="1"/>
      <c r="EK42" s="1"/>
      <c r="EL42" s="1"/>
      <c r="EM42" s="9" t="s">
        <v>213</v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IW42" s="1">
        <f t="shared" si="3"/>
        <v>34</v>
      </c>
      <c r="IX42" s="5">
        <v>67.459999999999994</v>
      </c>
      <c r="IY42" s="5">
        <f t="shared" si="4"/>
        <v>2293.64</v>
      </c>
      <c r="IZ42" s="5">
        <v>89.95</v>
      </c>
      <c r="JA42" s="5">
        <f t="shared" si="2"/>
        <v>3058.3</v>
      </c>
    </row>
    <row r="43" spans="1:261">
      <c r="A43" s="16"/>
      <c r="B43" s="17"/>
      <c r="C43" s="53" t="s">
        <v>147</v>
      </c>
      <c r="D43" s="39" t="s">
        <v>159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>
        <v>1</v>
      </c>
      <c r="DZ43" s="1"/>
      <c r="EA43" s="1"/>
      <c r="EB43" s="1"/>
      <c r="EC43" s="1">
        <v>1</v>
      </c>
      <c r="ED43" s="1">
        <v>1</v>
      </c>
      <c r="EE43" s="1"/>
      <c r="EF43" s="1"/>
      <c r="EG43" s="1"/>
      <c r="EH43" s="1"/>
      <c r="EI43" s="1"/>
      <c r="EJ43" s="1"/>
      <c r="EK43" s="1"/>
      <c r="EL43" s="1">
        <v>2</v>
      </c>
      <c r="EM43" s="1">
        <v>2</v>
      </c>
      <c r="EN43" s="1"/>
      <c r="EO43" s="1"/>
      <c r="EP43" s="1"/>
      <c r="EQ43" s="1"/>
      <c r="ER43" s="1"/>
      <c r="ES43" s="1"/>
      <c r="ET43" s="1">
        <v>1</v>
      </c>
      <c r="EU43" s="1"/>
      <c r="EV43" s="1"/>
      <c r="EW43" s="1">
        <v>1</v>
      </c>
      <c r="EX43" s="1"/>
      <c r="EY43" s="1"/>
      <c r="EZ43" s="1"/>
      <c r="FA43" s="1"/>
      <c r="FB43" s="1"/>
      <c r="FC43" s="1"/>
      <c r="FD43" s="1"/>
      <c r="FE43" s="1">
        <v>1</v>
      </c>
      <c r="FF43" s="1"/>
      <c r="FG43" s="1"/>
      <c r="FH43" s="1"/>
      <c r="FI43" s="1">
        <v>3</v>
      </c>
      <c r="FJ43" s="1"/>
      <c r="FK43" s="1">
        <v>1</v>
      </c>
      <c r="FL43" s="1">
        <v>1</v>
      </c>
      <c r="FM43" s="1">
        <v>1</v>
      </c>
      <c r="FN43" s="1">
        <v>1</v>
      </c>
      <c r="FO43" s="1">
        <v>1</v>
      </c>
      <c r="FP43" s="1"/>
      <c r="FQ43" s="1">
        <v>1</v>
      </c>
      <c r="FR43" s="1"/>
      <c r="FS43" s="1">
        <v>2</v>
      </c>
      <c r="FT43" s="1"/>
      <c r="FU43" s="1">
        <v>1</v>
      </c>
      <c r="FV43" s="1"/>
      <c r="FW43" s="1">
        <v>2</v>
      </c>
      <c r="FX43" s="1"/>
      <c r="FY43" s="1">
        <v>2</v>
      </c>
      <c r="FZ43" s="1">
        <v>1</v>
      </c>
      <c r="GA43" s="1">
        <v>1</v>
      </c>
      <c r="GB43" s="1">
        <v>1</v>
      </c>
      <c r="GC43" s="1">
        <v>1</v>
      </c>
      <c r="GD43" s="1"/>
      <c r="GE43" s="1"/>
      <c r="GF43" s="1">
        <v>1</v>
      </c>
      <c r="GG43" s="1"/>
      <c r="GH43" s="1">
        <v>2</v>
      </c>
      <c r="GI43" s="1">
        <v>1</v>
      </c>
      <c r="GJ43" s="1"/>
      <c r="GK43" s="1">
        <v>3</v>
      </c>
      <c r="GL43" s="1"/>
      <c r="GM43" s="1"/>
      <c r="GN43" s="1"/>
      <c r="GO43" s="1"/>
      <c r="GP43" s="1">
        <v>2</v>
      </c>
      <c r="GQ43" s="1"/>
      <c r="GR43" s="1">
        <v>2</v>
      </c>
      <c r="GS43" s="1">
        <v>1</v>
      </c>
      <c r="GT43" s="1"/>
      <c r="GU43" s="1"/>
      <c r="GV43" s="1">
        <v>2</v>
      </c>
      <c r="GW43" s="1">
        <v>1</v>
      </c>
      <c r="GX43" s="1"/>
      <c r="GY43" s="1">
        <v>4</v>
      </c>
      <c r="GZ43" s="1"/>
      <c r="HA43" s="1"/>
      <c r="HB43" s="1">
        <v>1</v>
      </c>
      <c r="HC43" s="1">
        <v>1</v>
      </c>
      <c r="HD43" s="1"/>
      <c r="HE43" s="1"/>
      <c r="HF43" s="1">
        <v>1</v>
      </c>
      <c r="HG43" s="1">
        <v>2</v>
      </c>
      <c r="HH43" s="1"/>
      <c r="HI43" s="1">
        <v>4</v>
      </c>
      <c r="HJ43" s="1">
        <v>1</v>
      </c>
      <c r="HK43" s="1"/>
      <c r="HL43" s="1">
        <v>1</v>
      </c>
      <c r="HM43" s="1">
        <v>1</v>
      </c>
      <c r="HN43" s="1"/>
      <c r="HO43" s="1"/>
      <c r="HP43" s="1"/>
      <c r="HQ43" s="1"/>
      <c r="HR43" s="1"/>
      <c r="HS43" s="1">
        <v>3</v>
      </c>
      <c r="HT43" s="1">
        <v>1</v>
      </c>
      <c r="HU43" s="1">
        <v>1</v>
      </c>
      <c r="HV43" s="1"/>
      <c r="HW43" s="1"/>
      <c r="HX43" s="1"/>
      <c r="IW43" s="1">
        <f t="shared" si="3"/>
        <v>66</v>
      </c>
      <c r="IX43" s="5">
        <v>11.21</v>
      </c>
      <c r="IY43" s="5">
        <f t="shared" si="4"/>
        <v>739.86</v>
      </c>
      <c r="IZ43" s="5">
        <v>14.95</v>
      </c>
      <c r="JA43" s="5">
        <f t="shared" si="2"/>
        <v>986.69999999999993</v>
      </c>
    </row>
    <row r="44" spans="1:261">
      <c r="A44" s="16"/>
      <c r="B44" s="17"/>
      <c r="C44" s="53" t="s">
        <v>148</v>
      </c>
      <c r="D44" s="39" t="s">
        <v>160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>
        <v>1</v>
      </c>
      <c r="EF44" s="1"/>
      <c r="EG44" s="1"/>
      <c r="EH44" s="1"/>
      <c r="EI44" s="1"/>
      <c r="EJ44" s="1"/>
      <c r="EK44" s="1"/>
      <c r="EL44">
        <v>4</v>
      </c>
      <c r="EM44" s="1">
        <v>4</v>
      </c>
      <c r="EN44" s="1"/>
      <c r="EO44" s="1"/>
      <c r="EP44" s="1">
        <v>1</v>
      </c>
      <c r="EQ44" s="1"/>
      <c r="ER44" s="1"/>
      <c r="ES44" s="1"/>
      <c r="ET44" s="1">
        <v>2</v>
      </c>
      <c r="EU44" s="1">
        <v>1</v>
      </c>
      <c r="EV44" s="1">
        <v>1</v>
      </c>
      <c r="EW44" s="1">
        <v>1</v>
      </c>
      <c r="EX44" s="1"/>
      <c r="EY44" s="1"/>
      <c r="EZ44" s="1">
        <v>1</v>
      </c>
      <c r="FA44" s="1"/>
      <c r="FB44" s="1">
        <v>3</v>
      </c>
      <c r="FC44" s="1">
        <v>1</v>
      </c>
      <c r="FD44" s="1">
        <v>6</v>
      </c>
      <c r="FE44" s="1">
        <v>3</v>
      </c>
      <c r="FF44" s="1"/>
      <c r="FG44" s="1">
        <v>4</v>
      </c>
      <c r="FH44" s="1">
        <v>1</v>
      </c>
      <c r="FI44" s="1">
        <v>1</v>
      </c>
      <c r="FJ44" s="1"/>
      <c r="FK44" s="1">
        <v>2</v>
      </c>
      <c r="FL44" s="1">
        <v>1</v>
      </c>
      <c r="FM44" s="1"/>
      <c r="FN44" s="1"/>
      <c r="FO44" s="1">
        <v>3</v>
      </c>
      <c r="FP44" s="1"/>
      <c r="FQ44" s="1">
        <v>1</v>
      </c>
      <c r="FR44" s="1">
        <v>2</v>
      </c>
      <c r="FS44" s="1">
        <v>2</v>
      </c>
      <c r="FT44" s="1">
        <v>2</v>
      </c>
      <c r="FU44" s="1"/>
      <c r="FV44" s="1">
        <v>1</v>
      </c>
      <c r="FW44" s="1"/>
      <c r="FX44" s="1">
        <v>2</v>
      </c>
      <c r="FY44" s="1">
        <v>2</v>
      </c>
      <c r="FZ44" s="1">
        <v>1</v>
      </c>
      <c r="GA44" s="1">
        <v>2</v>
      </c>
      <c r="GB44" s="1">
        <v>1</v>
      </c>
      <c r="GC44" s="1">
        <v>1</v>
      </c>
      <c r="GD44" s="1">
        <v>5</v>
      </c>
      <c r="GE44" s="1">
        <v>2</v>
      </c>
      <c r="GF44" s="1">
        <v>1</v>
      </c>
      <c r="GG44" s="1">
        <v>1</v>
      </c>
      <c r="GH44" s="1">
        <v>1</v>
      </c>
      <c r="GI44" s="1">
        <v>1</v>
      </c>
      <c r="GJ44" s="1">
        <v>1</v>
      </c>
      <c r="GK44" s="1">
        <v>7</v>
      </c>
      <c r="GL44" s="1"/>
      <c r="GM44" s="1">
        <v>2</v>
      </c>
      <c r="GN44" s="1">
        <v>2</v>
      </c>
      <c r="GO44" s="1"/>
      <c r="GP44" s="1">
        <v>3</v>
      </c>
      <c r="GQ44" s="1">
        <v>4</v>
      </c>
      <c r="GR44" s="1">
        <v>3</v>
      </c>
      <c r="GS44" s="1">
        <v>1</v>
      </c>
      <c r="GT44" s="1"/>
      <c r="GU44" s="1"/>
      <c r="GV44" s="1">
        <v>3</v>
      </c>
      <c r="GW44" s="1">
        <v>4</v>
      </c>
      <c r="GX44" s="1">
        <v>5</v>
      </c>
      <c r="GY44" s="1">
        <v>7</v>
      </c>
      <c r="GZ44" s="1">
        <v>4</v>
      </c>
      <c r="HA44" s="1"/>
      <c r="HB44" s="1"/>
      <c r="HC44" s="1"/>
      <c r="HD44" s="1">
        <v>2</v>
      </c>
      <c r="HE44" s="1"/>
      <c r="HF44" s="42">
        <v>2</v>
      </c>
      <c r="HG44" s="1">
        <v>1</v>
      </c>
      <c r="HH44" s="1"/>
      <c r="HI44" s="1">
        <v>1</v>
      </c>
      <c r="HJ44" s="1"/>
      <c r="HK44" s="1"/>
      <c r="HL44" s="1">
        <v>1</v>
      </c>
      <c r="HM44" s="1">
        <v>1</v>
      </c>
      <c r="HN44" s="1"/>
      <c r="HO44" s="1"/>
      <c r="HP44" s="1"/>
      <c r="HQ44" s="1">
        <v>2</v>
      </c>
      <c r="HR44" s="1">
        <v>3</v>
      </c>
      <c r="HS44" s="1">
        <v>5</v>
      </c>
      <c r="HT44" s="1">
        <v>4</v>
      </c>
      <c r="HU44" s="1">
        <v>2</v>
      </c>
      <c r="HV44" s="1"/>
      <c r="HW44" s="1"/>
      <c r="HX44" s="1"/>
      <c r="IW44" s="1">
        <f t="shared" si="3"/>
        <v>139</v>
      </c>
      <c r="IX44" s="5">
        <v>11.21</v>
      </c>
      <c r="IY44" s="5">
        <f t="shared" si="4"/>
        <v>1558.19</v>
      </c>
      <c r="IZ44" s="5">
        <v>14.95</v>
      </c>
      <c r="JA44" s="5">
        <f t="shared" si="2"/>
        <v>2078.0499999999997</v>
      </c>
    </row>
    <row r="45" spans="1:261">
      <c r="A45" s="16"/>
      <c r="B45" s="17"/>
      <c r="C45" s="53" t="s">
        <v>149</v>
      </c>
      <c r="D45" s="39" t="s">
        <v>161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>
        <v>1</v>
      </c>
      <c r="DZ45" s="1"/>
      <c r="EA45" s="1"/>
      <c r="EB45" s="1"/>
      <c r="EC45" s="1"/>
      <c r="ED45" s="1">
        <v>2</v>
      </c>
      <c r="EE45" s="1"/>
      <c r="EF45" s="1"/>
      <c r="EG45" s="1">
        <v>1</v>
      </c>
      <c r="EH45" s="1">
        <v>2</v>
      </c>
      <c r="EI45" s="1"/>
      <c r="EJ45" s="1">
        <v>2</v>
      </c>
      <c r="EK45" s="1">
        <v>1</v>
      </c>
      <c r="EL45" s="1">
        <v>4</v>
      </c>
      <c r="EM45" s="1">
        <v>1</v>
      </c>
      <c r="EN45" s="1">
        <v>1</v>
      </c>
      <c r="EO45" s="1"/>
      <c r="EP45" s="1">
        <v>1</v>
      </c>
      <c r="EQ45" s="1"/>
      <c r="ER45" s="1"/>
      <c r="ES45" s="1">
        <v>1</v>
      </c>
      <c r="ET45" s="1"/>
      <c r="EU45" s="1">
        <v>3</v>
      </c>
      <c r="EV45" s="1">
        <v>2</v>
      </c>
      <c r="EW45" s="1">
        <v>4</v>
      </c>
      <c r="EX45" s="1"/>
      <c r="EY45" s="1">
        <v>1</v>
      </c>
      <c r="EZ45" s="1">
        <v>3</v>
      </c>
      <c r="FA45" s="1">
        <v>2</v>
      </c>
      <c r="FB45" s="1">
        <v>3</v>
      </c>
      <c r="FC45" s="1">
        <v>3</v>
      </c>
      <c r="FD45" s="1">
        <v>3</v>
      </c>
      <c r="FE45" s="1">
        <v>2</v>
      </c>
      <c r="FF45" s="1"/>
      <c r="FG45" s="1">
        <v>7</v>
      </c>
      <c r="FH45" s="1">
        <v>1</v>
      </c>
      <c r="FI45" s="1"/>
      <c r="FJ45" s="1">
        <v>2</v>
      </c>
      <c r="FK45" s="1">
        <v>4</v>
      </c>
      <c r="FL45" s="1"/>
      <c r="FM45" s="1">
        <v>1</v>
      </c>
      <c r="FN45" s="1">
        <v>1</v>
      </c>
      <c r="FO45" s="1">
        <v>1</v>
      </c>
      <c r="FP45" s="1">
        <v>3</v>
      </c>
      <c r="FQ45" s="1">
        <v>1</v>
      </c>
      <c r="FR45" s="1">
        <v>2</v>
      </c>
      <c r="FS45" s="1">
        <v>1</v>
      </c>
      <c r="FT45" s="1">
        <v>2</v>
      </c>
      <c r="FU45" s="1"/>
      <c r="FV45" s="1">
        <v>2</v>
      </c>
      <c r="FW45" s="1">
        <v>3</v>
      </c>
      <c r="FX45" s="1">
        <v>3</v>
      </c>
      <c r="FY45" s="1">
        <v>3</v>
      </c>
      <c r="FZ45" s="1">
        <v>4</v>
      </c>
      <c r="GA45" s="1">
        <v>1</v>
      </c>
      <c r="GB45" s="1">
        <v>3</v>
      </c>
      <c r="GC45" s="1">
        <v>2</v>
      </c>
      <c r="GD45" s="1"/>
      <c r="GE45" s="1"/>
      <c r="GF45" s="1"/>
      <c r="GG45" s="1"/>
      <c r="GH45" s="1">
        <v>1</v>
      </c>
      <c r="GI45" s="1">
        <v>2</v>
      </c>
      <c r="GJ45" s="1">
        <v>2</v>
      </c>
      <c r="GK45" s="1"/>
      <c r="GL45" s="1">
        <v>3</v>
      </c>
      <c r="GM45" s="1">
        <v>1</v>
      </c>
      <c r="GN45" s="1">
        <v>2</v>
      </c>
      <c r="GO45" s="1"/>
      <c r="GP45" s="1">
        <v>4</v>
      </c>
      <c r="GQ45" s="1">
        <v>3</v>
      </c>
      <c r="GR45" s="1">
        <v>1</v>
      </c>
      <c r="GS45" s="1">
        <v>3</v>
      </c>
      <c r="GT45" s="1"/>
      <c r="GU45" s="1">
        <v>1</v>
      </c>
      <c r="GV45" s="1"/>
      <c r="GW45" s="1"/>
      <c r="GX45" s="1">
        <v>1</v>
      </c>
      <c r="GY45" s="1"/>
      <c r="GZ45" s="1">
        <v>1</v>
      </c>
      <c r="HA45" s="1">
        <v>1</v>
      </c>
      <c r="HB45" s="1">
        <v>1</v>
      </c>
      <c r="HC45" s="1">
        <v>1</v>
      </c>
      <c r="HD45" s="1">
        <v>4</v>
      </c>
      <c r="HE45" s="1">
        <v>2</v>
      </c>
      <c r="HF45" s="1">
        <v>3</v>
      </c>
      <c r="HG45" s="1"/>
      <c r="HH45" s="1">
        <v>1</v>
      </c>
      <c r="HI45" s="1">
        <v>3</v>
      </c>
      <c r="HJ45" s="1">
        <v>2</v>
      </c>
      <c r="HK45" s="1">
        <v>4</v>
      </c>
      <c r="HL45" s="1">
        <v>3</v>
      </c>
      <c r="HM45" s="1">
        <v>2</v>
      </c>
      <c r="HN45" s="1">
        <v>2</v>
      </c>
      <c r="HO45" s="1">
        <v>5</v>
      </c>
      <c r="HP45" s="1">
        <v>4</v>
      </c>
      <c r="HQ45" s="1"/>
      <c r="HR45" s="1">
        <v>3</v>
      </c>
      <c r="HS45" s="1">
        <v>2</v>
      </c>
      <c r="HT45" s="1">
        <v>1</v>
      </c>
      <c r="HU45" s="1">
        <v>2</v>
      </c>
      <c r="HV45" s="1"/>
      <c r="HW45" s="1"/>
      <c r="HX45" s="1"/>
      <c r="IW45" s="1">
        <f t="shared" si="3"/>
        <v>161</v>
      </c>
      <c r="IX45" s="5">
        <v>18.71</v>
      </c>
      <c r="IY45" s="5">
        <f t="shared" si="4"/>
        <v>3012.31</v>
      </c>
      <c r="IZ45" s="5">
        <v>29.95</v>
      </c>
      <c r="JA45" s="5">
        <f t="shared" si="2"/>
        <v>4821.95</v>
      </c>
    </row>
    <row r="46" spans="1:261">
      <c r="A46" s="16"/>
      <c r="B46" s="17"/>
      <c r="C46" s="53" t="s">
        <v>150</v>
      </c>
      <c r="D46" s="39" t="s">
        <v>162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>
        <v>1</v>
      </c>
      <c r="EA46" s="1">
        <v>2</v>
      </c>
      <c r="EB46" s="1">
        <v>6</v>
      </c>
      <c r="EC46" s="1">
        <v>4</v>
      </c>
      <c r="ED46" s="1">
        <v>4</v>
      </c>
      <c r="EE46" s="1"/>
      <c r="EF46" s="1">
        <v>1</v>
      </c>
      <c r="EG46" s="1">
        <v>2</v>
      </c>
      <c r="EH46" s="1">
        <v>2</v>
      </c>
      <c r="EI46" s="1">
        <v>3</v>
      </c>
      <c r="EJ46" s="1">
        <v>3</v>
      </c>
      <c r="EK46" s="1">
        <v>2</v>
      </c>
      <c r="EL46" s="1">
        <v>3</v>
      </c>
      <c r="EM46" s="1"/>
      <c r="EN46" s="1">
        <v>5</v>
      </c>
      <c r="EO46" s="1">
        <v>1</v>
      </c>
      <c r="EP46" s="1">
        <v>3</v>
      </c>
      <c r="EQ46" s="1">
        <v>8</v>
      </c>
      <c r="ER46" s="1">
        <v>7</v>
      </c>
      <c r="ES46" s="1">
        <v>10</v>
      </c>
      <c r="ET46" s="1">
        <v>2</v>
      </c>
      <c r="EU46" s="1">
        <v>9</v>
      </c>
      <c r="EV46" s="1">
        <v>4</v>
      </c>
      <c r="EW46" s="1">
        <v>3</v>
      </c>
      <c r="EX46" s="1"/>
      <c r="EY46" s="1">
        <v>6</v>
      </c>
      <c r="EZ46" s="1">
        <v>1</v>
      </c>
      <c r="FA46" s="1">
        <v>2</v>
      </c>
      <c r="FB46" s="1">
        <v>5</v>
      </c>
      <c r="FC46" s="1">
        <v>4</v>
      </c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>
        <v>3</v>
      </c>
      <c r="FU46" s="1"/>
      <c r="FV46" s="1"/>
      <c r="FW46" s="1"/>
      <c r="FX46" s="1">
        <v>4</v>
      </c>
      <c r="FY46" s="1">
        <v>2</v>
      </c>
      <c r="FZ46" s="1">
        <v>4</v>
      </c>
      <c r="GA46" s="1"/>
      <c r="GB46" s="1">
        <v>1</v>
      </c>
      <c r="GC46" s="1">
        <v>1</v>
      </c>
      <c r="GD46" s="1">
        <v>2</v>
      </c>
      <c r="GE46" s="1">
        <v>2</v>
      </c>
      <c r="GF46" s="1">
        <v>5</v>
      </c>
      <c r="GG46" s="1">
        <v>4</v>
      </c>
      <c r="GH46" s="1">
        <v>3</v>
      </c>
      <c r="GI46" s="1">
        <v>1</v>
      </c>
      <c r="GJ46" s="1">
        <v>2</v>
      </c>
      <c r="GK46" s="1"/>
      <c r="GL46" s="1">
        <v>7</v>
      </c>
      <c r="GM46" s="1">
        <v>1</v>
      </c>
      <c r="GN46" s="1">
        <v>4</v>
      </c>
      <c r="GO46" s="1">
        <v>5</v>
      </c>
      <c r="GP46" s="1">
        <v>3</v>
      </c>
      <c r="GQ46" s="1">
        <v>15</v>
      </c>
      <c r="GR46" s="1">
        <v>6</v>
      </c>
      <c r="GS46" s="1">
        <v>1</v>
      </c>
      <c r="GT46" s="1"/>
      <c r="GU46" s="1"/>
      <c r="GV46" s="1">
        <v>3</v>
      </c>
      <c r="GW46" s="1"/>
      <c r="GX46" s="1"/>
      <c r="GY46" s="1"/>
      <c r="GZ46" s="1">
        <v>2</v>
      </c>
      <c r="HA46" s="1">
        <v>4</v>
      </c>
      <c r="HB46" s="1">
        <v>3</v>
      </c>
      <c r="HC46" s="1">
        <v>8</v>
      </c>
      <c r="HD46" s="1">
        <v>6</v>
      </c>
      <c r="HE46" s="1">
        <v>2</v>
      </c>
      <c r="HF46" s="1">
        <v>3</v>
      </c>
      <c r="HG46" s="1">
        <v>3</v>
      </c>
      <c r="HH46" s="1">
        <v>5</v>
      </c>
      <c r="HI46" s="1">
        <v>5</v>
      </c>
      <c r="HJ46" s="1">
        <v>5</v>
      </c>
      <c r="HK46" s="1">
        <v>8</v>
      </c>
      <c r="HL46" s="42">
        <v>5</v>
      </c>
      <c r="HM46" s="1">
        <v>5</v>
      </c>
      <c r="HN46" s="1">
        <v>3</v>
      </c>
      <c r="HO46" s="1">
        <v>5</v>
      </c>
      <c r="HP46" s="1">
        <v>7</v>
      </c>
      <c r="HQ46" s="1">
        <v>1</v>
      </c>
      <c r="HR46" s="1">
        <v>2</v>
      </c>
      <c r="HS46" s="1">
        <v>3</v>
      </c>
      <c r="HT46" s="1">
        <v>5</v>
      </c>
      <c r="HU46" s="1">
        <v>9</v>
      </c>
      <c r="HV46" s="1"/>
      <c r="HW46" s="1"/>
      <c r="HX46" s="1"/>
      <c r="IW46" s="1">
        <f t="shared" si="3"/>
        <v>281</v>
      </c>
      <c r="IX46" s="5">
        <v>18.71</v>
      </c>
      <c r="IY46" s="5">
        <f t="shared" si="4"/>
        <v>5257.51</v>
      </c>
      <c r="IZ46" s="5">
        <v>29.95</v>
      </c>
      <c r="JA46" s="5">
        <f t="shared" si="2"/>
        <v>8415.9499999999989</v>
      </c>
    </row>
    <row r="47" spans="1:261">
      <c r="A47" s="16"/>
      <c r="B47" s="17"/>
      <c r="C47" s="53" t="s">
        <v>163</v>
      </c>
      <c r="D47" s="39" t="s">
        <v>164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>
        <v>1</v>
      </c>
      <c r="DZ47" s="1">
        <v>2</v>
      </c>
      <c r="EA47" s="1"/>
      <c r="EB47" s="1"/>
      <c r="EC47" s="1">
        <v>2</v>
      </c>
      <c r="ED47" s="1">
        <v>1</v>
      </c>
      <c r="EE47" s="1"/>
      <c r="EF47" s="1"/>
      <c r="EG47" s="1">
        <v>1</v>
      </c>
      <c r="EH47" s="1">
        <v>1</v>
      </c>
      <c r="EI47" s="1">
        <v>5</v>
      </c>
      <c r="EJ47" s="1">
        <v>4</v>
      </c>
      <c r="EK47" s="1">
        <v>5</v>
      </c>
      <c r="EL47" s="1">
        <v>4</v>
      </c>
      <c r="EM47" s="1">
        <v>5</v>
      </c>
      <c r="EN47" s="1">
        <v>16</v>
      </c>
      <c r="EO47" s="1">
        <v>16</v>
      </c>
      <c r="EP47" s="1">
        <v>9</v>
      </c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>
        <v>6</v>
      </c>
      <c r="GQ47" s="1">
        <v>9</v>
      </c>
      <c r="GR47" s="1">
        <v>22</v>
      </c>
      <c r="GS47" s="1">
        <v>5</v>
      </c>
      <c r="GT47" s="1"/>
      <c r="GU47" s="1"/>
      <c r="GV47" s="1">
        <v>3</v>
      </c>
      <c r="GW47" s="1">
        <v>3</v>
      </c>
      <c r="GX47" s="1">
        <v>11</v>
      </c>
      <c r="GY47" s="1">
        <v>2</v>
      </c>
      <c r="GZ47" s="1">
        <v>6</v>
      </c>
      <c r="HA47" s="1">
        <v>2</v>
      </c>
      <c r="HB47" s="1">
        <v>7</v>
      </c>
      <c r="HC47" s="1">
        <v>4</v>
      </c>
      <c r="HD47" s="1">
        <v>7</v>
      </c>
      <c r="HE47" s="1">
        <v>3</v>
      </c>
      <c r="HF47" s="1">
        <v>3</v>
      </c>
      <c r="HG47" s="1">
        <v>7</v>
      </c>
      <c r="HH47" s="1">
        <v>5</v>
      </c>
      <c r="HI47" s="1">
        <v>6</v>
      </c>
      <c r="HJ47" s="1">
        <v>5</v>
      </c>
      <c r="HK47" s="1">
        <v>7</v>
      </c>
      <c r="HL47" s="1">
        <v>6</v>
      </c>
      <c r="HM47" s="1">
        <v>6</v>
      </c>
      <c r="HN47" s="1">
        <v>6</v>
      </c>
      <c r="HO47" s="1">
        <v>6</v>
      </c>
      <c r="HP47" s="1">
        <v>4</v>
      </c>
      <c r="HQ47" s="1">
        <v>13</v>
      </c>
      <c r="HR47" s="1">
        <v>1</v>
      </c>
      <c r="HS47" s="1">
        <v>3</v>
      </c>
      <c r="HT47" s="1">
        <v>7</v>
      </c>
      <c r="HU47" s="1">
        <v>3</v>
      </c>
      <c r="HV47" s="1"/>
      <c r="HW47" s="1"/>
      <c r="HX47" s="1"/>
      <c r="IW47" s="1">
        <f t="shared" si="3"/>
        <v>250</v>
      </c>
      <c r="IX47" s="5">
        <v>22.46</v>
      </c>
      <c r="IY47" s="5">
        <f t="shared" si="4"/>
        <v>5615</v>
      </c>
      <c r="IZ47" s="5">
        <v>29.95</v>
      </c>
      <c r="JA47" s="5">
        <f t="shared" si="2"/>
        <v>7487.5</v>
      </c>
    </row>
    <row r="48" spans="1:261">
      <c r="A48" s="16"/>
      <c r="B48" s="17"/>
      <c r="C48" s="51" t="s">
        <v>165</v>
      </c>
      <c r="D48" s="39" t="s">
        <v>192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>
        <v>1</v>
      </c>
      <c r="EF48" s="1">
        <v>2</v>
      </c>
      <c r="EG48" s="1"/>
      <c r="EH48" s="1"/>
      <c r="EI48" s="1"/>
      <c r="EJ48" s="1"/>
      <c r="EK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>
        <v>7</v>
      </c>
      <c r="EX48" s="1"/>
      <c r="EY48" s="1">
        <v>2</v>
      </c>
      <c r="EZ48" s="1">
        <v>4</v>
      </c>
      <c r="FA48" s="1">
        <v>7</v>
      </c>
      <c r="FB48" s="1">
        <v>22</v>
      </c>
      <c r="FC48" s="1">
        <v>6</v>
      </c>
      <c r="FD48" s="1">
        <v>24</v>
      </c>
      <c r="FE48" s="1">
        <v>23</v>
      </c>
      <c r="FF48" s="52">
        <v>257</v>
      </c>
      <c r="FG48" s="1">
        <v>23</v>
      </c>
      <c r="FH48" s="1">
        <v>3</v>
      </c>
      <c r="FI48" s="1">
        <v>11</v>
      </c>
      <c r="FJ48" s="1">
        <v>56</v>
      </c>
      <c r="FK48" s="1">
        <v>66</v>
      </c>
      <c r="FL48" s="1">
        <v>65</v>
      </c>
      <c r="FM48" s="1">
        <v>17</v>
      </c>
      <c r="FN48" s="1"/>
      <c r="FO48" s="1"/>
      <c r="FP48" s="1"/>
      <c r="FQ48" s="1"/>
      <c r="FR48" s="1"/>
      <c r="FS48" s="9" t="s">
        <v>213</v>
      </c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IW48" s="1">
        <f t="shared" si="3"/>
        <v>596</v>
      </c>
      <c r="IX48" s="5">
        <v>37.46</v>
      </c>
      <c r="IY48" s="5">
        <f t="shared" si="4"/>
        <v>22326.16</v>
      </c>
      <c r="IZ48" s="5">
        <v>49.95</v>
      </c>
      <c r="JA48" s="5">
        <f t="shared" si="2"/>
        <v>29770.2</v>
      </c>
    </row>
    <row r="49" spans="1:261">
      <c r="A49" s="16"/>
      <c r="B49" s="17"/>
      <c r="C49" s="51" t="s">
        <v>193</v>
      </c>
      <c r="D49" s="39" t="s">
        <v>194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>
        <v>5</v>
      </c>
      <c r="FC49" s="1">
        <v>27</v>
      </c>
      <c r="FD49" s="1">
        <v>14</v>
      </c>
      <c r="FE49" s="1">
        <v>25</v>
      </c>
      <c r="FF49" s="52">
        <v>351</v>
      </c>
      <c r="FG49" s="1">
        <v>54</v>
      </c>
      <c r="FH49" s="1">
        <v>35</v>
      </c>
      <c r="FI49" s="1">
        <v>35</v>
      </c>
      <c r="FJ49" s="1">
        <v>70</v>
      </c>
      <c r="FK49" s="1">
        <v>51</v>
      </c>
      <c r="FL49" s="1">
        <v>42</v>
      </c>
      <c r="FM49" s="1">
        <v>40</v>
      </c>
      <c r="FN49" s="1">
        <v>51</v>
      </c>
      <c r="FO49" s="1">
        <v>2</v>
      </c>
      <c r="FP49" s="1">
        <v>32</v>
      </c>
      <c r="FQ49" s="1">
        <v>65</v>
      </c>
      <c r="FR49" s="1">
        <v>63</v>
      </c>
      <c r="FS49" s="52">
        <v>111</v>
      </c>
      <c r="FT49" s="1">
        <v>24</v>
      </c>
      <c r="FU49" s="1">
        <v>9</v>
      </c>
      <c r="FV49" s="1">
        <v>14</v>
      </c>
      <c r="FW49" s="1">
        <v>36</v>
      </c>
      <c r="FX49" s="1">
        <v>22</v>
      </c>
      <c r="FY49" s="1">
        <v>23</v>
      </c>
      <c r="FZ49" s="1">
        <v>17</v>
      </c>
      <c r="GA49" s="1">
        <v>20</v>
      </c>
      <c r="GB49" s="1">
        <v>29</v>
      </c>
      <c r="GC49" s="1">
        <v>33</v>
      </c>
      <c r="GD49" s="1">
        <v>50</v>
      </c>
      <c r="GE49" s="1">
        <v>9</v>
      </c>
      <c r="GF49" s="1">
        <v>30</v>
      </c>
      <c r="GG49" s="1">
        <v>19</v>
      </c>
      <c r="GH49" s="1">
        <v>15</v>
      </c>
      <c r="GI49" s="1">
        <v>11</v>
      </c>
      <c r="GJ49" s="1">
        <v>22</v>
      </c>
      <c r="GK49" s="1">
        <v>26</v>
      </c>
      <c r="GL49" s="1">
        <v>17</v>
      </c>
      <c r="GM49" s="1">
        <v>16</v>
      </c>
      <c r="GN49" s="1">
        <v>21</v>
      </c>
      <c r="GO49" s="1">
        <v>22</v>
      </c>
      <c r="GP49" s="1">
        <v>81</v>
      </c>
      <c r="GQ49" s="1">
        <v>144</v>
      </c>
      <c r="GR49" s="1">
        <v>94</v>
      </c>
      <c r="GS49" s="1">
        <v>70</v>
      </c>
      <c r="GT49" s="1">
        <v>15</v>
      </c>
      <c r="GU49" s="1">
        <v>5</v>
      </c>
      <c r="GV49" s="1">
        <v>39</v>
      </c>
      <c r="GW49" s="1">
        <v>21</v>
      </c>
      <c r="GX49" s="1">
        <v>44</v>
      </c>
      <c r="GY49" s="1">
        <v>15</v>
      </c>
      <c r="GZ49" s="1">
        <v>12</v>
      </c>
      <c r="HA49" s="1">
        <v>2</v>
      </c>
      <c r="HB49" s="1">
        <v>5</v>
      </c>
      <c r="HC49" s="1">
        <v>16</v>
      </c>
      <c r="HD49" s="1">
        <v>14</v>
      </c>
      <c r="HE49" s="1">
        <v>8</v>
      </c>
      <c r="HF49" s="9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IW49" s="1">
        <f t="shared" si="3"/>
        <v>2143</v>
      </c>
      <c r="IX49" s="5">
        <v>37.46</v>
      </c>
      <c r="IY49" s="5">
        <f t="shared" si="4"/>
        <v>80276.78</v>
      </c>
      <c r="IZ49" s="5">
        <v>49.95</v>
      </c>
      <c r="JA49" s="5">
        <f t="shared" si="2"/>
        <v>107042.85</v>
      </c>
    </row>
    <row r="50" spans="1:261">
      <c r="A50" s="16"/>
      <c r="B50" s="17"/>
      <c r="C50" s="53" t="s">
        <v>166</v>
      </c>
      <c r="D50" s="4" t="s">
        <v>203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>
        <v>1</v>
      </c>
      <c r="EH50" s="1"/>
      <c r="EI50" s="1"/>
      <c r="EJ50" s="1">
        <v>3</v>
      </c>
      <c r="EK50" s="1">
        <v>3</v>
      </c>
      <c r="EL50" s="1">
        <v>2</v>
      </c>
      <c r="EM50" s="1">
        <v>2</v>
      </c>
      <c r="EN50" s="1">
        <v>4</v>
      </c>
      <c r="EO50" s="1">
        <v>9</v>
      </c>
      <c r="EP50" s="1">
        <v>19</v>
      </c>
      <c r="EQ50" s="1">
        <v>13</v>
      </c>
      <c r="ER50" s="1">
        <v>46</v>
      </c>
      <c r="ES50" s="1">
        <v>29</v>
      </c>
      <c r="ET50" s="1">
        <v>2</v>
      </c>
      <c r="EU50" s="1">
        <v>5</v>
      </c>
      <c r="EV50" s="1">
        <v>16</v>
      </c>
      <c r="EW50" s="1"/>
      <c r="EX50" s="1">
        <v>7</v>
      </c>
      <c r="EY50" s="1">
        <v>6</v>
      </c>
      <c r="EZ50" s="1">
        <v>3</v>
      </c>
      <c r="FA50" s="1">
        <v>3</v>
      </c>
      <c r="FB50" s="1">
        <v>4</v>
      </c>
      <c r="FC50" s="1">
        <v>7</v>
      </c>
      <c r="FD50" s="1">
        <v>3</v>
      </c>
      <c r="FE50" s="1">
        <v>4</v>
      </c>
      <c r="FF50" s="1">
        <v>5</v>
      </c>
      <c r="FG50" s="1">
        <v>2</v>
      </c>
      <c r="FH50" s="1">
        <v>2</v>
      </c>
      <c r="FI50" s="1">
        <v>3</v>
      </c>
      <c r="FJ50" s="1">
        <v>4</v>
      </c>
      <c r="FK50" s="1"/>
      <c r="FL50" s="1">
        <v>1</v>
      </c>
      <c r="FM50" s="1">
        <v>1</v>
      </c>
      <c r="FN50" s="1">
        <v>3</v>
      </c>
      <c r="FO50" s="1">
        <v>3</v>
      </c>
      <c r="FP50" s="1">
        <v>3</v>
      </c>
      <c r="FQ50" s="1">
        <v>5</v>
      </c>
      <c r="FR50" s="1"/>
      <c r="FS50" s="1">
        <v>7</v>
      </c>
      <c r="FT50" s="1">
        <v>5</v>
      </c>
      <c r="FU50" s="52">
        <v>9</v>
      </c>
      <c r="FV50" s="1">
        <v>0</v>
      </c>
      <c r="FW50" s="1">
        <v>4</v>
      </c>
      <c r="FX50" s="1">
        <v>2</v>
      </c>
      <c r="FY50" s="1">
        <v>1</v>
      </c>
      <c r="FZ50" s="1">
        <v>3</v>
      </c>
      <c r="GA50" s="1">
        <v>5</v>
      </c>
      <c r="GB50" s="1">
        <v>7</v>
      </c>
      <c r="GC50" s="1">
        <v>4</v>
      </c>
      <c r="GD50" s="1">
        <v>5</v>
      </c>
      <c r="GE50" s="1">
        <v>2</v>
      </c>
      <c r="GF50" s="1">
        <v>3</v>
      </c>
      <c r="GG50" s="1">
        <v>7</v>
      </c>
      <c r="GH50" s="1">
        <v>4</v>
      </c>
      <c r="GI50" s="1">
        <v>2</v>
      </c>
      <c r="GJ50" s="1">
        <v>6</v>
      </c>
      <c r="GK50" s="1">
        <v>3</v>
      </c>
      <c r="GL50" s="1">
        <v>6</v>
      </c>
      <c r="GM50" s="1">
        <v>7</v>
      </c>
      <c r="GN50" s="1">
        <v>4</v>
      </c>
      <c r="GO50" s="1">
        <v>13</v>
      </c>
      <c r="GP50" s="1">
        <v>43</v>
      </c>
      <c r="GQ50" s="1">
        <v>40</v>
      </c>
      <c r="GR50" s="1">
        <v>31</v>
      </c>
      <c r="GS50" s="1">
        <v>75</v>
      </c>
      <c r="GT50" s="1">
        <v>2</v>
      </c>
      <c r="GU50" s="1">
        <v>2</v>
      </c>
      <c r="GV50" s="1">
        <v>10</v>
      </c>
      <c r="GW50" s="1">
        <v>2</v>
      </c>
      <c r="GX50" s="1">
        <v>13</v>
      </c>
      <c r="GY50" s="1">
        <v>1</v>
      </c>
      <c r="GZ50" s="1">
        <v>8</v>
      </c>
      <c r="HA50" s="52">
        <v>24</v>
      </c>
      <c r="HB50" s="1">
        <v>5</v>
      </c>
      <c r="HC50" s="1">
        <v>2</v>
      </c>
      <c r="HD50" s="1">
        <v>2</v>
      </c>
      <c r="HE50" s="1"/>
      <c r="HF50" s="1">
        <v>5</v>
      </c>
      <c r="HG50" s="1">
        <v>3</v>
      </c>
      <c r="HH50" s="1"/>
      <c r="HI50" s="1">
        <v>2</v>
      </c>
      <c r="HJ50" s="1">
        <v>1</v>
      </c>
      <c r="HK50" s="1">
        <v>1</v>
      </c>
      <c r="HL50" s="1">
        <v>2</v>
      </c>
      <c r="HM50" s="1">
        <v>22</v>
      </c>
      <c r="HN50" s="1">
        <v>4</v>
      </c>
      <c r="HO50" s="1">
        <v>1</v>
      </c>
      <c r="HP50" s="1">
        <v>3</v>
      </c>
      <c r="HQ50" s="52">
        <v>12</v>
      </c>
      <c r="HR50" s="1">
        <v>2</v>
      </c>
      <c r="HS50" s="1"/>
      <c r="HT50" s="1">
        <v>3</v>
      </c>
      <c r="HU50" s="1">
        <v>3</v>
      </c>
      <c r="HV50" s="1"/>
      <c r="HW50" s="1"/>
      <c r="HX50" s="1"/>
      <c r="IW50" s="1">
        <f t="shared" si="3"/>
        <v>656</v>
      </c>
      <c r="IX50" s="5">
        <v>40.770000000000003</v>
      </c>
      <c r="IY50" s="5">
        <f t="shared" si="4"/>
        <v>26745.120000000003</v>
      </c>
      <c r="IZ50" s="5">
        <v>59.95</v>
      </c>
      <c r="JA50" s="5">
        <f t="shared" si="2"/>
        <v>39327.200000000004</v>
      </c>
    </row>
    <row r="51" spans="1:261">
      <c r="A51" s="16"/>
      <c r="B51" s="17"/>
      <c r="C51" s="53" t="s">
        <v>201</v>
      </c>
      <c r="D51" s="4" t="s">
        <v>204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42">
        <v>1</v>
      </c>
      <c r="FG51" s="1">
        <v>2</v>
      </c>
      <c r="FH51" s="1"/>
      <c r="FI51" s="1">
        <v>3</v>
      </c>
      <c r="FJ51" s="1">
        <v>3</v>
      </c>
      <c r="FK51" s="1">
        <v>4</v>
      </c>
      <c r="FL51" s="1">
        <v>4</v>
      </c>
      <c r="FM51" s="1">
        <v>3</v>
      </c>
      <c r="FN51" s="1">
        <v>2</v>
      </c>
      <c r="FO51" s="1">
        <v>2</v>
      </c>
      <c r="FP51" s="1">
        <v>1</v>
      </c>
      <c r="FQ51" s="1">
        <v>1</v>
      </c>
      <c r="FR51" s="1"/>
      <c r="FS51" s="1">
        <v>1</v>
      </c>
      <c r="FT51" s="1">
        <v>1</v>
      </c>
      <c r="FU51" s="52">
        <v>16</v>
      </c>
      <c r="FV51" s="1">
        <v>2</v>
      </c>
      <c r="FW51" s="1">
        <v>3</v>
      </c>
      <c r="FX51" s="1">
        <v>7</v>
      </c>
      <c r="FY51" s="1"/>
      <c r="FZ51" s="1"/>
      <c r="GA51" s="1">
        <v>3</v>
      </c>
      <c r="GB51" s="1">
        <v>3</v>
      </c>
      <c r="GC51" s="1">
        <v>2</v>
      </c>
      <c r="GD51" s="1">
        <v>4</v>
      </c>
      <c r="GE51" s="1"/>
      <c r="GF51" s="1">
        <v>2</v>
      </c>
      <c r="GG51" s="1">
        <v>3</v>
      </c>
      <c r="GH51" s="1">
        <v>3</v>
      </c>
      <c r="GI51" s="1"/>
      <c r="GJ51" s="1"/>
      <c r="GK51" s="1">
        <v>2</v>
      </c>
      <c r="GL51" s="1">
        <v>1</v>
      </c>
      <c r="GM51" s="1">
        <v>5</v>
      </c>
      <c r="GN51" s="1">
        <v>1</v>
      </c>
      <c r="GO51" s="1">
        <v>6</v>
      </c>
      <c r="GP51" s="1">
        <v>7</v>
      </c>
      <c r="GQ51" s="1">
        <v>36</v>
      </c>
      <c r="GR51" s="1">
        <v>23</v>
      </c>
      <c r="GS51" s="1">
        <v>60</v>
      </c>
      <c r="GT51" s="1">
        <v>14</v>
      </c>
      <c r="GU51" s="1">
        <v>4</v>
      </c>
      <c r="GV51" s="1"/>
      <c r="GW51" s="1"/>
      <c r="GX51" s="1">
        <v>5</v>
      </c>
      <c r="GY51" s="1">
        <v>1</v>
      </c>
      <c r="GZ51" s="1">
        <v>7</v>
      </c>
      <c r="HA51" s="52">
        <v>22</v>
      </c>
      <c r="HB51" s="1">
        <v>1</v>
      </c>
      <c r="HC51" s="1">
        <v>2</v>
      </c>
      <c r="HD51" s="1">
        <v>5</v>
      </c>
      <c r="HE51" s="1">
        <v>2</v>
      </c>
      <c r="HF51" s="1">
        <v>2</v>
      </c>
      <c r="HG51" s="1">
        <v>3</v>
      </c>
      <c r="HH51" s="1">
        <v>2</v>
      </c>
      <c r="HI51" s="1">
        <v>3</v>
      </c>
      <c r="HJ51" s="1">
        <v>4</v>
      </c>
      <c r="HK51" s="1">
        <v>6</v>
      </c>
      <c r="HL51" s="1">
        <v>7</v>
      </c>
      <c r="HM51" s="1">
        <v>20</v>
      </c>
      <c r="HN51" s="1">
        <v>7</v>
      </c>
      <c r="HO51" s="1">
        <v>7</v>
      </c>
      <c r="HP51" s="1">
        <v>4</v>
      </c>
      <c r="HQ51" s="52">
        <v>17</v>
      </c>
      <c r="HR51" s="1">
        <v>1</v>
      </c>
      <c r="HS51" s="1">
        <v>3</v>
      </c>
      <c r="HT51" s="1">
        <v>3</v>
      </c>
      <c r="HU51" s="1">
        <v>7</v>
      </c>
      <c r="HV51" s="1"/>
      <c r="HW51" s="1"/>
      <c r="HX51" s="1"/>
      <c r="IW51" s="1">
        <f t="shared" si="3"/>
        <v>376</v>
      </c>
      <c r="IX51" s="5">
        <v>40.770000000000003</v>
      </c>
      <c r="IY51" s="5">
        <f t="shared" si="4"/>
        <v>15329.52</v>
      </c>
      <c r="IZ51" s="5">
        <v>59.95</v>
      </c>
      <c r="JA51" s="5">
        <f t="shared" si="2"/>
        <v>22541.200000000001</v>
      </c>
    </row>
    <row r="52" spans="1:261" ht="15" customHeight="1">
      <c r="A52" s="16"/>
      <c r="B52" s="17"/>
      <c r="C52" s="53" t="s">
        <v>202</v>
      </c>
      <c r="D52" s="4" t="s">
        <v>205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>
        <v>1</v>
      </c>
      <c r="FG52" s="1">
        <v>1</v>
      </c>
      <c r="FH52" s="1">
        <v>1</v>
      </c>
      <c r="FI52" s="1"/>
      <c r="FJ52" s="1">
        <v>1</v>
      </c>
      <c r="FK52" s="1">
        <v>1</v>
      </c>
      <c r="FL52" s="1">
        <v>2</v>
      </c>
      <c r="FM52" s="1">
        <v>2</v>
      </c>
      <c r="FN52" s="1">
        <v>1</v>
      </c>
      <c r="FO52" s="1">
        <v>1</v>
      </c>
      <c r="FP52" s="1">
        <v>3</v>
      </c>
      <c r="FQ52" s="1"/>
      <c r="FR52" s="1">
        <v>1</v>
      </c>
      <c r="FS52" s="1">
        <v>1</v>
      </c>
      <c r="FT52" s="1">
        <v>2</v>
      </c>
      <c r="FU52" s="52">
        <v>7</v>
      </c>
      <c r="FV52" s="1">
        <v>3</v>
      </c>
      <c r="FW52" s="1"/>
      <c r="FX52" s="1">
        <v>1</v>
      </c>
      <c r="FY52" s="1">
        <v>1</v>
      </c>
      <c r="FZ52" s="1"/>
      <c r="GA52" s="1">
        <v>4</v>
      </c>
      <c r="GB52" s="1">
        <v>1</v>
      </c>
      <c r="GC52" s="1">
        <v>2</v>
      </c>
      <c r="GD52" s="1">
        <v>3</v>
      </c>
      <c r="GE52" s="1">
        <v>1</v>
      </c>
      <c r="GF52" s="1">
        <v>2</v>
      </c>
      <c r="GG52" s="1"/>
      <c r="GH52" s="1"/>
      <c r="GI52" s="1">
        <v>2</v>
      </c>
      <c r="GJ52" s="1">
        <v>1</v>
      </c>
      <c r="GK52" s="1">
        <v>1</v>
      </c>
      <c r="GL52" s="1">
        <v>1</v>
      </c>
      <c r="GM52" s="1"/>
      <c r="GN52" s="1">
        <v>1</v>
      </c>
      <c r="GO52" s="1">
        <v>1</v>
      </c>
      <c r="GP52" s="1">
        <v>7</v>
      </c>
      <c r="GQ52" s="1">
        <v>18</v>
      </c>
      <c r="GR52" s="1">
        <v>11</v>
      </c>
      <c r="GS52" s="1">
        <v>14</v>
      </c>
      <c r="GT52" s="1">
        <v>2</v>
      </c>
      <c r="GU52" s="1"/>
      <c r="GV52" s="1"/>
      <c r="GW52" s="1">
        <v>7</v>
      </c>
      <c r="GX52" s="1">
        <v>13</v>
      </c>
      <c r="GY52" s="1">
        <v>2</v>
      </c>
      <c r="GZ52" s="1">
        <v>5</v>
      </c>
      <c r="HA52" s="52">
        <v>10</v>
      </c>
      <c r="HB52" s="1"/>
      <c r="HC52" s="1">
        <v>4</v>
      </c>
      <c r="HD52" s="1">
        <v>1</v>
      </c>
      <c r="HE52" s="1">
        <v>2</v>
      </c>
      <c r="HF52" s="1">
        <v>1</v>
      </c>
      <c r="HG52" s="1">
        <v>1</v>
      </c>
      <c r="HH52" s="1"/>
      <c r="HI52" s="1">
        <v>2</v>
      </c>
      <c r="HJ52" s="1">
        <v>4</v>
      </c>
      <c r="HK52" s="1">
        <v>2</v>
      </c>
      <c r="HL52" s="1"/>
      <c r="HM52" s="1">
        <v>4</v>
      </c>
      <c r="HN52" s="1">
        <v>1</v>
      </c>
      <c r="HO52" s="1">
        <v>1</v>
      </c>
      <c r="HP52" s="1">
        <v>3</v>
      </c>
      <c r="HQ52" s="52">
        <v>9</v>
      </c>
      <c r="HR52" s="1">
        <v>3</v>
      </c>
      <c r="HS52" s="1">
        <v>6</v>
      </c>
      <c r="HT52" s="1">
        <v>1</v>
      </c>
      <c r="HU52" s="1">
        <v>2</v>
      </c>
      <c r="HV52" s="1"/>
      <c r="HW52" s="1"/>
      <c r="HX52" s="1"/>
      <c r="IW52" s="1">
        <f t="shared" si="3"/>
        <v>186</v>
      </c>
      <c r="IX52" s="5">
        <v>40.770000000000003</v>
      </c>
      <c r="IY52" s="5">
        <f t="shared" si="4"/>
        <v>7583.22</v>
      </c>
      <c r="IZ52" s="5">
        <v>59.95</v>
      </c>
      <c r="JA52" s="5">
        <f t="shared" si="2"/>
        <v>11150.7</v>
      </c>
    </row>
    <row r="53" spans="1:261">
      <c r="A53" s="16"/>
      <c r="B53" s="17"/>
      <c r="C53" s="53" t="s">
        <v>167</v>
      </c>
      <c r="D53" s="39" t="s">
        <v>170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>
        <v>1</v>
      </c>
      <c r="EH53" s="1">
        <v>1</v>
      </c>
      <c r="EI53" s="1"/>
      <c r="EJ53" s="1">
        <v>5</v>
      </c>
      <c r="EK53" s="1">
        <v>6</v>
      </c>
      <c r="EL53" s="1">
        <v>7</v>
      </c>
      <c r="EM53" s="1">
        <v>9</v>
      </c>
      <c r="EN53" s="1">
        <v>9</v>
      </c>
      <c r="EO53" s="1">
        <v>4</v>
      </c>
      <c r="EP53" s="1"/>
      <c r="EQ53" s="1">
        <v>21</v>
      </c>
      <c r="ER53" s="1">
        <v>32</v>
      </c>
      <c r="ES53" s="1">
        <v>27</v>
      </c>
      <c r="ET53" s="1">
        <v>19</v>
      </c>
      <c r="EU53" s="1">
        <v>15</v>
      </c>
      <c r="EV53" s="1"/>
      <c r="EW53" s="1">
        <v>3</v>
      </c>
      <c r="EX53" s="1">
        <v>24</v>
      </c>
      <c r="EY53" s="1">
        <v>22</v>
      </c>
      <c r="EZ53" s="1">
        <v>24</v>
      </c>
      <c r="FA53" s="1">
        <v>7</v>
      </c>
      <c r="FB53" s="1">
        <v>16</v>
      </c>
      <c r="FC53" s="1">
        <v>13</v>
      </c>
      <c r="FD53" s="1">
        <v>26</v>
      </c>
      <c r="FE53" s="1">
        <v>14</v>
      </c>
      <c r="FF53" s="1">
        <v>11</v>
      </c>
      <c r="FG53" s="1">
        <v>9</v>
      </c>
      <c r="FH53" s="1">
        <v>7</v>
      </c>
      <c r="FI53" s="1">
        <v>9</v>
      </c>
      <c r="FJ53" s="1">
        <v>6</v>
      </c>
      <c r="FK53" s="1">
        <v>3</v>
      </c>
      <c r="FL53" s="1">
        <v>11</v>
      </c>
      <c r="FM53" s="1">
        <v>13</v>
      </c>
      <c r="FN53" s="1">
        <v>1</v>
      </c>
      <c r="FO53" s="1">
        <v>2</v>
      </c>
      <c r="FP53" s="1">
        <v>7</v>
      </c>
      <c r="FQ53" s="1">
        <v>6</v>
      </c>
      <c r="FR53" s="1">
        <v>2</v>
      </c>
      <c r="FS53" s="1">
        <v>7</v>
      </c>
      <c r="FT53" s="1">
        <v>6</v>
      </c>
      <c r="FU53" s="1">
        <v>2</v>
      </c>
      <c r="FV53" s="1">
        <v>4</v>
      </c>
      <c r="FW53" s="1">
        <v>3</v>
      </c>
      <c r="FX53" s="1">
        <v>6</v>
      </c>
      <c r="FY53" s="1">
        <v>3</v>
      </c>
      <c r="FZ53" s="1">
        <v>6</v>
      </c>
      <c r="GA53" s="52">
        <v>39</v>
      </c>
      <c r="GB53" s="1">
        <v>25</v>
      </c>
      <c r="GC53" s="1">
        <v>12</v>
      </c>
      <c r="GD53" s="1">
        <v>10</v>
      </c>
      <c r="GE53" s="1"/>
      <c r="GF53" s="1"/>
      <c r="GG53" s="1"/>
      <c r="GH53" s="1">
        <v>8</v>
      </c>
      <c r="GI53" s="1">
        <v>8</v>
      </c>
      <c r="GJ53" s="1">
        <v>5</v>
      </c>
      <c r="GK53" s="1">
        <v>15</v>
      </c>
      <c r="GL53" s="1">
        <v>6</v>
      </c>
      <c r="GM53" s="1">
        <v>18</v>
      </c>
      <c r="GN53" s="1">
        <v>14</v>
      </c>
      <c r="GO53" s="1">
        <v>22</v>
      </c>
      <c r="GP53" s="1">
        <v>38</v>
      </c>
      <c r="GQ53" s="1"/>
      <c r="GR53" s="1"/>
      <c r="GS53" s="1"/>
      <c r="GT53" s="1"/>
      <c r="GU53" s="1"/>
      <c r="GV53" s="1">
        <v>5</v>
      </c>
      <c r="GW53" s="1">
        <v>21</v>
      </c>
      <c r="GX53" s="1">
        <v>28</v>
      </c>
      <c r="GY53" s="1">
        <v>16</v>
      </c>
      <c r="GZ53" s="1">
        <v>13</v>
      </c>
      <c r="HA53" s="52">
        <v>108</v>
      </c>
      <c r="HB53" s="1">
        <v>18</v>
      </c>
      <c r="HC53" s="1">
        <v>10</v>
      </c>
      <c r="HD53" s="1"/>
      <c r="HE53" s="1">
        <v>1</v>
      </c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IW53" s="1">
        <f t="shared" si="3"/>
        <v>869</v>
      </c>
      <c r="IX53" s="5">
        <v>67.97</v>
      </c>
      <c r="IY53" s="5">
        <f t="shared" si="4"/>
        <v>59065.93</v>
      </c>
      <c r="IZ53" s="5">
        <v>99.95</v>
      </c>
      <c r="JA53" s="5">
        <f t="shared" si="2"/>
        <v>86856.55</v>
      </c>
    </row>
    <row r="54" spans="1:261">
      <c r="A54" s="16"/>
      <c r="B54" s="17"/>
      <c r="C54" s="53" t="s">
        <v>168</v>
      </c>
      <c r="D54" s="39" t="s">
        <v>171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>
        <v>1</v>
      </c>
      <c r="EI54" s="1"/>
      <c r="EJ54" s="1">
        <v>3</v>
      </c>
      <c r="EK54" s="1">
        <v>1</v>
      </c>
      <c r="EL54" s="1"/>
      <c r="EM54" s="1">
        <v>1</v>
      </c>
      <c r="EN54" s="1"/>
      <c r="EO54" s="1">
        <v>5</v>
      </c>
      <c r="EP54" s="1">
        <v>22</v>
      </c>
      <c r="EQ54" s="1">
        <v>12</v>
      </c>
      <c r="ER54" s="1">
        <v>5</v>
      </c>
      <c r="ES54" s="1"/>
      <c r="ET54" s="1"/>
      <c r="EU54" s="1"/>
      <c r="EV54" s="1"/>
      <c r="EW54" s="1">
        <v>2</v>
      </c>
      <c r="EX54" s="1">
        <v>1</v>
      </c>
      <c r="EY54" s="1">
        <v>7</v>
      </c>
      <c r="EZ54" s="1">
        <v>6</v>
      </c>
      <c r="FA54" s="1">
        <v>2</v>
      </c>
      <c r="FB54" s="1">
        <v>6</v>
      </c>
      <c r="FC54" s="1">
        <v>5</v>
      </c>
      <c r="FD54" s="1">
        <v>5</v>
      </c>
      <c r="FE54" s="1">
        <v>4</v>
      </c>
      <c r="FF54" s="1">
        <v>3</v>
      </c>
      <c r="FG54" s="1">
        <v>6</v>
      </c>
      <c r="FH54" s="1">
        <v>2</v>
      </c>
      <c r="FI54" s="1"/>
      <c r="FJ54" s="1"/>
      <c r="FK54" s="1"/>
      <c r="FL54" s="1"/>
      <c r="FM54" s="1"/>
      <c r="FN54" s="1">
        <v>2</v>
      </c>
      <c r="FO54" s="1">
        <v>1</v>
      </c>
      <c r="FP54" s="1">
        <v>2</v>
      </c>
      <c r="FQ54" s="1"/>
      <c r="FR54" s="1">
        <v>1</v>
      </c>
      <c r="FS54" s="1">
        <v>1</v>
      </c>
      <c r="FT54" s="1">
        <v>1</v>
      </c>
      <c r="FU54" s="1">
        <v>1</v>
      </c>
      <c r="FV54" s="1">
        <v>1</v>
      </c>
      <c r="FW54" s="1"/>
      <c r="FX54" s="1"/>
      <c r="FY54" s="1"/>
      <c r="FZ54" s="1">
        <v>2</v>
      </c>
      <c r="GA54" s="1">
        <v>1</v>
      </c>
      <c r="GB54" s="1">
        <v>1</v>
      </c>
      <c r="GC54" s="1">
        <v>1</v>
      </c>
      <c r="GD54" s="1">
        <v>2</v>
      </c>
      <c r="GE54" s="1"/>
      <c r="GF54" s="1"/>
      <c r="GG54" s="1">
        <v>1</v>
      </c>
      <c r="GH54" s="1"/>
      <c r="GI54" s="1">
        <v>2</v>
      </c>
      <c r="GJ54" s="1">
        <v>1</v>
      </c>
      <c r="GK54" s="1">
        <v>2</v>
      </c>
      <c r="GL54" s="1">
        <v>2</v>
      </c>
      <c r="GM54" s="1">
        <v>1</v>
      </c>
      <c r="GN54" s="1">
        <v>4</v>
      </c>
      <c r="GO54" s="1">
        <v>4</v>
      </c>
      <c r="GP54" s="1">
        <v>12</v>
      </c>
      <c r="GQ54" s="1">
        <v>21</v>
      </c>
      <c r="GR54" s="1">
        <v>20</v>
      </c>
      <c r="GS54" s="1">
        <v>29</v>
      </c>
      <c r="GT54" s="1">
        <v>8</v>
      </c>
      <c r="GU54" s="1">
        <v>1</v>
      </c>
      <c r="GV54" s="1">
        <v>8</v>
      </c>
      <c r="GW54" s="1">
        <v>7</v>
      </c>
      <c r="GX54" s="1">
        <v>5</v>
      </c>
      <c r="GY54" s="1">
        <v>4</v>
      </c>
      <c r="GZ54" s="1">
        <v>5</v>
      </c>
      <c r="HA54" s="1">
        <v>1</v>
      </c>
      <c r="HB54" s="1">
        <v>2</v>
      </c>
      <c r="HC54" s="1">
        <v>2</v>
      </c>
      <c r="HD54" s="1">
        <v>1</v>
      </c>
      <c r="HE54" s="1"/>
      <c r="HF54" s="1">
        <v>5</v>
      </c>
      <c r="HG54" s="1">
        <v>1</v>
      </c>
      <c r="HH54" s="1">
        <v>4</v>
      </c>
      <c r="HI54" s="1">
        <v>3</v>
      </c>
      <c r="HJ54" s="1">
        <v>1</v>
      </c>
      <c r="HK54" s="1">
        <v>4</v>
      </c>
      <c r="HL54" s="1">
        <v>5</v>
      </c>
      <c r="HM54" s="1">
        <v>3</v>
      </c>
      <c r="HN54" s="1">
        <v>4</v>
      </c>
      <c r="HO54" s="1"/>
      <c r="HP54" s="1">
        <v>3</v>
      </c>
      <c r="HQ54" s="52">
        <v>5</v>
      </c>
      <c r="HR54" s="1">
        <v>6</v>
      </c>
      <c r="HS54" s="1">
        <v>2</v>
      </c>
      <c r="HT54" s="1"/>
      <c r="HU54" s="1">
        <v>1</v>
      </c>
      <c r="HV54" s="1"/>
      <c r="HW54" s="1"/>
      <c r="HX54" s="1"/>
      <c r="IW54" s="1">
        <f t="shared" si="3"/>
        <v>306</v>
      </c>
      <c r="IX54" s="5">
        <v>61.17</v>
      </c>
      <c r="IY54" s="5">
        <f t="shared" si="4"/>
        <v>18718.02</v>
      </c>
      <c r="IZ54" s="5">
        <v>89.95</v>
      </c>
      <c r="JA54" s="5">
        <f t="shared" si="2"/>
        <v>27524.7</v>
      </c>
    </row>
    <row r="55" spans="1:261">
      <c r="A55" s="16"/>
      <c r="B55" s="17"/>
      <c r="C55" s="53" t="s">
        <v>169</v>
      </c>
      <c r="D55" s="39" t="s">
        <v>172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>
        <v>1</v>
      </c>
      <c r="EK55" s="1"/>
      <c r="EL55" s="1"/>
      <c r="EM55" s="1"/>
      <c r="EN55" s="1">
        <v>1</v>
      </c>
      <c r="EO55" s="1"/>
      <c r="EP55" s="1">
        <v>1</v>
      </c>
      <c r="EQ55" s="1">
        <v>5</v>
      </c>
      <c r="ER55" s="1">
        <v>4</v>
      </c>
      <c r="ES55" s="1">
        <v>5</v>
      </c>
      <c r="ET55" s="1"/>
      <c r="EU55" s="1"/>
      <c r="EV55" s="1">
        <v>1</v>
      </c>
      <c r="EW55" s="1"/>
      <c r="EX55" s="1"/>
      <c r="EY55" s="1">
        <v>2</v>
      </c>
      <c r="EZ55" s="1"/>
      <c r="FA55" s="1">
        <v>1</v>
      </c>
      <c r="FB55" s="1"/>
      <c r="FC55" s="1">
        <v>2</v>
      </c>
      <c r="FD55" s="1">
        <v>1</v>
      </c>
      <c r="FE55" s="1">
        <v>2</v>
      </c>
      <c r="FF55" s="1">
        <v>1</v>
      </c>
      <c r="FG55" s="1">
        <v>2</v>
      </c>
      <c r="FH55" s="42">
        <v>1</v>
      </c>
      <c r="FI55" s="1">
        <v>1</v>
      </c>
      <c r="FJ55" s="1"/>
      <c r="FK55" s="1">
        <v>4</v>
      </c>
      <c r="FL55" s="1"/>
      <c r="FM55" s="1"/>
      <c r="FN55" s="1">
        <v>1</v>
      </c>
      <c r="FO55" s="1"/>
      <c r="FP55" s="1">
        <v>2</v>
      </c>
      <c r="FQ55" s="1"/>
      <c r="FR55" s="1"/>
      <c r="FS55" s="1"/>
      <c r="FT55" s="1"/>
      <c r="FU55" s="1"/>
      <c r="FV55" s="1"/>
      <c r="FW55" s="1"/>
      <c r="FX55" s="1"/>
      <c r="FY55" s="1"/>
      <c r="FZ55" s="1">
        <v>2</v>
      </c>
      <c r="GA55" s="1"/>
      <c r="GB55" s="1"/>
      <c r="GC55" s="1">
        <v>1</v>
      </c>
      <c r="GD55" s="1"/>
      <c r="GE55" s="1">
        <v>2</v>
      </c>
      <c r="GF55" s="1"/>
      <c r="GG55" s="1">
        <v>1</v>
      </c>
      <c r="GH55" s="1"/>
      <c r="GI55" s="1">
        <v>3</v>
      </c>
      <c r="GJ55" s="1">
        <v>3</v>
      </c>
      <c r="GK55" s="1">
        <v>1</v>
      </c>
      <c r="GL55" s="1"/>
      <c r="GM55" s="1"/>
      <c r="GN55" s="1">
        <v>3</v>
      </c>
      <c r="GO55" s="1"/>
      <c r="GP55" s="1">
        <v>6</v>
      </c>
      <c r="GQ55" s="1">
        <v>3</v>
      </c>
      <c r="GR55" s="1"/>
      <c r="GS55" s="1">
        <v>3</v>
      </c>
      <c r="GT55" s="1">
        <v>1</v>
      </c>
      <c r="GU55" s="1"/>
      <c r="GV55" s="1">
        <v>2</v>
      </c>
      <c r="GW55" s="1">
        <v>4</v>
      </c>
      <c r="GX55" s="1">
        <v>5</v>
      </c>
      <c r="GY55" s="1"/>
      <c r="GZ55" s="1"/>
      <c r="HA55" s="1">
        <v>4</v>
      </c>
      <c r="HB55" s="1">
        <v>2</v>
      </c>
      <c r="HC55" s="1">
        <v>1</v>
      </c>
      <c r="HD55" s="1">
        <v>4</v>
      </c>
      <c r="HE55" s="1">
        <v>1</v>
      </c>
      <c r="HF55" s="1">
        <v>1</v>
      </c>
      <c r="HG55" s="1"/>
      <c r="HH55" s="1">
        <v>5</v>
      </c>
      <c r="HI55" s="1">
        <v>1</v>
      </c>
      <c r="HJ55" s="1">
        <v>1</v>
      </c>
      <c r="HK55" s="1">
        <v>2</v>
      </c>
      <c r="HL55" s="1"/>
      <c r="HM55" s="1"/>
      <c r="HN55" s="1">
        <v>1</v>
      </c>
      <c r="HO55" s="1">
        <v>1</v>
      </c>
      <c r="HP55" s="1">
        <v>2</v>
      </c>
      <c r="HQ55" s="1"/>
      <c r="HR55" s="1">
        <v>1</v>
      </c>
      <c r="HS55" s="1"/>
      <c r="HT55" s="1"/>
      <c r="HU55" s="1">
        <v>2</v>
      </c>
      <c r="HV55" s="1"/>
      <c r="HW55" s="1"/>
      <c r="HX55" s="1"/>
      <c r="IW55" s="1">
        <f t="shared" si="3"/>
        <v>107</v>
      </c>
      <c r="IX55" s="5">
        <v>16.97</v>
      </c>
      <c r="IY55" s="5">
        <f t="shared" si="4"/>
        <v>1815.79</v>
      </c>
      <c r="IZ55" s="5">
        <v>24.95</v>
      </c>
      <c r="JA55" s="5">
        <f t="shared" si="2"/>
        <v>2669.65</v>
      </c>
    </row>
    <row r="56" spans="1:261">
      <c r="E56" s="6">
        <f t="shared" ref="E56:AJ56" si="5">SUM(E2:E55)</f>
        <v>13</v>
      </c>
      <c r="F56" s="6">
        <f t="shared" si="5"/>
        <v>20</v>
      </c>
      <c r="G56" s="6">
        <f t="shared" si="5"/>
        <v>47</v>
      </c>
      <c r="H56" s="6">
        <f t="shared" si="5"/>
        <v>186</v>
      </c>
      <c r="I56" s="6">
        <f t="shared" si="5"/>
        <v>1012</v>
      </c>
      <c r="J56" s="6">
        <f t="shared" si="5"/>
        <v>373</v>
      </c>
      <c r="K56" s="6">
        <f t="shared" si="5"/>
        <v>46</v>
      </c>
      <c r="L56" s="6">
        <f t="shared" si="5"/>
        <v>68</v>
      </c>
      <c r="M56" s="6">
        <f t="shared" si="5"/>
        <v>317</v>
      </c>
      <c r="N56" s="6">
        <f t="shared" si="5"/>
        <v>144</v>
      </c>
      <c r="O56" s="6">
        <f t="shared" si="5"/>
        <v>102</v>
      </c>
      <c r="P56" s="6">
        <f t="shared" si="5"/>
        <v>80</v>
      </c>
      <c r="Q56" s="6">
        <f t="shared" si="5"/>
        <v>49</v>
      </c>
      <c r="R56" s="6">
        <f t="shared" si="5"/>
        <v>27</v>
      </c>
      <c r="S56" s="6">
        <f t="shared" si="5"/>
        <v>144</v>
      </c>
      <c r="T56" s="6">
        <f t="shared" si="5"/>
        <v>131</v>
      </c>
      <c r="U56" s="6">
        <f t="shared" si="5"/>
        <v>65</v>
      </c>
      <c r="V56" s="6">
        <f t="shared" si="5"/>
        <v>60</v>
      </c>
      <c r="W56" s="6">
        <f t="shared" si="5"/>
        <v>51</v>
      </c>
      <c r="X56" s="6">
        <f t="shared" si="5"/>
        <v>56</v>
      </c>
      <c r="Y56" s="6">
        <f t="shared" si="5"/>
        <v>82</v>
      </c>
      <c r="Z56" s="6">
        <f t="shared" si="5"/>
        <v>271</v>
      </c>
      <c r="AA56" s="6">
        <f t="shared" si="5"/>
        <v>301</v>
      </c>
      <c r="AB56" s="6">
        <f t="shared" si="5"/>
        <v>71</v>
      </c>
      <c r="AC56" s="6">
        <f t="shared" si="5"/>
        <v>61</v>
      </c>
      <c r="AD56" s="6">
        <f t="shared" si="5"/>
        <v>50</v>
      </c>
      <c r="AE56" s="6">
        <f t="shared" si="5"/>
        <v>30</v>
      </c>
      <c r="AF56" s="6">
        <f t="shared" si="5"/>
        <v>15</v>
      </c>
      <c r="AG56" s="6">
        <f t="shared" si="5"/>
        <v>20</v>
      </c>
      <c r="AH56" s="6">
        <f t="shared" si="5"/>
        <v>45</v>
      </c>
      <c r="AI56" s="6">
        <f t="shared" si="5"/>
        <v>34</v>
      </c>
      <c r="AJ56" s="6">
        <f t="shared" si="5"/>
        <v>42</v>
      </c>
      <c r="AK56" s="6">
        <f t="shared" ref="AK56:BP56" si="6">SUM(AK2:AK55)</f>
        <v>41</v>
      </c>
      <c r="AL56" s="6">
        <f t="shared" si="6"/>
        <v>62</v>
      </c>
      <c r="AM56" s="6">
        <f t="shared" si="6"/>
        <v>40</v>
      </c>
      <c r="AN56" s="6">
        <f t="shared" si="6"/>
        <v>66</v>
      </c>
      <c r="AO56" s="6">
        <f t="shared" si="6"/>
        <v>151</v>
      </c>
      <c r="AP56" s="6">
        <f t="shared" si="6"/>
        <v>182</v>
      </c>
      <c r="AQ56" s="6">
        <f t="shared" si="6"/>
        <v>174</v>
      </c>
      <c r="AR56" s="6">
        <f t="shared" si="6"/>
        <v>228</v>
      </c>
      <c r="AS56" s="6">
        <f t="shared" si="6"/>
        <v>157</v>
      </c>
      <c r="AT56" s="6">
        <f t="shared" si="6"/>
        <v>585</v>
      </c>
      <c r="AU56" s="6">
        <f t="shared" si="6"/>
        <v>77</v>
      </c>
      <c r="AV56" s="6">
        <f t="shared" si="6"/>
        <v>72</v>
      </c>
      <c r="AW56" s="6">
        <f t="shared" si="6"/>
        <v>73</v>
      </c>
      <c r="AX56" s="6">
        <f t="shared" si="6"/>
        <v>483</v>
      </c>
      <c r="AY56" s="6">
        <f t="shared" si="6"/>
        <v>47</v>
      </c>
      <c r="AZ56" s="6">
        <f t="shared" si="6"/>
        <v>89</v>
      </c>
      <c r="BA56" s="6">
        <f t="shared" si="6"/>
        <v>353</v>
      </c>
      <c r="BB56" s="6">
        <f t="shared" si="6"/>
        <v>79</v>
      </c>
      <c r="BC56" s="6">
        <f t="shared" si="6"/>
        <v>42</v>
      </c>
      <c r="BD56" s="6">
        <f t="shared" si="6"/>
        <v>38</v>
      </c>
      <c r="BE56" s="6">
        <f t="shared" si="6"/>
        <v>381</v>
      </c>
      <c r="BF56" s="6">
        <f t="shared" si="6"/>
        <v>74</v>
      </c>
      <c r="BG56" s="6">
        <f t="shared" si="6"/>
        <v>53</v>
      </c>
      <c r="BH56" s="6">
        <f t="shared" si="6"/>
        <v>78</v>
      </c>
      <c r="BI56" s="6">
        <f t="shared" si="6"/>
        <v>571</v>
      </c>
      <c r="BJ56" s="6">
        <f t="shared" si="6"/>
        <v>181</v>
      </c>
      <c r="BK56" s="6">
        <f t="shared" si="6"/>
        <v>104</v>
      </c>
      <c r="BL56" s="6">
        <f t="shared" si="6"/>
        <v>584</v>
      </c>
      <c r="BM56" s="6">
        <f t="shared" si="6"/>
        <v>188</v>
      </c>
      <c r="BN56" s="6">
        <f t="shared" si="6"/>
        <v>404</v>
      </c>
      <c r="BO56" s="6">
        <f t="shared" si="6"/>
        <v>163</v>
      </c>
      <c r="BP56" s="6">
        <f t="shared" si="6"/>
        <v>439</v>
      </c>
      <c r="BQ56" s="6">
        <f t="shared" ref="BQ56:CV56" si="7">SUM(BQ2:BQ55)</f>
        <v>122</v>
      </c>
      <c r="BR56" s="6">
        <f t="shared" si="7"/>
        <v>79</v>
      </c>
      <c r="BS56" s="6">
        <f t="shared" si="7"/>
        <v>84</v>
      </c>
      <c r="BT56" s="6">
        <f t="shared" si="7"/>
        <v>301</v>
      </c>
      <c r="BU56" s="6">
        <f t="shared" si="7"/>
        <v>107</v>
      </c>
      <c r="BV56" s="6">
        <f t="shared" si="7"/>
        <v>223</v>
      </c>
      <c r="BW56" s="6">
        <f t="shared" si="7"/>
        <v>460</v>
      </c>
      <c r="BX56" s="6">
        <f t="shared" si="7"/>
        <v>108</v>
      </c>
      <c r="BY56" s="6">
        <f t="shared" si="7"/>
        <v>101</v>
      </c>
      <c r="BZ56" s="6">
        <f t="shared" si="7"/>
        <v>91</v>
      </c>
      <c r="CA56" s="6">
        <f t="shared" si="7"/>
        <v>308</v>
      </c>
      <c r="CB56" s="6">
        <f t="shared" si="7"/>
        <v>663</v>
      </c>
      <c r="CC56" s="6">
        <f t="shared" si="7"/>
        <v>155</v>
      </c>
      <c r="CD56" s="6">
        <f t="shared" si="7"/>
        <v>391</v>
      </c>
      <c r="CE56" s="6">
        <f t="shared" si="7"/>
        <v>91</v>
      </c>
      <c r="CF56" s="6">
        <f t="shared" si="7"/>
        <v>86</v>
      </c>
      <c r="CG56" s="6">
        <f t="shared" si="7"/>
        <v>90</v>
      </c>
      <c r="CH56" s="6">
        <f t="shared" si="7"/>
        <v>92</v>
      </c>
      <c r="CI56" s="6">
        <f t="shared" si="7"/>
        <v>114</v>
      </c>
      <c r="CJ56" s="6">
        <f t="shared" si="7"/>
        <v>84</v>
      </c>
      <c r="CK56" s="6">
        <f t="shared" si="7"/>
        <v>114</v>
      </c>
      <c r="CL56" s="6">
        <f t="shared" si="7"/>
        <v>102</v>
      </c>
      <c r="CM56" s="6">
        <f t="shared" si="7"/>
        <v>90</v>
      </c>
      <c r="CN56" s="6">
        <f t="shared" si="7"/>
        <v>142</v>
      </c>
      <c r="CO56" s="6">
        <f t="shared" si="7"/>
        <v>104</v>
      </c>
      <c r="CP56" s="6">
        <f t="shared" si="7"/>
        <v>263</v>
      </c>
      <c r="CQ56" s="6">
        <f t="shared" si="7"/>
        <v>296</v>
      </c>
      <c r="CR56" s="6">
        <f t="shared" si="7"/>
        <v>505</v>
      </c>
      <c r="CS56" s="6">
        <f t="shared" si="7"/>
        <v>595</v>
      </c>
      <c r="CT56" s="6">
        <f t="shared" si="7"/>
        <v>125</v>
      </c>
      <c r="CU56" s="6">
        <f t="shared" si="7"/>
        <v>114</v>
      </c>
      <c r="CV56" s="6">
        <f t="shared" si="7"/>
        <v>143</v>
      </c>
      <c r="CW56" s="6">
        <f t="shared" ref="CW56:EB56" si="8">SUM(CW2:CW55)</f>
        <v>118</v>
      </c>
      <c r="CX56" s="6">
        <f t="shared" si="8"/>
        <v>115</v>
      </c>
      <c r="CY56" s="6">
        <f t="shared" si="8"/>
        <v>75</v>
      </c>
      <c r="CZ56" s="6">
        <f t="shared" si="8"/>
        <v>59</v>
      </c>
      <c r="DA56" s="6">
        <f t="shared" si="8"/>
        <v>60</v>
      </c>
      <c r="DB56" s="6">
        <f t="shared" si="8"/>
        <v>88</v>
      </c>
      <c r="DC56" s="6">
        <f t="shared" si="8"/>
        <v>76</v>
      </c>
      <c r="DD56" s="6">
        <f t="shared" si="8"/>
        <v>66</v>
      </c>
      <c r="DE56" s="6">
        <f t="shared" si="8"/>
        <v>56</v>
      </c>
      <c r="DF56" s="6">
        <f t="shared" si="8"/>
        <v>65</v>
      </c>
      <c r="DG56" s="6">
        <f t="shared" si="8"/>
        <v>55</v>
      </c>
      <c r="DH56" s="6">
        <f t="shared" si="8"/>
        <v>50</v>
      </c>
      <c r="DI56" s="6">
        <f t="shared" si="8"/>
        <v>51</v>
      </c>
      <c r="DJ56" s="6">
        <f t="shared" si="8"/>
        <v>51</v>
      </c>
      <c r="DK56" s="6">
        <f t="shared" si="8"/>
        <v>41</v>
      </c>
      <c r="DL56" s="6">
        <f t="shared" si="8"/>
        <v>43</v>
      </c>
      <c r="DM56" s="6">
        <f t="shared" si="8"/>
        <v>237</v>
      </c>
      <c r="DN56" s="6">
        <f t="shared" si="8"/>
        <v>66</v>
      </c>
      <c r="DO56" s="6">
        <f t="shared" si="8"/>
        <v>68</v>
      </c>
      <c r="DP56" s="6">
        <f t="shared" si="8"/>
        <v>35</v>
      </c>
      <c r="DQ56" s="6">
        <f t="shared" si="8"/>
        <v>35</v>
      </c>
      <c r="DR56" s="6">
        <f t="shared" si="8"/>
        <v>56</v>
      </c>
      <c r="DS56" s="6">
        <f t="shared" si="8"/>
        <v>71</v>
      </c>
      <c r="DT56" s="6">
        <f t="shared" si="8"/>
        <v>53</v>
      </c>
      <c r="DU56" s="6">
        <f t="shared" si="8"/>
        <v>45</v>
      </c>
      <c r="DV56" s="6">
        <f t="shared" si="8"/>
        <v>57</v>
      </c>
      <c r="DW56" s="6">
        <f t="shared" si="8"/>
        <v>48</v>
      </c>
      <c r="DX56" s="6">
        <f t="shared" si="8"/>
        <v>64</v>
      </c>
      <c r="DY56" s="6">
        <f t="shared" si="8"/>
        <v>70</v>
      </c>
      <c r="DZ56" s="6">
        <f t="shared" si="8"/>
        <v>77</v>
      </c>
      <c r="EA56" s="6">
        <f t="shared" si="8"/>
        <v>75</v>
      </c>
      <c r="EB56" s="6">
        <f t="shared" si="8"/>
        <v>279</v>
      </c>
      <c r="EC56" s="6">
        <f t="shared" ref="EC56:FG56" si="9">SUM(EC2:EC55)</f>
        <v>98</v>
      </c>
      <c r="ED56" s="6">
        <f t="shared" si="9"/>
        <v>145</v>
      </c>
      <c r="EE56" s="6">
        <f t="shared" si="9"/>
        <v>377</v>
      </c>
      <c r="EF56" s="6">
        <f t="shared" si="9"/>
        <v>329</v>
      </c>
      <c r="EG56" s="6">
        <f t="shared" si="9"/>
        <v>63</v>
      </c>
      <c r="EH56" s="6">
        <f t="shared" si="9"/>
        <v>58</v>
      </c>
      <c r="EI56" s="6">
        <f t="shared" si="9"/>
        <v>123</v>
      </c>
      <c r="EJ56" s="6">
        <f t="shared" si="9"/>
        <v>294</v>
      </c>
      <c r="EK56" s="6">
        <f t="shared" si="9"/>
        <v>319</v>
      </c>
      <c r="EL56" s="6">
        <f t="shared" si="9"/>
        <v>192</v>
      </c>
      <c r="EM56" s="6">
        <f t="shared" si="9"/>
        <v>86</v>
      </c>
      <c r="EN56" s="6">
        <f t="shared" si="9"/>
        <v>568</v>
      </c>
      <c r="EO56" s="6">
        <f t="shared" si="9"/>
        <v>76</v>
      </c>
      <c r="EP56" s="6">
        <f t="shared" si="9"/>
        <v>461</v>
      </c>
      <c r="EQ56" s="6">
        <f t="shared" si="9"/>
        <v>232</v>
      </c>
      <c r="ER56" s="6">
        <f t="shared" si="9"/>
        <v>307</v>
      </c>
      <c r="ES56" s="6">
        <f t="shared" si="9"/>
        <v>181</v>
      </c>
      <c r="ET56" s="6">
        <f t="shared" si="9"/>
        <v>451</v>
      </c>
      <c r="EU56" s="6">
        <f t="shared" si="9"/>
        <v>90</v>
      </c>
      <c r="EV56" s="6">
        <f t="shared" si="9"/>
        <v>81</v>
      </c>
      <c r="EW56" s="6">
        <f t="shared" si="9"/>
        <v>69</v>
      </c>
      <c r="EX56" s="6">
        <f t="shared" si="9"/>
        <v>110</v>
      </c>
      <c r="EY56" s="6">
        <f t="shared" si="9"/>
        <v>633</v>
      </c>
      <c r="EZ56" s="6">
        <f t="shared" si="9"/>
        <v>94</v>
      </c>
      <c r="FA56" s="6">
        <f t="shared" si="9"/>
        <v>56</v>
      </c>
      <c r="FB56" s="6">
        <f t="shared" si="9"/>
        <v>101</v>
      </c>
      <c r="FC56" s="6">
        <f t="shared" si="9"/>
        <v>295</v>
      </c>
      <c r="FD56" s="6">
        <f t="shared" si="9"/>
        <v>97</v>
      </c>
      <c r="FE56" s="6">
        <f t="shared" si="9"/>
        <v>112</v>
      </c>
      <c r="FF56" s="6">
        <f t="shared" si="9"/>
        <v>679</v>
      </c>
      <c r="FG56" s="6">
        <f t="shared" si="9"/>
        <v>699</v>
      </c>
      <c r="FH56" s="6">
        <f>SUM(FH2:FH54)</f>
        <v>82</v>
      </c>
      <c r="FI56" s="6">
        <f t="shared" ref="FI56:GI56" si="10">SUM(FI2:FI55)</f>
        <v>91</v>
      </c>
      <c r="FJ56" s="6">
        <f t="shared" si="10"/>
        <v>176</v>
      </c>
      <c r="FK56" s="6">
        <f t="shared" si="10"/>
        <v>573</v>
      </c>
      <c r="FL56" s="6">
        <f t="shared" si="10"/>
        <v>169</v>
      </c>
      <c r="FM56" s="6">
        <f t="shared" si="10"/>
        <v>111</v>
      </c>
      <c r="FN56" s="6">
        <f t="shared" si="10"/>
        <v>106</v>
      </c>
      <c r="FO56" s="6">
        <f t="shared" si="10"/>
        <v>184</v>
      </c>
      <c r="FP56" s="6">
        <f t="shared" si="10"/>
        <v>428</v>
      </c>
      <c r="FQ56" s="6">
        <f t="shared" si="10"/>
        <v>117</v>
      </c>
      <c r="FR56" s="6">
        <f t="shared" si="10"/>
        <v>145</v>
      </c>
      <c r="FS56" s="6">
        <f t="shared" si="10"/>
        <v>211</v>
      </c>
      <c r="FT56" s="6">
        <f t="shared" si="10"/>
        <v>75</v>
      </c>
      <c r="FU56" s="6">
        <f t="shared" si="10"/>
        <v>71</v>
      </c>
      <c r="FV56" s="6">
        <f t="shared" si="10"/>
        <v>84</v>
      </c>
      <c r="FW56" s="6">
        <f t="shared" si="10"/>
        <v>122</v>
      </c>
      <c r="FX56" s="6">
        <f t="shared" si="10"/>
        <v>261</v>
      </c>
      <c r="FY56" s="6">
        <f t="shared" si="10"/>
        <v>108</v>
      </c>
      <c r="FZ56" s="6">
        <f t="shared" si="10"/>
        <v>85</v>
      </c>
      <c r="GA56" s="6">
        <f t="shared" si="10"/>
        <v>137</v>
      </c>
      <c r="GB56" s="6">
        <f t="shared" si="10"/>
        <v>135</v>
      </c>
      <c r="GC56" s="6">
        <f t="shared" si="10"/>
        <v>127</v>
      </c>
      <c r="GD56" s="6">
        <f t="shared" si="10"/>
        <v>214</v>
      </c>
      <c r="GE56" s="6">
        <f t="shared" si="10"/>
        <v>67</v>
      </c>
      <c r="GF56" s="6">
        <f t="shared" si="10"/>
        <v>113</v>
      </c>
      <c r="GG56" s="6">
        <f t="shared" si="10"/>
        <v>116</v>
      </c>
      <c r="GH56" s="6">
        <f t="shared" si="10"/>
        <v>94</v>
      </c>
      <c r="GI56" s="6">
        <f t="shared" si="10"/>
        <v>60</v>
      </c>
      <c r="GJ56" s="6">
        <f t="shared" ref="GJ56:HX56" si="11">SUM(GJ2:GJ55)</f>
        <v>82</v>
      </c>
      <c r="GK56" s="6">
        <f t="shared" si="11"/>
        <v>106</v>
      </c>
      <c r="GL56" s="6">
        <f t="shared" si="11"/>
        <v>77</v>
      </c>
      <c r="GM56" s="6">
        <f t="shared" si="11"/>
        <v>83</v>
      </c>
      <c r="GN56" s="6">
        <f t="shared" si="11"/>
        <v>98</v>
      </c>
      <c r="GO56" s="6">
        <f t="shared" si="11"/>
        <v>135</v>
      </c>
      <c r="GP56" s="6">
        <f t="shared" si="11"/>
        <v>354</v>
      </c>
      <c r="GQ56" s="6">
        <f t="shared" si="11"/>
        <v>604</v>
      </c>
      <c r="GR56" s="6">
        <f t="shared" si="11"/>
        <v>380</v>
      </c>
      <c r="GS56" s="6">
        <f t="shared" si="11"/>
        <v>408</v>
      </c>
      <c r="GT56" s="6">
        <f t="shared" si="11"/>
        <v>78</v>
      </c>
      <c r="GU56" s="80">
        <f t="shared" si="11"/>
        <v>23</v>
      </c>
      <c r="GV56" s="80">
        <f t="shared" si="11"/>
        <v>134</v>
      </c>
      <c r="GW56" s="80">
        <f t="shared" si="11"/>
        <v>134</v>
      </c>
      <c r="GX56" s="80">
        <f t="shared" si="11"/>
        <v>263</v>
      </c>
      <c r="GY56" s="80">
        <f t="shared" si="11"/>
        <v>100</v>
      </c>
      <c r="GZ56" s="80">
        <f t="shared" si="11"/>
        <v>85</v>
      </c>
      <c r="HA56" s="80">
        <f t="shared" si="11"/>
        <v>207</v>
      </c>
      <c r="HB56" s="80">
        <f t="shared" si="11"/>
        <v>73</v>
      </c>
      <c r="HC56" s="80">
        <f t="shared" si="11"/>
        <v>133</v>
      </c>
      <c r="HD56" s="80">
        <f t="shared" si="11"/>
        <v>90</v>
      </c>
      <c r="HE56" s="80">
        <f t="shared" si="11"/>
        <v>49</v>
      </c>
      <c r="HF56" s="80">
        <f t="shared" si="11"/>
        <v>56</v>
      </c>
      <c r="HG56" s="80">
        <f t="shared" si="11"/>
        <v>63</v>
      </c>
      <c r="HH56" s="80">
        <f t="shared" si="11"/>
        <v>75</v>
      </c>
      <c r="HI56" s="80">
        <f t="shared" si="11"/>
        <v>80</v>
      </c>
      <c r="HJ56" s="80">
        <f t="shared" si="11"/>
        <v>74</v>
      </c>
      <c r="HK56" s="80">
        <f t="shared" si="11"/>
        <v>65</v>
      </c>
      <c r="HL56" s="80">
        <f t="shared" si="11"/>
        <v>46</v>
      </c>
      <c r="HM56" s="80">
        <f t="shared" si="11"/>
        <v>91</v>
      </c>
      <c r="HN56" s="80">
        <f t="shared" si="11"/>
        <v>50</v>
      </c>
      <c r="HO56" s="80">
        <f t="shared" si="11"/>
        <v>56</v>
      </c>
      <c r="HP56" s="80">
        <f t="shared" si="11"/>
        <v>115</v>
      </c>
      <c r="HQ56" s="80">
        <f t="shared" si="11"/>
        <v>98</v>
      </c>
      <c r="HR56" s="80">
        <f t="shared" si="11"/>
        <v>49</v>
      </c>
      <c r="HS56" s="80">
        <f t="shared" si="11"/>
        <v>59</v>
      </c>
      <c r="HT56" s="80">
        <f t="shared" si="11"/>
        <v>53</v>
      </c>
      <c r="HU56" s="80">
        <f t="shared" si="11"/>
        <v>89</v>
      </c>
      <c r="HV56" s="80">
        <f t="shared" si="11"/>
        <v>0</v>
      </c>
      <c r="HW56" s="80">
        <f t="shared" si="11"/>
        <v>0</v>
      </c>
      <c r="HX56" s="80">
        <f t="shared" si="11"/>
        <v>0</v>
      </c>
      <c r="HY56" s="50"/>
      <c r="HZ56" s="50"/>
      <c r="IA56" s="50"/>
      <c r="IB56" s="50"/>
      <c r="IC56" s="50"/>
      <c r="ID56" s="50"/>
      <c r="IE56" s="50"/>
      <c r="IF56" s="50"/>
      <c r="IG56" s="50"/>
      <c r="IH56" s="50"/>
      <c r="II56" s="50"/>
      <c r="IJ56" s="50"/>
      <c r="IK56" s="50"/>
      <c r="IL56" s="50"/>
      <c r="IM56" s="50"/>
      <c r="IN56" s="50"/>
      <c r="IO56" s="50"/>
      <c r="IP56" s="50"/>
      <c r="IQ56" s="50"/>
      <c r="IR56" s="50"/>
      <c r="IS56" s="50"/>
      <c r="IT56" s="50"/>
      <c r="IU56" s="50"/>
      <c r="IW56" s="30">
        <f>SUM(IW2:IW55)</f>
        <v>35574</v>
      </c>
      <c r="IY56" s="25">
        <f>SUM(IY2:IY55)</f>
        <v>1378962.6</v>
      </c>
      <c r="JA56" s="25">
        <f>SUM(JA2:JA55)</f>
        <v>1838375.4599999997</v>
      </c>
    </row>
    <row r="59" spans="1:261">
      <c r="B59" s="75" t="s">
        <v>234</v>
      </c>
      <c r="C59" s="75" t="s">
        <v>226</v>
      </c>
      <c r="E59" s="7">
        <v>44275</v>
      </c>
      <c r="F59" s="7">
        <v>44282</v>
      </c>
      <c r="G59" s="7">
        <v>44289</v>
      </c>
      <c r="H59" s="7">
        <v>44296</v>
      </c>
      <c r="I59" s="7">
        <v>44303</v>
      </c>
      <c r="J59" s="7">
        <v>44310</v>
      </c>
      <c r="K59" s="7">
        <v>44317</v>
      </c>
      <c r="L59" s="7">
        <v>44324</v>
      </c>
      <c r="M59" s="7">
        <v>44331</v>
      </c>
      <c r="N59" s="7">
        <v>44338</v>
      </c>
      <c r="O59" s="7">
        <v>44345</v>
      </c>
      <c r="P59" s="7">
        <v>44352</v>
      </c>
      <c r="Q59" s="7">
        <v>44359</v>
      </c>
      <c r="R59" s="7">
        <v>44366</v>
      </c>
      <c r="S59" s="7">
        <v>44373</v>
      </c>
      <c r="T59" s="7">
        <v>44380</v>
      </c>
      <c r="U59" s="7">
        <v>44387</v>
      </c>
      <c r="V59" s="7">
        <v>44394</v>
      </c>
      <c r="W59" s="7">
        <v>44401</v>
      </c>
      <c r="X59" s="7">
        <v>44408</v>
      </c>
      <c r="Y59" s="7">
        <v>44415</v>
      </c>
      <c r="Z59" s="7">
        <v>44422</v>
      </c>
      <c r="AA59" s="7">
        <v>44429</v>
      </c>
      <c r="AB59" s="7">
        <v>44436</v>
      </c>
      <c r="AC59" s="7">
        <v>44443</v>
      </c>
      <c r="AD59" s="7">
        <v>44450</v>
      </c>
      <c r="AE59" s="7">
        <v>44457</v>
      </c>
      <c r="AF59" s="7">
        <v>44464</v>
      </c>
      <c r="AG59" s="7">
        <v>44471</v>
      </c>
      <c r="AH59" s="7">
        <v>44478</v>
      </c>
      <c r="AI59" s="7">
        <v>44485</v>
      </c>
      <c r="AJ59" s="7">
        <v>44492</v>
      </c>
      <c r="AK59" s="7">
        <v>44499</v>
      </c>
      <c r="AL59" s="7">
        <v>44506</v>
      </c>
      <c r="AM59" s="7">
        <v>44513</v>
      </c>
      <c r="AN59" s="7">
        <v>44520</v>
      </c>
      <c r="AO59" s="7">
        <v>44527</v>
      </c>
      <c r="AP59" s="7">
        <v>44534</v>
      </c>
      <c r="AQ59" s="7">
        <v>44541</v>
      </c>
      <c r="AR59" s="7">
        <v>44548</v>
      </c>
      <c r="AS59" s="7">
        <v>44555</v>
      </c>
      <c r="AT59" s="7">
        <v>44562</v>
      </c>
      <c r="AU59" s="7">
        <v>44569</v>
      </c>
      <c r="AV59" s="7">
        <v>44576</v>
      </c>
      <c r="AW59" s="7">
        <v>44583</v>
      </c>
      <c r="AX59" s="7">
        <v>44590</v>
      </c>
      <c r="AY59" s="7">
        <v>44597</v>
      </c>
      <c r="AZ59" s="7">
        <v>44604</v>
      </c>
      <c r="BA59" s="7">
        <v>44611</v>
      </c>
      <c r="BB59" s="7">
        <v>44618</v>
      </c>
      <c r="BC59" s="7">
        <v>44625</v>
      </c>
      <c r="BD59" s="7">
        <v>44632</v>
      </c>
      <c r="BE59" s="7">
        <v>44639</v>
      </c>
      <c r="BF59" s="7">
        <v>44646</v>
      </c>
      <c r="BG59" s="7">
        <v>44653</v>
      </c>
      <c r="BH59" s="7">
        <v>44660</v>
      </c>
      <c r="BI59" s="7">
        <v>44667</v>
      </c>
      <c r="BJ59" s="7">
        <v>44674</v>
      </c>
      <c r="BK59" s="7">
        <v>44681</v>
      </c>
      <c r="BL59" s="7">
        <v>44688</v>
      </c>
      <c r="BM59" s="7">
        <v>44695</v>
      </c>
      <c r="BN59" s="7">
        <v>44702</v>
      </c>
      <c r="BO59" s="7">
        <v>44709</v>
      </c>
      <c r="BP59" s="7">
        <v>44716</v>
      </c>
      <c r="BQ59" s="7">
        <v>44723</v>
      </c>
      <c r="BR59" s="7">
        <v>44730</v>
      </c>
      <c r="BS59" s="7">
        <v>44737</v>
      </c>
      <c r="BT59" s="7">
        <v>44744</v>
      </c>
      <c r="BU59" s="7">
        <v>44751</v>
      </c>
      <c r="BV59" s="7">
        <v>44758</v>
      </c>
      <c r="BW59" s="7">
        <v>44765</v>
      </c>
      <c r="BX59" s="7">
        <v>44772</v>
      </c>
      <c r="BY59" s="7">
        <v>44779</v>
      </c>
      <c r="BZ59" s="7">
        <v>44786</v>
      </c>
      <c r="CA59" s="7">
        <v>44793</v>
      </c>
      <c r="CB59" s="7">
        <v>44800</v>
      </c>
      <c r="CC59" s="7">
        <v>44807</v>
      </c>
      <c r="CD59" s="7">
        <v>44814</v>
      </c>
      <c r="CE59" s="7">
        <v>44821</v>
      </c>
      <c r="CF59" s="7">
        <v>44828</v>
      </c>
      <c r="CG59" s="7">
        <v>44835</v>
      </c>
      <c r="CH59" s="7">
        <v>44842</v>
      </c>
      <c r="CI59" s="7">
        <v>44849</v>
      </c>
      <c r="CJ59" s="7">
        <v>44856</v>
      </c>
      <c r="CK59" s="7">
        <v>44863</v>
      </c>
      <c r="CL59" s="7">
        <v>44870</v>
      </c>
      <c r="CM59" s="7">
        <v>44877</v>
      </c>
      <c r="CN59" s="7">
        <v>44884</v>
      </c>
      <c r="CO59" s="7">
        <v>44891</v>
      </c>
      <c r="CP59" s="7">
        <v>44898</v>
      </c>
      <c r="CQ59" s="7">
        <v>44905</v>
      </c>
      <c r="CR59" s="7">
        <v>44912</v>
      </c>
      <c r="CS59" s="7">
        <v>44919</v>
      </c>
      <c r="CT59" s="7">
        <v>44926</v>
      </c>
      <c r="CU59" s="7">
        <v>44933</v>
      </c>
      <c r="CV59" s="7">
        <v>44940</v>
      </c>
      <c r="CW59" s="7">
        <v>44947</v>
      </c>
      <c r="CX59" s="7">
        <v>44954</v>
      </c>
      <c r="CY59" s="7">
        <v>44961</v>
      </c>
      <c r="CZ59" s="7">
        <v>44968</v>
      </c>
      <c r="DA59" s="7">
        <v>44975</v>
      </c>
      <c r="DB59" s="7">
        <v>44982</v>
      </c>
      <c r="DC59" s="7">
        <v>44989</v>
      </c>
      <c r="DD59" s="7">
        <v>44996</v>
      </c>
      <c r="DE59" s="7">
        <v>45003</v>
      </c>
      <c r="DF59" s="7">
        <v>45010</v>
      </c>
      <c r="DG59" s="7">
        <v>45017</v>
      </c>
      <c r="DH59" s="7">
        <v>45024</v>
      </c>
      <c r="DI59" s="7">
        <v>45031</v>
      </c>
      <c r="DJ59" s="7">
        <v>45038</v>
      </c>
      <c r="DK59" s="7">
        <v>45045</v>
      </c>
      <c r="DL59" s="7">
        <v>45052</v>
      </c>
      <c r="DM59" s="7">
        <v>45059</v>
      </c>
      <c r="DN59" s="7">
        <v>45066</v>
      </c>
      <c r="DO59" s="7">
        <v>45073</v>
      </c>
      <c r="DP59" s="7">
        <v>45080</v>
      </c>
      <c r="DQ59" s="7">
        <v>45087</v>
      </c>
      <c r="DR59" s="7">
        <v>45094</v>
      </c>
      <c r="DS59" s="7">
        <v>45101</v>
      </c>
      <c r="DT59" s="7">
        <v>45108</v>
      </c>
      <c r="DU59" s="7">
        <v>45115</v>
      </c>
      <c r="DV59" s="7">
        <v>45122</v>
      </c>
      <c r="DW59" s="7">
        <v>45129</v>
      </c>
      <c r="DX59" s="7">
        <v>45136</v>
      </c>
      <c r="DY59" s="7">
        <v>45143</v>
      </c>
      <c r="DZ59" s="7">
        <v>45150</v>
      </c>
      <c r="EA59" s="7">
        <v>45157</v>
      </c>
      <c r="EB59" s="7">
        <v>45164</v>
      </c>
      <c r="EC59" s="7">
        <v>45171</v>
      </c>
      <c r="ED59" s="7">
        <v>45178</v>
      </c>
      <c r="EE59" s="7">
        <v>45185</v>
      </c>
      <c r="EF59" s="7">
        <v>45192</v>
      </c>
      <c r="EG59" s="7">
        <v>45199</v>
      </c>
      <c r="EH59" s="7">
        <v>45206</v>
      </c>
      <c r="EI59" s="7">
        <v>45213</v>
      </c>
      <c r="EJ59" s="7">
        <v>45220</v>
      </c>
      <c r="EK59" s="7">
        <v>45227</v>
      </c>
      <c r="EL59" s="7">
        <v>45234</v>
      </c>
      <c r="EM59" s="7">
        <v>45241</v>
      </c>
      <c r="EN59" s="7">
        <v>45248</v>
      </c>
      <c r="EO59" s="7">
        <v>45255</v>
      </c>
      <c r="EP59" s="7">
        <v>45262</v>
      </c>
      <c r="EQ59" s="7">
        <v>45269</v>
      </c>
      <c r="ER59" s="7">
        <v>45276</v>
      </c>
      <c r="ES59" s="7">
        <v>45283</v>
      </c>
      <c r="ET59" s="7">
        <v>45290</v>
      </c>
      <c r="EU59" s="55">
        <v>45297</v>
      </c>
      <c r="EV59" s="55">
        <v>45304</v>
      </c>
      <c r="EW59" s="55">
        <v>45311</v>
      </c>
      <c r="EX59" s="55">
        <v>45318</v>
      </c>
      <c r="EY59" s="55">
        <v>45325</v>
      </c>
      <c r="EZ59" s="55">
        <v>45332</v>
      </c>
      <c r="FA59" s="55">
        <v>45339</v>
      </c>
      <c r="FB59" s="55">
        <v>45346</v>
      </c>
      <c r="FC59" s="55">
        <v>45353</v>
      </c>
      <c r="FD59" s="55">
        <v>45360</v>
      </c>
      <c r="FE59" s="55">
        <v>45367</v>
      </c>
      <c r="FF59" s="55">
        <v>45374</v>
      </c>
      <c r="FG59" s="55">
        <v>45381</v>
      </c>
      <c r="FH59" s="55">
        <v>45388</v>
      </c>
      <c r="FI59" s="55">
        <v>45395</v>
      </c>
      <c r="FJ59" s="55">
        <v>45402</v>
      </c>
      <c r="FK59" s="55">
        <v>45409</v>
      </c>
      <c r="FL59" s="55">
        <v>45416</v>
      </c>
      <c r="FM59" s="55">
        <v>45423</v>
      </c>
      <c r="FN59" s="55">
        <v>45430</v>
      </c>
      <c r="FO59" s="55">
        <v>45437</v>
      </c>
      <c r="FP59" s="55">
        <v>45444</v>
      </c>
      <c r="FQ59" s="55">
        <v>45451</v>
      </c>
      <c r="FR59" s="55">
        <v>45458</v>
      </c>
      <c r="FS59" s="55">
        <v>45465</v>
      </c>
      <c r="FT59" s="55">
        <v>45472</v>
      </c>
      <c r="FU59" s="55">
        <v>45479</v>
      </c>
      <c r="FV59" s="55">
        <v>45486</v>
      </c>
      <c r="FW59" s="55">
        <v>45493</v>
      </c>
      <c r="FX59" s="55">
        <v>45500</v>
      </c>
      <c r="FY59" s="55">
        <v>45507</v>
      </c>
      <c r="FZ59" s="55">
        <v>45514</v>
      </c>
      <c r="GA59" s="55">
        <v>45521</v>
      </c>
      <c r="GB59" s="55">
        <v>45528</v>
      </c>
      <c r="GC59" s="55">
        <v>45535</v>
      </c>
      <c r="GD59" s="55">
        <v>45542</v>
      </c>
      <c r="GE59" s="55">
        <v>45549</v>
      </c>
      <c r="GF59" s="55">
        <v>45556</v>
      </c>
      <c r="GG59" s="55">
        <v>45563</v>
      </c>
      <c r="GH59" s="55">
        <v>45570</v>
      </c>
      <c r="GI59" s="55">
        <v>45577</v>
      </c>
      <c r="GJ59" s="55">
        <v>45584</v>
      </c>
      <c r="GK59" s="55">
        <v>45591</v>
      </c>
      <c r="GL59" s="55">
        <v>45598</v>
      </c>
      <c r="GM59" s="55">
        <v>45605</v>
      </c>
      <c r="GN59" s="55">
        <v>45612</v>
      </c>
      <c r="GO59" s="55">
        <v>45619</v>
      </c>
      <c r="GP59" s="55">
        <v>45626</v>
      </c>
      <c r="GQ59" s="55">
        <v>45633</v>
      </c>
      <c r="GR59" s="55">
        <v>45640</v>
      </c>
      <c r="GS59" s="55">
        <v>45647</v>
      </c>
      <c r="GT59" s="55">
        <v>45654</v>
      </c>
      <c r="GU59" s="78">
        <v>45661</v>
      </c>
      <c r="GV59" s="78">
        <v>45668</v>
      </c>
      <c r="GW59" s="78">
        <v>45675</v>
      </c>
      <c r="GX59" s="78">
        <v>45682</v>
      </c>
      <c r="GY59" s="78">
        <v>45689</v>
      </c>
      <c r="GZ59" s="78">
        <v>45696</v>
      </c>
      <c r="HA59" s="78">
        <v>45703</v>
      </c>
      <c r="HB59" s="78">
        <v>45710</v>
      </c>
      <c r="HC59" s="78">
        <v>45717</v>
      </c>
      <c r="HD59" s="78">
        <v>45724</v>
      </c>
      <c r="HE59" s="78">
        <v>45731</v>
      </c>
      <c r="HF59" s="78">
        <v>45738</v>
      </c>
      <c r="HG59" s="78">
        <v>45745</v>
      </c>
      <c r="HH59" s="78">
        <v>45752</v>
      </c>
      <c r="HI59" s="78">
        <v>45759</v>
      </c>
      <c r="HJ59" s="78">
        <v>45766</v>
      </c>
      <c r="HK59" s="78">
        <v>45773</v>
      </c>
      <c r="HL59" s="78">
        <v>45780</v>
      </c>
      <c r="HM59" s="78">
        <v>45787</v>
      </c>
      <c r="HN59" s="78">
        <v>45794</v>
      </c>
      <c r="HO59" s="78">
        <v>45801</v>
      </c>
      <c r="HP59" s="78">
        <v>45808</v>
      </c>
      <c r="HQ59" s="78">
        <v>45815</v>
      </c>
      <c r="HR59" s="78">
        <v>45822</v>
      </c>
      <c r="HS59" s="78">
        <v>45829</v>
      </c>
      <c r="HT59" s="78">
        <v>45836</v>
      </c>
      <c r="HU59" s="78">
        <v>45843</v>
      </c>
      <c r="HV59" s="78">
        <v>45850</v>
      </c>
      <c r="HW59" s="78">
        <v>45857</v>
      </c>
      <c r="HX59" s="78">
        <v>45864</v>
      </c>
      <c r="HY59" s="78">
        <v>45871</v>
      </c>
      <c r="HZ59" s="78">
        <v>45878</v>
      </c>
      <c r="IA59" s="78">
        <v>45885</v>
      </c>
      <c r="IB59" s="78">
        <v>45892</v>
      </c>
      <c r="IC59" s="78">
        <v>45899</v>
      </c>
      <c r="ID59" s="78">
        <v>45906</v>
      </c>
      <c r="IE59" s="78">
        <v>45913</v>
      </c>
      <c r="IF59" s="78">
        <v>45920</v>
      </c>
      <c r="IG59" s="78">
        <v>45927</v>
      </c>
      <c r="IH59" s="78">
        <v>45934</v>
      </c>
      <c r="II59" s="78">
        <v>45941</v>
      </c>
      <c r="IJ59" s="78">
        <v>45948</v>
      </c>
      <c r="IK59" s="78">
        <v>45955</v>
      </c>
      <c r="IL59" s="78">
        <v>45962</v>
      </c>
      <c r="IM59" s="78">
        <v>45969</v>
      </c>
      <c r="IN59" s="78">
        <v>45976</v>
      </c>
      <c r="IO59" s="78">
        <v>45983</v>
      </c>
      <c r="IP59" s="78">
        <v>45990</v>
      </c>
      <c r="IQ59" s="78">
        <v>45997</v>
      </c>
      <c r="IR59" s="78">
        <v>46004</v>
      </c>
      <c r="IS59" s="78">
        <v>46011</v>
      </c>
      <c r="IT59" s="78">
        <v>46018</v>
      </c>
      <c r="IU59" s="78">
        <v>46025</v>
      </c>
      <c r="IW59" s="8" t="s">
        <v>30</v>
      </c>
      <c r="IX59" s="8" t="s">
        <v>26</v>
      </c>
      <c r="IY59" s="8" t="s">
        <v>214</v>
      </c>
      <c r="IZ59" s="8" t="s">
        <v>27</v>
      </c>
      <c r="JA59" s="8" t="s">
        <v>215</v>
      </c>
    </row>
    <row r="60" spans="1:261">
      <c r="B60" s="2"/>
      <c r="C60" s="2" t="s">
        <v>49</v>
      </c>
      <c r="D60" s="66" t="s">
        <v>47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49">
        <v>6</v>
      </c>
      <c r="CI60" s="48">
        <v>16</v>
      </c>
      <c r="CJ60" s="54">
        <v>470</v>
      </c>
      <c r="CK60" s="48">
        <v>66</v>
      </c>
      <c r="CL60" s="48">
        <v>61</v>
      </c>
      <c r="CM60" s="48">
        <v>61</v>
      </c>
      <c r="CN60" s="48">
        <v>55</v>
      </c>
      <c r="CO60" s="48">
        <v>91</v>
      </c>
      <c r="CP60" s="48">
        <v>135</v>
      </c>
      <c r="CQ60" s="48">
        <v>143</v>
      </c>
      <c r="CR60" s="48">
        <v>246</v>
      </c>
      <c r="CS60" s="54">
        <v>1228</v>
      </c>
      <c r="CT60" s="48">
        <v>76</v>
      </c>
      <c r="CU60" s="48">
        <v>79</v>
      </c>
      <c r="CV60" s="48">
        <v>78</v>
      </c>
      <c r="CW60" s="48">
        <v>72</v>
      </c>
      <c r="CX60" s="54">
        <v>532</v>
      </c>
      <c r="CY60" s="48">
        <v>74</v>
      </c>
      <c r="CZ60" s="48">
        <v>126</v>
      </c>
      <c r="DA60" s="48">
        <v>72</v>
      </c>
      <c r="DB60" s="54">
        <v>602</v>
      </c>
      <c r="DC60" s="48">
        <v>49</v>
      </c>
      <c r="DD60" s="48">
        <v>46</v>
      </c>
      <c r="DE60" s="48">
        <v>111</v>
      </c>
      <c r="DF60" s="54">
        <v>275</v>
      </c>
      <c r="DG60" s="48">
        <v>57</v>
      </c>
      <c r="DH60" s="48">
        <v>89</v>
      </c>
      <c r="DI60" s="48">
        <v>47</v>
      </c>
      <c r="DJ60" s="48">
        <v>85</v>
      </c>
      <c r="DK60" s="54">
        <v>335</v>
      </c>
      <c r="DL60" s="48">
        <v>46</v>
      </c>
      <c r="DM60" s="48">
        <v>92</v>
      </c>
      <c r="DN60" s="48">
        <v>75</v>
      </c>
      <c r="DO60" s="48">
        <v>53</v>
      </c>
      <c r="DP60" s="1">
        <v>50</v>
      </c>
      <c r="DQ60" s="52">
        <v>406</v>
      </c>
      <c r="DR60" s="1">
        <v>68</v>
      </c>
      <c r="DS60" s="48">
        <v>41</v>
      </c>
      <c r="DT60" s="48">
        <v>35</v>
      </c>
      <c r="DU60" s="48">
        <v>93</v>
      </c>
      <c r="DV60" s="1">
        <v>56</v>
      </c>
      <c r="DW60" s="1">
        <v>47</v>
      </c>
      <c r="DX60" s="48">
        <v>47</v>
      </c>
      <c r="DY60" s="48">
        <v>34</v>
      </c>
      <c r="DZ60" s="48">
        <v>66</v>
      </c>
      <c r="EA60" s="48">
        <v>85</v>
      </c>
      <c r="EB60" s="48">
        <v>84</v>
      </c>
      <c r="EC60" s="48">
        <v>83</v>
      </c>
      <c r="ED60" s="48">
        <v>61</v>
      </c>
      <c r="EE60" s="48">
        <v>51</v>
      </c>
      <c r="EF60" s="48">
        <v>64</v>
      </c>
      <c r="EG60" s="48">
        <v>56</v>
      </c>
      <c r="EH60" s="48">
        <v>58</v>
      </c>
      <c r="EI60" s="48">
        <v>30</v>
      </c>
      <c r="EJ60" s="48">
        <v>25</v>
      </c>
      <c r="EK60" s="1">
        <v>16</v>
      </c>
      <c r="EL60" s="1">
        <v>16</v>
      </c>
      <c r="EM60" s="1">
        <v>23</v>
      </c>
      <c r="EN60" s="1">
        <v>18</v>
      </c>
      <c r="EO60" s="1">
        <v>28</v>
      </c>
      <c r="EP60" s="1">
        <v>18</v>
      </c>
      <c r="EQ60" s="1">
        <v>31</v>
      </c>
      <c r="ER60" s="1">
        <v>53</v>
      </c>
      <c r="ES60" s="1">
        <v>135</v>
      </c>
      <c r="ET60" s="1">
        <v>41</v>
      </c>
      <c r="EU60" s="1">
        <v>23</v>
      </c>
      <c r="EV60" s="1">
        <v>24</v>
      </c>
      <c r="EW60" s="1">
        <v>25</v>
      </c>
      <c r="EX60" s="1">
        <v>26</v>
      </c>
      <c r="EY60" s="1">
        <v>26</v>
      </c>
      <c r="EZ60" s="1">
        <v>27</v>
      </c>
      <c r="FA60" s="1">
        <v>27</v>
      </c>
      <c r="FB60" s="1">
        <v>61</v>
      </c>
      <c r="FC60" s="1">
        <v>109</v>
      </c>
      <c r="FD60" s="1">
        <v>142</v>
      </c>
      <c r="FE60" s="1">
        <v>69</v>
      </c>
      <c r="FF60" s="1">
        <v>31</v>
      </c>
      <c r="FG60" s="1">
        <v>18</v>
      </c>
      <c r="FH60" s="1">
        <v>10</v>
      </c>
      <c r="FI60" s="1">
        <v>8</v>
      </c>
      <c r="FJ60" s="1">
        <v>3</v>
      </c>
      <c r="FK60" s="1">
        <v>3</v>
      </c>
      <c r="FL60" s="1">
        <v>8</v>
      </c>
      <c r="FM60" s="1">
        <v>3</v>
      </c>
      <c r="FN60" s="1">
        <v>1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1</v>
      </c>
      <c r="FU60" s="1">
        <v>1</v>
      </c>
      <c r="FV60" s="1">
        <v>1</v>
      </c>
      <c r="FW60" s="1">
        <v>0</v>
      </c>
      <c r="FX60" s="1">
        <v>1</v>
      </c>
      <c r="FY60" s="1">
        <v>0</v>
      </c>
      <c r="FZ60" s="1">
        <v>0</v>
      </c>
      <c r="GA60" s="1">
        <v>6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48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W60" s="1">
        <f>SUM(E60:IU60)</f>
        <v>8222</v>
      </c>
      <c r="IX60" s="5">
        <v>37.46</v>
      </c>
      <c r="IY60" s="5">
        <f t="shared" ref="IY60:IY66" si="12">IW60*IX60</f>
        <v>307996.12</v>
      </c>
      <c r="IZ60" s="5">
        <v>49.95</v>
      </c>
      <c r="JA60" s="5">
        <f t="shared" ref="JA60:JA64" si="13">IW60*IZ60</f>
        <v>410688.9</v>
      </c>
    </row>
    <row r="61" spans="1:261">
      <c r="B61" s="2"/>
      <c r="C61" s="2" t="s">
        <v>50</v>
      </c>
      <c r="D61" s="66" t="s">
        <v>48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49">
        <v>2</v>
      </c>
      <c r="CI61" s="48">
        <v>10</v>
      </c>
      <c r="CJ61" s="54">
        <v>213</v>
      </c>
      <c r="CK61" s="48">
        <v>52</v>
      </c>
      <c r="CL61" s="48">
        <v>43</v>
      </c>
      <c r="CM61" s="48">
        <v>43</v>
      </c>
      <c r="CN61" s="48">
        <v>46</v>
      </c>
      <c r="CO61" s="54">
        <v>538</v>
      </c>
      <c r="CP61" s="48">
        <v>123</v>
      </c>
      <c r="CQ61" s="48">
        <v>80</v>
      </c>
      <c r="CR61" s="48">
        <v>172</v>
      </c>
      <c r="CS61" s="54">
        <v>349</v>
      </c>
      <c r="CT61" s="48">
        <v>82</v>
      </c>
      <c r="CU61" s="48">
        <v>77</v>
      </c>
      <c r="CV61" s="48">
        <v>69</v>
      </c>
      <c r="CW61" s="54">
        <v>194</v>
      </c>
      <c r="CX61" s="48">
        <v>71</v>
      </c>
      <c r="CY61" s="48">
        <v>62</v>
      </c>
      <c r="CZ61" s="48">
        <v>83</v>
      </c>
      <c r="DA61" s="54">
        <v>194</v>
      </c>
      <c r="DB61" s="48">
        <v>108</v>
      </c>
      <c r="DC61" s="48">
        <v>51</v>
      </c>
      <c r="DD61" s="48">
        <v>69</v>
      </c>
      <c r="DE61" s="48">
        <v>128</v>
      </c>
      <c r="DF61" s="54">
        <v>108</v>
      </c>
      <c r="DG61" s="48">
        <v>79</v>
      </c>
      <c r="DH61" s="48">
        <v>87</v>
      </c>
      <c r="DI61" s="48">
        <v>51</v>
      </c>
      <c r="DJ61" s="48">
        <v>112</v>
      </c>
      <c r="DK61" s="54">
        <v>232</v>
      </c>
      <c r="DL61" s="48">
        <v>89</v>
      </c>
      <c r="DM61" s="48">
        <v>70</v>
      </c>
      <c r="DN61" s="48">
        <v>64</v>
      </c>
      <c r="DO61" s="54">
        <v>182</v>
      </c>
      <c r="DP61" s="1">
        <v>86</v>
      </c>
      <c r="DQ61" s="1">
        <v>68</v>
      </c>
      <c r="DR61" s="52">
        <v>180</v>
      </c>
      <c r="DS61" s="48">
        <v>69</v>
      </c>
      <c r="DT61" s="48">
        <v>75</v>
      </c>
      <c r="DU61" s="48">
        <v>64</v>
      </c>
      <c r="DV61" s="1">
        <v>54</v>
      </c>
      <c r="DW61" s="52">
        <v>176</v>
      </c>
      <c r="DX61" s="48">
        <v>72</v>
      </c>
      <c r="DY61" s="48">
        <v>92</v>
      </c>
      <c r="DZ61" s="54">
        <v>257</v>
      </c>
      <c r="EA61" s="48">
        <v>47</v>
      </c>
      <c r="EB61" s="48">
        <v>67</v>
      </c>
      <c r="EC61" s="54">
        <v>170</v>
      </c>
      <c r="ED61" s="48">
        <v>61</v>
      </c>
      <c r="EE61" s="48">
        <v>44</v>
      </c>
      <c r="EF61" s="48">
        <v>48</v>
      </c>
      <c r="EG61" s="48">
        <v>50</v>
      </c>
      <c r="EH61" s="48">
        <v>72</v>
      </c>
      <c r="EI61" s="48">
        <v>64</v>
      </c>
      <c r="EJ61" s="48">
        <v>55</v>
      </c>
      <c r="EK61" s="1">
        <v>48</v>
      </c>
      <c r="EL61" s="1">
        <v>54</v>
      </c>
      <c r="EM61" s="1">
        <v>80</v>
      </c>
      <c r="EN61" s="1">
        <v>62</v>
      </c>
      <c r="EO61" s="1">
        <v>93</v>
      </c>
      <c r="EP61" s="1">
        <v>82</v>
      </c>
      <c r="EQ61" s="1">
        <v>77</v>
      </c>
      <c r="ER61" s="1">
        <v>97</v>
      </c>
      <c r="ES61" s="1">
        <v>115</v>
      </c>
      <c r="ET61" s="1">
        <v>31</v>
      </c>
      <c r="EU61" s="1">
        <v>31</v>
      </c>
      <c r="EV61" s="1">
        <v>24</v>
      </c>
      <c r="EW61" s="1">
        <v>32</v>
      </c>
      <c r="EX61" s="1">
        <v>45</v>
      </c>
      <c r="EY61" s="1">
        <v>25</v>
      </c>
      <c r="EZ61" s="1">
        <v>26</v>
      </c>
      <c r="FA61" s="1">
        <v>24</v>
      </c>
      <c r="FB61" s="1">
        <v>34</v>
      </c>
      <c r="FC61" s="1">
        <v>25</v>
      </c>
      <c r="FD61" s="1">
        <v>24</v>
      </c>
      <c r="FE61" s="1">
        <v>8</v>
      </c>
      <c r="FF61" s="48">
        <v>1</v>
      </c>
      <c r="FG61" s="48">
        <v>5</v>
      </c>
      <c r="FH61" s="48">
        <v>0</v>
      </c>
      <c r="FI61" s="48">
        <v>3</v>
      </c>
      <c r="FJ61" s="48">
        <v>2</v>
      </c>
      <c r="FK61" s="48">
        <v>1</v>
      </c>
      <c r="FL61" s="48">
        <v>3</v>
      </c>
      <c r="FM61" s="48">
        <v>3</v>
      </c>
      <c r="FN61" s="48">
        <v>0</v>
      </c>
      <c r="FO61" s="48">
        <v>2</v>
      </c>
      <c r="FP61" s="48">
        <v>0</v>
      </c>
      <c r="FQ61" s="48">
        <v>0</v>
      </c>
      <c r="FR61" s="48">
        <v>0</v>
      </c>
      <c r="FS61" s="48">
        <v>0</v>
      </c>
      <c r="FT61" s="48">
        <v>0</v>
      </c>
      <c r="FU61" s="48">
        <v>1</v>
      </c>
      <c r="FV61" s="48">
        <v>1</v>
      </c>
      <c r="FW61" s="48">
        <v>0</v>
      </c>
      <c r="FX61" s="48">
        <v>0</v>
      </c>
      <c r="FY61" s="48">
        <v>0</v>
      </c>
      <c r="FZ61" s="48">
        <v>0</v>
      </c>
      <c r="GA61" s="48">
        <v>0</v>
      </c>
      <c r="GB61" s="48">
        <v>1</v>
      </c>
      <c r="GC61" s="48">
        <v>0</v>
      </c>
      <c r="GD61" s="48">
        <v>1</v>
      </c>
      <c r="GE61" s="48">
        <v>2</v>
      </c>
      <c r="GF61" s="48">
        <v>0</v>
      </c>
      <c r="GG61" s="48">
        <v>4</v>
      </c>
      <c r="GH61" s="69">
        <v>0</v>
      </c>
      <c r="GI61" s="48">
        <v>0</v>
      </c>
      <c r="GJ61" s="48">
        <v>1</v>
      </c>
      <c r="GK61" s="48">
        <v>1</v>
      </c>
      <c r="GL61" s="48">
        <v>1</v>
      </c>
      <c r="GM61" s="48">
        <v>2</v>
      </c>
      <c r="GN61" s="48">
        <v>0</v>
      </c>
      <c r="GO61" s="1">
        <v>0</v>
      </c>
      <c r="GP61" s="48">
        <v>2</v>
      </c>
      <c r="GQ61" s="48">
        <v>0</v>
      </c>
      <c r="GR61" s="48">
        <v>2</v>
      </c>
      <c r="GS61" s="48">
        <v>3</v>
      </c>
      <c r="GT61" s="48">
        <v>0</v>
      </c>
      <c r="GU61" s="48">
        <v>0</v>
      </c>
      <c r="GV61" s="48">
        <v>0</v>
      </c>
      <c r="GW61" s="48">
        <v>0</v>
      </c>
      <c r="GX61" s="48">
        <v>0</v>
      </c>
      <c r="GY61" s="48">
        <v>0</v>
      </c>
      <c r="GZ61" s="48">
        <v>0</v>
      </c>
      <c r="HA61" s="48">
        <v>0</v>
      </c>
      <c r="HB61" s="48">
        <v>0</v>
      </c>
      <c r="HC61" s="48">
        <v>0</v>
      </c>
      <c r="HD61" s="48">
        <v>0</v>
      </c>
      <c r="HE61" s="48">
        <v>0</v>
      </c>
      <c r="HF61" s="48">
        <v>0</v>
      </c>
      <c r="HG61" s="48">
        <v>0</v>
      </c>
      <c r="HH61" s="48">
        <v>0</v>
      </c>
      <c r="HI61" s="48">
        <v>0</v>
      </c>
      <c r="HJ61" s="48">
        <v>0</v>
      </c>
      <c r="HK61" s="48">
        <v>0</v>
      </c>
      <c r="HL61" s="48">
        <v>0</v>
      </c>
      <c r="HM61" s="48">
        <v>0</v>
      </c>
      <c r="HN61" s="48">
        <v>0</v>
      </c>
      <c r="HO61" s="48">
        <v>0</v>
      </c>
      <c r="HP61" s="48">
        <v>0</v>
      </c>
      <c r="HQ61" s="48">
        <v>0</v>
      </c>
      <c r="HR61" s="48">
        <v>0</v>
      </c>
      <c r="HS61" s="48">
        <v>0</v>
      </c>
      <c r="HT61" s="48">
        <v>0</v>
      </c>
      <c r="HU61" s="48">
        <v>0</v>
      </c>
      <c r="HV61" s="1"/>
      <c r="HW61" s="1"/>
      <c r="HX61" s="1"/>
      <c r="HY61" s="1"/>
      <c r="HZ61" s="1"/>
      <c r="IA61" s="1"/>
      <c r="IB61" s="1"/>
      <c r="IC61" s="1"/>
      <c r="ID61" s="48"/>
      <c r="IE61" s="48"/>
      <c r="IF61" s="48"/>
      <c r="IG61" s="48"/>
      <c r="IH61" s="48"/>
      <c r="II61" s="48"/>
      <c r="IJ61" s="48"/>
      <c r="IK61" s="48"/>
      <c r="IL61" s="48"/>
      <c r="IM61" s="48"/>
      <c r="IN61" s="48"/>
      <c r="IO61" s="48"/>
      <c r="IP61" s="48"/>
      <c r="IQ61" s="48"/>
      <c r="IR61" s="48"/>
      <c r="IS61" s="48"/>
      <c r="IT61" s="48"/>
      <c r="IU61" s="48"/>
      <c r="IW61" s="1">
        <f t="shared" ref="IW61:IW66" si="14">SUM(E61:IU61)</f>
        <v>6883</v>
      </c>
      <c r="IX61" s="5">
        <v>74.959999999999994</v>
      </c>
      <c r="IY61" s="5">
        <f t="shared" si="12"/>
        <v>515949.67999999993</v>
      </c>
      <c r="IZ61" s="5">
        <v>99.95</v>
      </c>
      <c r="JA61" s="5">
        <f t="shared" si="13"/>
        <v>687955.85</v>
      </c>
    </row>
    <row r="62" spans="1:261">
      <c r="B62" s="51">
        <v>6550471</v>
      </c>
      <c r="C62" s="51" t="s">
        <v>139</v>
      </c>
      <c r="D62" s="38" t="s">
        <v>151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48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48"/>
      <c r="EH62" s="48"/>
      <c r="EI62" s="49">
        <v>-1</v>
      </c>
      <c r="EJ62" s="1">
        <v>13</v>
      </c>
      <c r="EK62" s="1">
        <v>33</v>
      </c>
      <c r="EL62" s="52">
        <v>460</v>
      </c>
      <c r="EM62" s="1">
        <v>69</v>
      </c>
      <c r="EN62" s="1">
        <v>73</v>
      </c>
      <c r="EO62" s="1">
        <v>430</v>
      </c>
      <c r="EP62" s="1">
        <v>328</v>
      </c>
      <c r="EQ62" s="1">
        <v>265</v>
      </c>
      <c r="ER62" s="1">
        <v>335</v>
      </c>
      <c r="ES62" s="1">
        <v>292</v>
      </c>
      <c r="ET62" s="1">
        <v>75</v>
      </c>
      <c r="EU62" s="1">
        <v>67</v>
      </c>
      <c r="EV62" s="1">
        <v>49</v>
      </c>
      <c r="EW62" s="1">
        <v>32</v>
      </c>
      <c r="EX62" s="1">
        <v>5</v>
      </c>
      <c r="EY62" s="1">
        <v>10</v>
      </c>
      <c r="EZ62" s="1">
        <v>82</v>
      </c>
      <c r="FA62" s="42">
        <v>99</v>
      </c>
      <c r="FB62" s="1">
        <v>120</v>
      </c>
      <c r="FC62" s="52">
        <v>402</v>
      </c>
      <c r="FD62" s="1">
        <v>192</v>
      </c>
      <c r="FE62" s="1">
        <v>102</v>
      </c>
      <c r="FF62" s="1">
        <v>105</v>
      </c>
      <c r="FG62" s="52">
        <v>329</v>
      </c>
      <c r="FH62" s="1">
        <v>156</v>
      </c>
      <c r="FI62" s="1">
        <v>114</v>
      </c>
      <c r="FJ62" s="1">
        <v>87</v>
      </c>
      <c r="FK62" s="1">
        <v>138</v>
      </c>
      <c r="FL62" s="1">
        <v>132</v>
      </c>
      <c r="FM62" s="1">
        <v>159</v>
      </c>
      <c r="FN62" s="52">
        <v>212</v>
      </c>
      <c r="FO62" s="1">
        <v>112</v>
      </c>
      <c r="FP62" s="1">
        <v>135</v>
      </c>
      <c r="FQ62" s="1">
        <v>85</v>
      </c>
      <c r="FR62" s="52">
        <v>275</v>
      </c>
      <c r="FS62" s="1">
        <v>154</v>
      </c>
      <c r="FT62" s="1">
        <v>113</v>
      </c>
      <c r="FU62" s="1">
        <v>200</v>
      </c>
      <c r="FV62" s="1">
        <v>146</v>
      </c>
      <c r="FW62" s="52">
        <v>366</v>
      </c>
      <c r="FX62" s="1">
        <v>169</v>
      </c>
      <c r="FY62" s="1">
        <v>138</v>
      </c>
      <c r="FZ62" s="1">
        <v>114</v>
      </c>
      <c r="GA62" s="1">
        <v>183</v>
      </c>
      <c r="GB62" s="1">
        <v>241</v>
      </c>
      <c r="GC62" s="1">
        <v>227</v>
      </c>
      <c r="GD62" s="56">
        <v>635</v>
      </c>
      <c r="GE62" s="1">
        <v>162</v>
      </c>
      <c r="GF62" s="1">
        <v>153</v>
      </c>
      <c r="GG62" s="1">
        <v>215</v>
      </c>
      <c r="GH62" s="1">
        <v>150</v>
      </c>
      <c r="GI62" s="1">
        <v>119</v>
      </c>
      <c r="GJ62" s="1">
        <v>197</v>
      </c>
      <c r="GK62" s="1">
        <v>110</v>
      </c>
      <c r="GL62" s="1">
        <v>184</v>
      </c>
      <c r="GM62" s="1">
        <v>100</v>
      </c>
      <c r="GN62" s="1">
        <v>197</v>
      </c>
      <c r="GO62" s="1">
        <v>213</v>
      </c>
      <c r="GP62" s="48">
        <v>529</v>
      </c>
      <c r="GQ62" s="48">
        <v>393</v>
      </c>
      <c r="GR62" s="48">
        <v>503</v>
      </c>
      <c r="GS62" s="48">
        <v>663</v>
      </c>
      <c r="GT62" s="48">
        <v>591</v>
      </c>
      <c r="GU62" s="48">
        <v>269</v>
      </c>
      <c r="GV62" s="48">
        <v>97</v>
      </c>
      <c r="GW62" s="48">
        <v>141</v>
      </c>
      <c r="GX62" s="48">
        <v>149</v>
      </c>
      <c r="GY62" s="48">
        <v>157</v>
      </c>
      <c r="GZ62" s="48">
        <v>126</v>
      </c>
      <c r="HA62" s="48">
        <v>114</v>
      </c>
      <c r="HB62" s="48">
        <v>130</v>
      </c>
      <c r="HC62" s="52">
        <v>265</v>
      </c>
      <c r="HD62" s="48">
        <v>138</v>
      </c>
      <c r="HE62" s="48">
        <v>109</v>
      </c>
      <c r="HF62" s="48">
        <v>173</v>
      </c>
      <c r="HG62" s="48">
        <v>125</v>
      </c>
      <c r="HH62" s="48">
        <v>114</v>
      </c>
      <c r="HI62" s="82">
        <v>492</v>
      </c>
      <c r="HJ62" s="48">
        <v>167</v>
      </c>
      <c r="HK62" s="48">
        <v>102</v>
      </c>
      <c r="HL62" s="48">
        <v>73</v>
      </c>
      <c r="HM62" s="48">
        <v>77</v>
      </c>
      <c r="HN62" s="48">
        <v>64</v>
      </c>
      <c r="HO62" s="48">
        <v>154</v>
      </c>
      <c r="HP62" s="52">
        <v>346</v>
      </c>
      <c r="HQ62" s="48">
        <v>94</v>
      </c>
      <c r="HR62" s="48">
        <v>81</v>
      </c>
      <c r="HS62" s="48">
        <v>128</v>
      </c>
      <c r="HT62" s="48">
        <v>138</v>
      </c>
      <c r="HU62" s="48">
        <v>122</v>
      </c>
      <c r="HV62" s="1">
        <v>512</v>
      </c>
      <c r="HW62" s="1">
        <v>142</v>
      </c>
      <c r="HX62" s="1">
        <v>84</v>
      </c>
      <c r="HY62" s="1">
        <v>181</v>
      </c>
      <c r="HZ62" s="1">
        <v>105</v>
      </c>
      <c r="IA62" s="1">
        <v>116</v>
      </c>
      <c r="IB62" s="1">
        <v>99</v>
      </c>
      <c r="IC62" s="1">
        <v>156</v>
      </c>
      <c r="ID62" s="1">
        <v>136</v>
      </c>
      <c r="IE62" s="1">
        <v>84</v>
      </c>
      <c r="IF62" s="1">
        <v>91</v>
      </c>
      <c r="IG62" s="1">
        <v>110</v>
      </c>
      <c r="IH62" s="1">
        <v>69</v>
      </c>
      <c r="II62" s="1">
        <v>68</v>
      </c>
      <c r="IJ62" s="1">
        <v>74</v>
      </c>
      <c r="IK62" s="1">
        <v>56</v>
      </c>
      <c r="IL62" s="1">
        <v>92</v>
      </c>
      <c r="IM62" s="1">
        <v>87</v>
      </c>
      <c r="IN62" s="1">
        <v>74</v>
      </c>
      <c r="IO62" s="1">
        <v>101</v>
      </c>
      <c r="IP62" s="1">
        <v>273</v>
      </c>
      <c r="IQ62" s="1">
        <v>163</v>
      </c>
      <c r="IR62" s="1"/>
      <c r="IS62" s="1"/>
      <c r="IT62" s="1"/>
      <c r="IU62" s="1"/>
      <c r="IV62" s="79"/>
      <c r="IW62" s="1">
        <f t="shared" si="14"/>
        <v>19754</v>
      </c>
      <c r="IX62" s="5">
        <v>37.46</v>
      </c>
      <c r="IY62" s="5">
        <f t="shared" si="12"/>
        <v>739984.84</v>
      </c>
      <c r="IZ62" s="5">
        <v>49.95</v>
      </c>
      <c r="JA62" s="5">
        <f t="shared" si="13"/>
        <v>986712.3</v>
      </c>
    </row>
    <row r="63" spans="1:261">
      <c r="B63" s="51">
        <v>6550544</v>
      </c>
      <c r="C63" s="51" t="s">
        <v>146</v>
      </c>
      <c r="D63" s="38" t="s">
        <v>158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48"/>
      <c r="EH63" s="48"/>
      <c r="EI63" s="48"/>
      <c r="EJ63" s="48">
        <v>0</v>
      </c>
      <c r="EK63" s="1"/>
      <c r="EL63" s="1"/>
      <c r="EM63" s="49">
        <v>14</v>
      </c>
      <c r="EN63" s="52">
        <v>171</v>
      </c>
      <c r="EO63" s="1">
        <v>185</v>
      </c>
      <c r="EP63" s="1">
        <v>127</v>
      </c>
      <c r="EQ63" s="1">
        <v>114</v>
      </c>
      <c r="ER63" s="1">
        <v>165</v>
      </c>
      <c r="ES63" s="1">
        <v>512</v>
      </c>
      <c r="ET63" s="1">
        <v>184</v>
      </c>
      <c r="EU63" s="1">
        <v>89</v>
      </c>
      <c r="EV63" s="1">
        <v>75</v>
      </c>
      <c r="EW63" s="1">
        <v>89</v>
      </c>
      <c r="EX63" s="52">
        <v>179</v>
      </c>
      <c r="EY63" s="1">
        <v>108</v>
      </c>
      <c r="EZ63" s="1">
        <v>109</v>
      </c>
      <c r="FA63" s="1">
        <v>95</v>
      </c>
      <c r="FB63" s="52">
        <v>192</v>
      </c>
      <c r="FC63" s="1">
        <v>96</v>
      </c>
      <c r="FD63" s="1">
        <v>87</v>
      </c>
      <c r="FE63" s="52">
        <v>171</v>
      </c>
      <c r="FF63" s="1">
        <v>88</v>
      </c>
      <c r="FG63" s="1">
        <v>107</v>
      </c>
      <c r="FH63" s="1">
        <v>100</v>
      </c>
      <c r="FI63" s="1">
        <v>87</v>
      </c>
      <c r="FJ63" s="52">
        <v>178</v>
      </c>
      <c r="FK63" s="1">
        <v>83</v>
      </c>
      <c r="FL63" s="1">
        <v>72</v>
      </c>
      <c r="FM63" s="1">
        <v>85</v>
      </c>
      <c r="FN63" s="1">
        <v>85</v>
      </c>
      <c r="FO63" s="1">
        <v>93</v>
      </c>
      <c r="FP63" s="1">
        <v>95</v>
      </c>
      <c r="FQ63" s="52">
        <v>139</v>
      </c>
      <c r="FR63" s="48">
        <v>101</v>
      </c>
      <c r="FS63" s="1">
        <v>84</v>
      </c>
      <c r="FT63" s="1">
        <v>89</v>
      </c>
      <c r="FU63" s="48">
        <v>183</v>
      </c>
      <c r="FV63" s="56">
        <v>508</v>
      </c>
      <c r="FW63" s="48">
        <v>131</v>
      </c>
      <c r="FX63" s="48">
        <v>95</v>
      </c>
      <c r="FY63" s="1">
        <v>102</v>
      </c>
      <c r="FZ63" s="1">
        <v>93</v>
      </c>
      <c r="GA63" s="1">
        <v>68</v>
      </c>
      <c r="GB63" s="48">
        <v>122</v>
      </c>
      <c r="GC63" s="48">
        <v>105</v>
      </c>
      <c r="GD63" s="48">
        <v>136</v>
      </c>
      <c r="GE63" s="48">
        <v>116</v>
      </c>
      <c r="GF63" s="48">
        <v>112</v>
      </c>
      <c r="GG63" s="48">
        <v>77</v>
      </c>
      <c r="GH63" s="48">
        <v>112</v>
      </c>
      <c r="GI63" s="48">
        <v>98</v>
      </c>
      <c r="GJ63" s="48">
        <v>78</v>
      </c>
      <c r="GK63" s="48">
        <v>72</v>
      </c>
      <c r="GL63" s="48">
        <v>107</v>
      </c>
      <c r="GM63" s="1">
        <v>177</v>
      </c>
      <c r="GN63" s="1">
        <v>76</v>
      </c>
      <c r="GO63" s="1">
        <v>190</v>
      </c>
      <c r="GP63" s="48">
        <v>542</v>
      </c>
      <c r="GQ63" s="48">
        <v>308</v>
      </c>
      <c r="GR63" s="48">
        <v>293</v>
      </c>
      <c r="GS63" s="48">
        <v>468</v>
      </c>
      <c r="GT63" s="48">
        <v>507</v>
      </c>
      <c r="GU63" s="48">
        <v>224</v>
      </c>
      <c r="GV63" s="48">
        <v>162</v>
      </c>
      <c r="GW63" s="48">
        <v>134</v>
      </c>
      <c r="GX63" s="48">
        <v>110</v>
      </c>
      <c r="GY63" s="48">
        <v>76</v>
      </c>
      <c r="GZ63" s="48">
        <v>71</v>
      </c>
      <c r="HA63" s="1">
        <v>72</v>
      </c>
      <c r="HB63" s="48">
        <v>68</v>
      </c>
      <c r="HC63" s="48">
        <v>74</v>
      </c>
      <c r="HD63" s="48">
        <v>96</v>
      </c>
      <c r="HE63" s="48">
        <v>82</v>
      </c>
      <c r="HF63" s="48">
        <v>70</v>
      </c>
      <c r="HG63" s="48">
        <v>54</v>
      </c>
      <c r="HH63" s="48">
        <v>92</v>
      </c>
      <c r="HI63" s="52">
        <v>203</v>
      </c>
      <c r="HJ63" s="48">
        <v>67</v>
      </c>
      <c r="HK63" s="48">
        <v>52</v>
      </c>
      <c r="HL63" s="48">
        <v>99</v>
      </c>
      <c r="HM63" s="48">
        <v>105</v>
      </c>
      <c r="HN63" s="48">
        <v>72</v>
      </c>
      <c r="HO63" s="48">
        <v>57</v>
      </c>
      <c r="HP63" s="48">
        <v>60</v>
      </c>
      <c r="HQ63" s="48">
        <v>65</v>
      </c>
      <c r="HR63" s="48">
        <v>111</v>
      </c>
      <c r="HS63" s="48">
        <v>74</v>
      </c>
      <c r="HT63" s="48">
        <v>74</v>
      </c>
      <c r="HU63" s="48">
        <v>88</v>
      </c>
      <c r="HV63" s="1">
        <v>54</v>
      </c>
      <c r="HW63" s="1">
        <v>55</v>
      </c>
      <c r="HX63" s="1">
        <v>103</v>
      </c>
      <c r="HY63" s="1">
        <v>64</v>
      </c>
      <c r="HZ63" s="1">
        <v>56</v>
      </c>
      <c r="IA63" s="1">
        <v>90</v>
      </c>
      <c r="IB63" s="1">
        <v>90</v>
      </c>
      <c r="IC63" s="1">
        <v>75</v>
      </c>
      <c r="ID63" s="1">
        <v>189</v>
      </c>
      <c r="IE63" s="1">
        <v>92</v>
      </c>
      <c r="IF63" s="1">
        <v>59</v>
      </c>
      <c r="IG63" s="1">
        <v>64</v>
      </c>
      <c r="IH63" s="1">
        <v>71</v>
      </c>
      <c r="II63" s="1">
        <v>42</v>
      </c>
      <c r="IJ63" s="1">
        <v>40</v>
      </c>
      <c r="IK63" s="1">
        <v>56</v>
      </c>
      <c r="IL63" s="1">
        <v>40</v>
      </c>
      <c r="IM63" s="1">
        <v>39</v>
      </c>
      <c r="IN63" s="1">
        <v>58</v>
      </c>
      <c r="IO63" s="1">
        <v>50</v>
      </c>
      <c r="IP63" s="1">
        <v>94</v>
      </c>
      <c r="IQ63" s="1">
        <v>102</v>
      </c>
      <c r="IR63" s="48"/>
      <c r="IS63" s="48"/>
      <c r="IT63" s="48"/>
      <c r="IU63" s="48"/>
      <c r="IV63" s="79"/>
      <c r="IW63" s="1">
        <f t="shared" si="14"/>
        <v>13219</v>
      </c>
      <c r="IX63" s="5">
        <v>67.459999999999994</v>
      </c>
      <c r="IY63" s="5">
        <f t="shared" si="12"/>
        <v>891753.73999999987</v>
      </c>
      <c r="IZ63" s="5">
        <v>89.95</v>
      </c>
      <c r="JA63" s="5">
        <f t="shared" si="13"/>
        <v>1189049.05</v>
      </c>
    </row>
    <row r="64" spans="1:261">
      <c r="B64" s="51">
        <v>6552876</v>
      </c>
      <c r="C64" s="51" t="s">
        <v>165</v>
      </c>
      <c r="D64" s="38" t="s">
        <v>210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48"/>
      <c r="EH64" s="48"/>
      <c r="EI64" s="48"/>
      <c r="EJ64" s="48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52">
        <v>206</v>
      </c>
      <c r="FT64" s="1">
        <v>95</v>
      </c>
      <c r="FU64" s="1">
        <v>123</v>
      </c>
      <c r="FV64" s="1">
        <v>165</v>
      </c>
      <c r="FW64" s="1">
        <v>324</v>
      </c>
      <c r="FX64" s="1">
        <v>184</v>
      </c>
      <c r="FY64" s="52">
        <v>577</v>
      </c>
      <c r="FZ64" s="1">
        <v>142</v>
      </c>
      <c r="GA64" s="1">
        <v>387</v>
      </c>
      <c r="GB64" s="1">
        <v>482</v>
      </c>
      <c r="GC64" s="1">
        <v>341</v>
      </c>
      <c r="GD64" s="1">
        <v>327</v>
      </c>
      <c r="GE64" s="1">
        <v>334</v>
      </c>
      <c r="GF64" s="1">
        <v>274</v>
      </c>
      <c r="GG64" s="1">
        <v>373</v>
      </c>
      <c r="GH64" s="52">
        <v>761</v>
      </c>
      <c r="GI64" s="1">
        <v>173</v>
      </c>
      <c r="GJ64" s="1">
        <v>342</v>
      </c>
      <c r="GK64" s="1">
        <v>243</v>
      </c>
      <c r="GL64" s="1">
        <v>386</v>
      </c>
      <c r="GM64" s="1">
        <v>254</v>
      </c>
      <c r="GN64" s="1">
        <v>371</v>
      </c>
      <c r="GO64" s="1">
        <v>437</v>
      </c>
      <c r="GP64" s="48">
        <v>1207</v>
      </c>
      <c r="GQ64" s="48">
        <v>939</v>
      </c>
      <c r="GR64" s="48">
        <v>887</v>
      </c>
      <c r="GS64" s="48">
        <v>1345</v>
      </c>
      <c r="GT64" s="48">
        <v>1021</v>
      </c>
      <c r="GU64" s="48">
        <v>576</v>
      </c>
      <c r="GV64" s="48">
        <v>205</v>
      </c>
      <c r="GW64" s="48">
        <v>248</v>
      </c>
      <c r="GX64" s="48">
        <v>190</v>
      </c>
      <c r="GY64" s="48">
        <v>258</v>
      </c>
      <c r="GZ64" s="48">
        <v>262</v>
      </c>
      <c r="HA64" s="1">
        <v>246</v>
      </c>
      <c r="HB64" s="48">
        <v>216</v>
      </c>
      <c r="HC64" s="48">
        <v>393</v>
      </c>
      <c r="HD64" s="48">
        <v>231</v>
      </c>
      <c r="HE64" s="52">
        <v>559</v>
      </c>
      <c r="HF64" s="48">
        <v>359</v>
      </c>
      <c r="HG64" s="48">
        <v>200</v>
      </c>
      <c r="HH64" s="48">
        <v>173</v>
      </c>
      <c r="HI64" s="48">
        <v>158</v>
      </c>
      <c r="HJ64" s="48">
        <v>236</v>
      </c>
      <c r="HK64" s="48">
        <v>126</v>
      </c>
      <c r="HL64" s="48">
        <v>138</v>
      </c>
      <c r="HM64" s="48">
        <v>126</v>
      </c>
      <c r="HN64" s="48">
        <v>115</v>
      </c>
      <c r="HO64" s="48">
        <v>213</v>
      </c>
      <c r="HP64" s="48">
        <v>181</v>
      </c>
      <c r="HQ64" s="48">
        <v>131</v>
      </c>
      <c r="HR64" s="48">
        <v>142</v>
      </c>
      <c r="HS64" s="48">
        <v>135</v>
      </c>
      <c r="HT64" s="48">
        <v>148</v>
      </c>
      <c r="HU64" s="54">
        <v>493</v>
      </c>
      <c r="HV64" s="1">
        <v>271</v>
      </c>
      <c r="HW64" s="1">
        <v>150</v>
      </c>
      <c r="HX64" s="1">
        <v>125</v>
      </c>
      <c r="HY64" s="1">
        <v>136</v>
      </c>
      <c r="HZ64" s="1">
        <v>98</v>
      </c>
      <c r="IA64" s="1">
        <v>109</v>
      </c>
      <c r="IB64" s="1">
        <v>115</v>
      </c>
      <c r="IC64" s="1">
        <v>217</v>
      </c>
      <c r="ID64" s="1">
        <v>119</v>
      </c>
      <c r="IE64" s="1">
        <v>103</v>
      </c>
      <c r="IF64" s="1">
        <v>121</v>
      </c>
      <c r="IG64" s="1">
        <v>106</v>
      </c>
      <c r="IH64" s="1">
        <v>91</v>
      </c>
      <c r="II64" s="1">
        <v>88</v>
      </c>
      <c r="IJ64" s="1">
        <v>90</v>
      </c>
      <c r="IK64" s="1">
        <v>67</v>
      </c>
      <c r="IL64" s="1">
        <v>101</v>
      </c>
      <c r="IM64" s="1">
        <v>373</v>
      </c>
      <c r="IN64" s="1">
        <v>98</v>
      </c>
      <c r="IO64" s="1">
        <v>127</v>
      </c>
      <c r="IP64" s="1">
        <v>300</v>
      </c>
      <c r="IQ64" s="1">
        <v>253</v>
      </c>
      <c r="IR64" s="48"/>
      <c r="IS64" s="48"/>
      <c r="IT64" s="48"/>
      <c r="IU64" s="48"/>
      <c r="IV64" s="79"/>
      <c r="IW64" s="1">
        <f t="shared" si="14"/>
        <v>22416</v>
      </c>
      <c r="IX64" s="5">
        <v>37.46</v>
      </c>
      <c r="IY64" s="5">
        <f t="shared" si="12"/>
        <v>839703.36</v>
      </c>
      <c r="IZ64" s="5">
        <v>49.95</v>
      </c>
      <c r="JA64" s="5">
        <f t="shared" si="13"/>
        <v>1119679.2</v>
      </c>
    </row>
    <row r="65" spans="2:261">
      <c r="B65" s="51">
        <v>6550477</v>
      </c>
      <c r="C65" s="51" t="s">
        <v>142</v>
      </c>
      <c r="D65" s="38" t="s">
        <v>209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48"/>
      <c r="EH65" s="48"/>
      <c r="EI65" s="48"/>
      <c r="EJ65" s="48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>
        <v>13</v>
      </c>
      <c r="FT65" s="1">
        <v>25</v>
      </c>
      <c r="FU65" s="1">
        <v>49</v>
      </c>
      <c r="FV65" s="1">
        <v>65</v>
      </c>
      <c r="FW65" s="1">
        <v>88</v>
      </c>
      <c r="FX65" s="1">
        <v>68</v>
      </c>
      <c r="FY65" s="1">
        <v>82</v>
      </c>
      <c r="FZ65" s="1">
        <v>78</v>
      </c>
      <c r="GA65" s="1">
        <v>62</v>
      </c>
      <c r="GB65" s="1">
        <v>80</v>
      </c>
      <c r="GC65" s="1">
        <v>84</v>
      </c>
      <c r="GD65" s="1">
        <v>106</v>
      </c>
      <c r="GE65" s="1">
        <v>98</v>
      </c>
      <c r="GF65" s="1">
        <v>159</v>
      </c>
      <c r="GG65" s="1">
        <v>77</v>
      </c>
      <c r="GH65" s="1">
        <v>84</v>
      </c>
      <c r="GI65" s="1">
        <v>83</v>
      </c>
      <c r="GJ65" s="1">
        <v>73</v>
      </c>
      <c r="GK65" s="1">
        <v>101</v>
      </c>
      <c r="GL65" s="1">
        <v>220</v>
      </c>
      <c r="GM65" s="1">
        <v>44</v>
      </c>
      <c r="GN65" s="1">
        <v>67</v>
      </c>
      <c r="GO65" s="1">
        <v>82</v>
      </c>
      <c r="GP65" s="48">
        <v>255</v>
      </c>
      <c r="GQ65" s="48">
        <v>185</v>
      </c>
      <c r="GR65" s="48">
        <v>187</v>
      </c>
      <c r="GS65" s="48">
        <v>312</v>
      </c>
      <c r="GT65" s="48">
        <v>340</v>
      </c>
      <c r="GU65" s="48">
        <v>135</v>
      </c>
      <c r="GV65" s="48">
        <v>133</v>
      </c>
      <c r="GW65" s="48">
        <v>119</v>
      </c>
      <c r="GX65" s="48">
        <v>172</v>
      </c>
      <c r="GY65" s="48">
        <v>53</v>
      </c>
      <c r="GZ65" s="48">
        <v>63</v>
      </c>
      <c r="HA65" s="1">
        <v>97</v>
      </c>
      <c r="HB65" s="48">
        <v>55</v>
      </c>
      <c r="HC65" s="48">
        <v>56</v>
      </c>
      <c r="HD65" s="48">
        <v>47</v>
      </c>
      <c r="HE65" s="48">
        <v>47</v>
      </c>
      <c r="HF65" s="48">
        <v>56</v>
      </c>
      <c r="HG65" s="48">
        <v>63</v>
      </c>
      <c r="HH65" s="48">
        <v>84</v>
      </c>
      <c r="HI65" s="48">
        <v>70</v>
      </c>
      <c r="HJ65" s="48">
        <v>63</v>
      </c>
      <c r="HK65" s="48">
        <v>59</v>
      </c>
      <c r="HL65" s="48">
        <v>69</v>
      </c>
      <c r="HM65" s="48">
        <v>68</v>
      </c>
      <c r="HN65" s="48">
        <v>54</v>
      </c>
      <c r="HO65" s="48">
        <v>73</v>
      </c>
      <c r="HP65" s="48">
        <v>57</v>
      </c>
      <c r="HQ65" s="48">
        <v>62</v>
      </c>
      <c r="HR65" s="48">
        <v>75</v>
      </c>
      <c r="HS65" s="48">
        <v>49</v>
      </c>
      <c r="HT65" s="48">
        <v>55</v>
      </c>
      <c r="HU65" s="48">
        <v>84</v>
      </c>
      <c r="HV65" s="1">
        <v>60</v>
      </c>
      <c r="HW65" s="1">
        <v>41</v>
      </c>
      <c r="HX65" s="1">
        <v>63</v>
      </c>
      <c r="HY65" s="1">
        <v>45</v>
      </c>
      <c r="HZ65" s="1">
        <v>47</v>
      </c>
      <c r="IA65" s="1">
        <v>91</v>
      </c>
      <c r="IB65" s="1">
        <v>42</v>
      </c>
      <c r="IC65" s="1">
        <v>41</v>
      </c>
      <c r="ID65" s="1">
        <v>45</v>
      </c>
      <c r="IE65" s="1">
        <v>61</v>
      </c>
      <c r="IF65" s="1">
        <v>64</v>
      </c>
      <c r="IG65" s="1">
        <v>73</v>
      </c>
      <c r="IH65" s="1">
        <v>72</v>
      </c>
      <c r="II65" s="1">
        <v>97</v>
      </c>
      <c r="IJ65" s="1">
        <v>62</v>
      </c>
      <c r="IK65" s="1">
        <v>43</v>
      </c>
      <c r="IL65" s="1">
        <v>40</v>
      </c>
      <c r="IM65" s="1">
        <v>57</v>
      </c>
      <c r="IN65" s="1">
        <v>19</v>
      </c>
      <c r="IO65" s="1">
        <v>49</v>
      </c>
      <c r="IP65" s="1">
        <v>75</v>
      </c>
      <c r="IQ65" s="1">
        <v>61</v>
      </c>
      <c r="IR65" s="48"/>
      <c r="IS65" s="48"/>
      <c r="IT65" s="48"/>
      <c r="IU65" s="48"/>
      <c r="IV65" s="79"/>
      <c r="IW65" s="1">
        <f t="shared" si="14"/>
        <v>6433</v>
      </c>
      <c r="IX65" s="5">
        <v>14.99</v>
      </c>
      <c r="IY65" s="5">
        <f t="shared" si="12"/>
        <v>96430.67</v>
      </c>
      <c r="IZ65" s="5">
        <v>19.989999999999998</v>
      </c>
      <c r="JA65" s="5">
        <f>IW65*IZ65</f>
        <v>128595.66999999998</v>
      </c>
    </row>
    <row r="66" spans="2:261">
      <c r="B66" s="51">
        <v>6576717</v>
      </c>
      <c r="C66" s="51" t="s">
        <v>193</v>
      </c>
      <c r="D66" s="38" t="s">
        <v>233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48"/>
      <c r="EH66" s="48"/>
      <c r="EI66" s="48"/>
      <c r="EJ66" s="48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48">
        <v>0</v>
      </c>
      <c r="FT66" s="48">
        <v>0</v>
      </c>
      <c r="FU66" s="48">
        <v>0</v>
      </c>
      <c r="FV66" s="48">
        <v>0</v>
      </c>
      <c r="FW66" s="48">
        <v>0</v>
      </c>
      <c r="FX66" s="48">
        <v>0</v>
      </c>
      <c r="FY66" s="48">
        <v>0</v>
      </c>
      <c r="FZ66" s="48">
        <v>0</v>
      </c>
      <c r="GA66" s="48">
        <v>0</v>
      </c>
      <c r="GB66" s="48">
        <v>0</v>
      </c>
      <c r="GC66" s="48">
        <v>0</v>
      </c>
      <c r="GD66" s="48">
        <v>0</v>
      </c>
      <c r="GE66" s="48">
        <v>0</v>
      </c>
      <c r="GF66" s="48">
        <v>0</v>
      </c>
      <c r="GG66" s="48">
        <v>0</v>
      </c>
      <c r="GH66" s="48">
        <v>0</v>
      </c>
      <c r="GI66" s="48">
        <v>0</v>
      </c>
      <c r="GJ66" s="48">
        <v>0</v>
      </c>
      <c r="GK66" s="48">
        <v>0</v>
      </c>
      <c r="GL66" s="48">
        <v>0</v>
      </c>
      <c r="GM66" s="48">
        <v>0</v>
      </c>
      <c r="GN66" s="48">
        <v>0</v>
      </c>
      <c r="GO66" s="48">
        <v>0</v>
      </c>
      <c r="GP66" s="48">
        <v>0</v>
      </c>
      <c r="GQ66" s="48">
        <v>0</v>
      </c>
      <c r="GR66" s="48">
        <v>0</v>
      </c>
      <c r="GS66" s="48">
        <v>0</v>
      </c>
      <c r="GT66" s="48">
        <v>0</v>
      </c>
      <c r="GU66" s="48">
        <v>0</v>
      </c>
      <c r="GV66" s="48">
        <v>0</v>
      </c>
      <c r="GW66" s="48">
        <v>0</v>
      </c>
      <c r="GX66" s="48">
        <v>0</v>
      </c>
      <c r="GY66" s="48">
        <v>0</v>
      </c>
      <c r="GZ66" s="48">
        <v>0</v>
      </c>
      <c r="HA66" s="48">
        <v>0</v>
      </c>
      <c r="HB66" s="48">
        <v>0</v>
      </c>
      <c r="HC66" s="48">
        <v>0</v>
      </c>
      <c r="HD66" s="48">
        <v>0</v>
      </c>
      <c r="HE66" s="48">
        <v>0</v>
      </c>
      <c r="HF66" s="48">
        <v>30</v>
      </c>
      <c r="HG66" s="48">
        <v>14</v>
      </c>
      <c r="HH66" s="48">
        <v>11</v>
      </c>
      <c r="HI66" s="48">
        <v>40</v>
      </c>
      <c r="HJ66" s="48">
        <v>98</v>
      </c>
      <c r="HK66" s="48">
        <v>66</v>
      </c>
      <c r="HL66" s="48">
        <v>60</v>
      </c>
      <c r="HM66" s="48">
        <v>51</v>
      </c>
      <c r="HN66" s="48">
        <v>56</v>
      </c>
      <c r="HO66" s="48">
        <v>101</v>
      </c>
      <c r="HP66" s="48">
        <v>89</v>
      </c>
      <c r="HQ66" s="48">
        <v>61</v>
      </c>
      <c r="HR66" s="48">
        <v>80</v>
      </c>
      <c r="HS66" s="48">
        <v>92</v>
      </c>
      <c r="HT66" s="48">
        <v>52</v>
      </c>
      <c r="HU66" s="48">
        <v>173</v>
      </c>
      <c r="HV66" s="1">
        <v>136</v>
      </c>
      <c r="HW66" s="1">
        <v>75</v>
      </c>
      <c r="HX66" s="1">
        <v>68</v>
      </c>
      <c r="HY66" s="1">
        <v>69</v>
      </c>
      <c r="HZ66" s="1">
        <v>57</v>
      </c>
      <c r="IA66" s="1">
        <v>88</v>
      </c>
      <c r="IB66" s="1">
        <v>104</v>
      </c>
      <c r="IC66" s="1">
        <v>164</v>
      </c>
      <c r="ID66" s="1">
        <v>130</v>
      </c>
      <c r="IE66" s="1">
        <v>77</v>
      </c>
      <c r="IF66" s="1">
        <v>112</v>
      </c>
      <c r="IG66" s="1">
        <v>92</v>
      </c>
      <c r="IH66" s="1">
        <v>102</v>
      </c>
      <c r="II66" s="1">
        <v>55</v>
      </c>
      <c r="IJ66" s="1">
        <v>58</v>
      </c>
      <c r="IK66" s="1">
        <v>65</v>
      </c>
      <c r="IL66" s="1">
        <v>52</v>
      </c>
      <c r="IM66" s="1">
        <v>154</v>
      </c>
      <c r="IN66" s="1">
        <v>45</v>
      </c>
      <c r="IO66" s="1">
        <v>78</v>
      </c>
      <c r="IP66" s="1">
        <v>150</v>
      </c>
      <c r="IQ66" s="1">
        <v>80</v>
      </c>
      <c r="IR66" s="48"/>
      <c r="IS66" s="48"/>
      <c r="IT66" s="48"/>
      <c r="IU66" s="48"/>
      <c r="IV66" s="79"/>
      <c r="IW66" s="1">
        <f t="shared" si="14"/>
        <v>3085</v>
      </c>
      <c r="IX66" s="5">
        <v>37.46</v>
      </c>
      <c r="IY66" s="5">
        <f t="shared" si="12"/>
        <v>115564.1</v>
      </c>
      <c r="IZ66" s="5">
        <v>49.95</v>
      </c>
      <c r="JA66" s="5">
        <f>IW66*IZ66</f>
        <v>154095.75</v>
      </c>
    </row>
    <row r="67" spans="2:261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6">
        <f t="shared" ref="CH67:ET67" si="15">SUM(CH60:CH63)</f>
        <v>8</v>
      </c>
      <c r="CI67" s="6">
        <f t="shared" si="15"/>
        <v>26</v>
      </c>
      <c r="CJ67" s="6">
        <f t="shared" si="15"/>
        <v>683</v>
      </c>
      <c r="CK67" s="6">
        <f t="shared" si="15"/>
        <v>118</v>
      </c>
      <c r="CL67" s="6">
        <f t="shared" si="15"/>
        <v>104</v>
      </c>
      <c r="CM67" s="6">
        <f t="shared" si="15"/>
        <v>104</v>
      </c>
      <c r="CN67" s="6">
        <f t="shared" si="15"/>
        <v>101</v>
      </c>
      <c r="CO67" s="6">
        <f t="shared" si="15"/>
        <v>629</v>
      </c>
      <c r="CP67" s="6">
        <f t="shared" si="15"/>
        <v>258</v>
      </c>
      <c r="CQ67" s="6">
        <f t="shared" si="15"/>
        <v>223</v>
      </c>
      <c r="CR67" s="6">
        <f t="shared" si="15"/>
        <v>418</v>
      </c>
      <c r="CS67" s="6">
        <f t="shared" si="15"/>
        <v>1577</v>
      </c>
      <c r="CT67" s="6">
        <f t="shared" si="15"/>
        <v>158</v>
      </c>
      <c r="CU67" s="6">
        <f t="shared" si="15"/>
        <v>156</v>
      </c>
      <c r="CV67" s="6">
        <f t="shared" si="15"/>
        <v>147</v>
      </c>
      <c r="CW67" s="6">
        <f t="shared" si="15"/>
        <v>266</v>
      </c>
      <c r="CX67" s="6">
        <f t="shared" si="15"/>
        <v>603</v>
      </c>
      <c r="CY67" s="6">
        <f t="shared" si="15"/>
        <v>136</v>
      </c>
      <c r="CZ67" s="6">
        <f t="shared" si="15"/>
        <v>209</v>
      </c>
      <c r="DA67" s="6">
        <f t="shared" si="15"/>
        <v>266</v>
      </c>
      <c r="DB67" s="6">
        <f t="shared" si="15"/>
        <v>710</v>
      </c>
      <c r="DC67" s="6">
        <f t="shared" si="15"/>
        <v>100</v>
      </c>
      <c r="DD67" s="6">
        <f t="shared" si="15"/>
        <v>115</v>
      </c>
      <c r="DE67" s="6">
        <f t="shared" si="15"/>
        <v>239</v>
      </c>
      <c r="DF67" s="6">
        <f t="shared" si="15"/>
        <v>383</v>
      </c>
      <c r="DG67" s="6">
        <f t="shared" si="15"/>
        <v>136</v>
      </c>
      <c r="DH67" s="6">
        <f t="shared" si="15"/>
        <v>176</v>
      </c>
      <c r="DI67" s="6">
        <f t="shared" si="15"/>
        <v>98</v>
      </c>
      <c r="DJ67" s="6">
        <f t="shared" si="15"/>
        <v>197</v>
      </c>
      <c r="DK67" s="6">
        <f t="shared" si="15"/>
        <v>567</v>
      </c>
      <c r="DL67" s="6">
        <f t="shared" si="15"/>
        <v>135</v>
      </c>
      <c r="DM67" s="6">
        <f t="shared" si="15"/>
        <v>162</v>
      </c>
      <c r="DN67" s="6">
        <f t="shared" si="15"/>
        <v>139</v>
      </c>
      <c r="DO67" s="6">
        <f t="shared" si="15"/>
        <v>235</v>
      </c>
      <c r="DP67" s="6">
        <f t="shared" si="15"/>
        <v>136</v>
      </c>
      <c r="DQ67" s="6">
        <f t="shared" si="15"/>
        <v>474</v>
      </c>
      <c r="DR67" s="6">
        <f t="shared" si="15"/>
        <v>248</v>
      </c>
      <c r="DS67" s="6">
        <f t="shared" si="15"/>
        <v>110</v>
      </c>
      <c r="DT67" s="6">
        <f t="shared" si="15"/>
        <v>110</v>
      </c>
      <c r="DU67" s="6">
        <f t="shared" si="15"/>
        <v>157</v>
      </c>
      <c r="DV67" s="6">
        <f t="shared" si="15"/>
        <v>110</v>
      </c>
      <c r="DW67" s="6">
        <f t="shared" si="15"/>
        <v>223</v>
      </c>
      <c r="DX67" s="6">
        <f t="shared" si="15"/>
        <v>119</v>
      </c>
      <c r="DY67" s="6">
        <f t="shared" si="15"/>
        <v>126</v>
      </c>
      <c r="DZ67" s="6">
        <f t="shared" si="15"/>
        <v>323</v>
      </c>
      <c r="EA67" s="6">
        <f t="shared" si="15"/>
        <v>132</v>
      </c>
      <c r="EB67" s="6">
        <f t="shared" si="15"/>
        <v>151</v>
      </c>
      <c r="EC67" s="6">
        <f t="shared" si="15"/>
        <v>253</v>
      </c>
      <c r="ED67" s="6">
        <f t="shared" si="15"/>
        <v>122</v>
      </c>
      <c r="EE67" s="6">
        <f t="shared" si="15"/>
        <v>95</v>
      </c>
      <c r="EF67" s="6">
        <f t="shared" si="15"/>
        <v>112</v>
      </c>
      <c r="EG67" s="6">
        <f t="shared" si="15"/>
        <v>106</v>
      </c>
      <c r="EH67" s="6">
        <f t="shared" si="15"/>
        <v>130</v>
      </c>
      <c r="EI67" s="6">
        <f t="shared" si="15"/>
        <v>93</v>
      </c>
      <c r="EJ67" s="6">
        <f>SUM(EJ60:EJ63)</f>
        <v>93</v>
      </c>
      <c r="EK67" s="6">
        <f t="shared" si="15"/>
        <v>97</v>
      </c>
      <c r="EL67" s="6">
        <f t="shared" si="15"/>
        <v>530</v>
      </c>
      <c r="EM67" s="6">
        <f t="shared" si="15"/>
        <v>186</v>
      </c>
      <c r="EN67" s="6">
        <f t="shared" si="15"/>
        <v>324</v>
      </c>
      <c r="EO67" s="6">
        <f t="shared" si="15"/>
        <v>736</v>
      </c>
      <c r="EP67" s="6">
        <f t="shared" si="15"/>
        <v>555</v>
      </c>
      <c r="EQ67" s="6">
        <f t="shared" si="15"/>
        <v>487</v>
      </c>
      <c r="ER67" s="6">
        <f t="shared" si="15"/>
        <v>650</v>
      </c>
      <c r="ES67" s="6">
        <f t="shared" si="15"/>
        <v>1054</v>
      </c>
      <c r="ET67" s="6">
        <f t="shared" si="15"/>
        <v>331</v>
      </c>
      <c r="EU67" s="6">
        <f t="shared" ref="EU67:FO67" si="16">SUM(EU60:EU63)</f>
        <v>210</v>
      </c>
      <c r="EV67" s="6">
        <f t="shared" si="16"/>
        <v>172</v>
      </c>
      <c r="EW67" s="6">
        <f t="shared" si="16"/>
        <v>178</v>
      </c>
      <c r="EX67" s="6">
        <f t="shared" si="16"/>
        <v>255</v>
      </c>
      <c r="EY67" s="6">
        <f t="shared" si="16"/>
        <v>169</v>
      </c>
      <c r="EZ67" s="6">
        <f t="shared" si="16"/>
        <v>244</v>
      </c>
      <c r="FA67" s="6">
        <f>SUM(FA60:FA63)</f>
        <v>245</v>
      </c>
      <c r="FB67" s="6">
        <f t="shared" si="16"/>
        <v>407</v>
      </c>
      <c r="FC67" s="6">
        <f t="shared" si="16"/>
        <v>632</v>
      </c>
      <c r="FD67" s="6">
        <f t="shared" si="16"/>
        <v>445</v>
      </c>
      <c r="FE67" s="6">
        <f t="shared" si="16"/>
        <v>350</v>
      </c>
      <c r="FF67" s="6">
        <f t="shared" si="16"/>
        <v>225</v>
      </c>
      <c r="FG67" s="6">
        <f t="shared" si="16"/>
        <v>459</v>
      </c>
      <c r="FH67" s="6">
        <f t="shared" si="16"/>
        <v>266</v>
      </c>
      <c r="FI67" s="6">
        <f t="shared" si="16"/>
        <v>212</v>
      </c>
      <c r="FJ67" s="6">
        <f t="shared" si="16"/>
        <v>270</v>
      </c>
      <c r="FK67" s="6">
        <f t="shared" si="16"/>
        <v>225</v>
      </c>
      <c r="FL67" s="6">
        <f t="shared" si="16"/>
        <v>215</v>
      </c>
      <c r="FM67" s="6">
        <f t="shared" si="16"/>
        <v>250</v>
      </c>
      <c r="FN67" s="6">
        <f t="shared" si="16"/>
        <v>298</v>
      </c>
      <c r="FO67" s="6">
        <f t="shared" si="16"/>
        <v>207</v>
      </c>
      <c r="FP67" s="6">
        <f>SUM(FP60:FP65)</f>
        <v>230</v>
      </c>
      <c r="FQ67" s="6">
        <f t="shared" ref="FQ67:FT67" si="17">SUM(FQ60:FQ65)</f>
        <v>224</v>
      </c>
      <c r="FR67" s="6">
        <f t="shared" si="17"/>
        <v>376</v>
      </c>
      <c r="FS67" s="6">
        <f t="shared" si="17"/>
        <v>457</v>
      </c>
      <c r="FT67" s="6">
        <f t="shared" si="17"/>
        <v>323</v>
      </c>
      <c r="FU67" s="6">
        <f>SUM(FU60:FU65)</f>
        <v>557</v>
      </c>
      <c r="FV67" s="6">
        <f t="shared" ref="FV67:HD67" si="18">SUM(FV60:FV65)</f>
        <v>886</v>
      </c>
      <c r="FW67" s="6">
        <f t="shared" si="18"/>
        <v>909</v>
      </c>
      <c r="FX67" s="6">
        <f t="shared" si="18"/>
        <v>517</v>
      </c>
      <c r="FY67" s="6">
        <f t="shared" si="18"/>
        <v>899</v>
      </c>
      <c r="FZ67" s="6">
        <f t="shared" si="18"/>
        <v>427</v>
      </c>
      <c r="GA67" s="6">
        <f t="shared" si="18"/>
        <v>706</v>
      </c>
      <c r="GB67" s="6">
        <f t="shared" si="18"/>
        <v>926</v>
      </c>
      <c r="GC67" s="6">
        <f t="shared" si="18"/>
        <v>757</v>
      </c>
      <c r="GD67" s="6">
        <f t="shared" si="18"/>
        <v>1205</v>
      </c>
      <c r="GE67" s="6">
        <f t="shared" si="18"/>
        <v>712</v>
      </c>
      <c r="GF67" s="6">
        <f t="shared" si="18"/>
        <v>698</v>
      </c>
      <c r="GG67" s="6">
        <f t="shared" si="18"/>
        <v>746</v>
      </c>
      <c r="GH67" s="6">
        <f>SUM(GH60:GH65)</f>
        <v>1107</v>
      </c>
      <c r="GI67" s="6">
        <f t="shared" si="18"/>
        <v>473</v>
      </c>
      <c r="GJ67" s="6">
        <f t="shared" si="18"/>
        <v>691</v>
      </c>
      <c r="GK67" s="6">
        <f t="shared" si="18"/>
        <v>527</v>
      </c>
      <c r="GL67" s="6">
        <f t="shared" si="18"/>
        <v>898</v>
      </c>
      <c r="GM67" s="6">
        <f t="shared" si="18"/>
        <v>577</v>
      </c>
      <c r="GN67" s="6">
        <f t="shared" si="18"/>
        <v>711</v>
      </c>
      <c r="GO67" s="6">
        <f t="shared" si="18"/>
        <v>922</v>
      </c>
      <c r="GP67" s="6">
        <f t="shared" si="18"/>
        <v>2535</v>
      </c>
      <c r="GQ67" s="6">
        <f t="shared" si="18"/>
        <v>1825</v>
      </c>
      <c r="GR67" s="6">
        <f t="shared" si="18"/>
        <v>1872</v>
      </c>
      <c r="GS67" s="6">
        <f t="shared" si="18"/>
        <v>2791</v>
      </c>
      <c r="GT67" s="6">
        <f t="shared" si="18"/>
        <v>2459</v>
      </c>
      <c r="GU67" s="6">
        <f t="shared" si="18"/>
        <v>1204</v>
      </c>
      <c r="GV67" s="6">
        <f t="shared" si="18"/>
        <v>597</v>
      </c>
      <c r="GW67" s="6">
        <f t="shared" si="18"/>
        <v>642</v>
      </c>
      <c r="GX67" s="6">
        <f t="shared" si="18"/>
        <v>621</v>
      </c>
      <c r="GY67" s="6">
        <f t="shared" si="18"/>
        <v>544</v>
      </c>
      <c r="GZ67" s="6">
        <f t="shared" si="18"/>
        <v>522</v>
      </c>
      <c r="HA67" s="6">
        <f t="shared" si="18"/>
        <v>529</v>
      </c>
      <c r="HB67" s="6">
        <f t="shared" si="18"/>
        <v>469</v>
      </c>
      <c r="HC67" s="6">
        <f t="shared" si="18"/>
        <v>788</v>
      </c>
      <c r="HD67" s="6">
        <f t="shared" si="18"/>
        <v>512</v>
      </c>
      <c r="HE67" s="6">
        <f>SUM(HE60:HE66)</f>
        <v>797</v>
      </c>
      <c r="HF67" s="6">
        <f t="shared" ref="HF67:IU67" si="19">SUM(HF60:HF66)</f>
        <v>688</v>
      </c>
      <c r="HG67" s="6">
        <f t="shared" si="19"/>
        <v>456</v>
      </c>
      <c r="HH67" s="6">
        <f t="shared" si="19"/>
        <v>474</v>
      </c>
      <c r="HI67" s="6">
        <f t="shared" si="19"/>
        <v>963</v>
      </c>
      <c r="HJ67" s="6">
        <f t="shared" si="19"/>
        <v>631</v>
      </c>
      <c r="HK67" s="6">
        <f t="shared" si="19"/>
        <v>405</v>
      </c>
      <c r="HL67" s="6">
        <f t="shared" si="19"/>
        <v>439</v>
      </c>
      <c r="HM67" s="6">
        <f t="shared" si="19"/>
        <v>427</v>
      </c>
      <c r="HN67" s="6">
        <f t="shared" si="19"/>
        <v>361</v>
      </c>
      <c r="HO67" s="6">
        <f t="shared" si="19"/>
        <v>598</v>
      </c>
      <c r="HP67" s="6">
        <f t="shared" si="19"/>
        <v>733</v>
      </c>
      <c r="HQ67" s="6">
        <f t="shared" si="19"/>
        <v>413</v>
      </c>
      <c r="HR67" s="6">
        <f t="shared" si="19"/>
        <v>489</v>
      </c>
      <c r="HS67" s="6">
        <f t="shared" si="19"/>
        <v>478</v>
      </c>
      <c r="HT67" s="6">
        <f t="shared" si="19"/>
        <v>467</v>
      </c>
      <c r="HU67" s="6">
        <f t="shared" si="19"/>
        <v>960</v>
      </c>
      <c r="HV67" s="6">
        <f t="shared" si="19"/>
        <v>1033</v>
      </c>
      <c r="HW67" s="6">
        <f t="shared" si="19"/>
        <v>463</v>
      </c>
      <c r="HX67" s="6">
        <f t="shared" si="19"/>
        <v>443</v>
      </c>
      <c r="HY67" s="6">
        <f t="shared" si="19"/>
        <v>495</v>
      </c>
      <c r="HZ67" s="6">
        <f t="shared" si="19"/>
        <v>363</v>
      </c>
      <c r="IA67" s="6">
        <f t="shared" si="19"/>
        <v>494</v>
      </c>
      <c r="IB67" s="6">
        <f t="shared" si="19"/>
        <v>450</v>
      </c>
      <c r="IC67" s="6">
        <f t="shared" si="19"/>
        <v>653</v>
      </c>
      <c r="ID67" s="6">
        <f t="shared" si="19"/>
        <v>619</v>
      </c>
      <c r="IE67" s="6">
        <f t="shared" si="19"/>
        <v>417</v>
      </c>
      <c r="IF67" s="6">
        <f t="shared" si="19"/>
        <v>447</v>
      </c>
      <c r="IG67" s="6">
        <f t="shared" si="19"/>
        <v>445</v>
      </c>
      <c r="IH67" s="6">
        <f t="shared" si="19"/>
        <v>405</v>
      </c>
      <c r="II67" s="6">
        <f t="shared" si="19"/>
        <v>350</v>
      </c>
      <c r="IJ67" s="6">
        <f t="shared" si="19"/>
        <v>324</v>
      </c>
      <c r="IK67" s="6">
        <f t="shared" si="19"/>
        <v>287</v>
      </c>
      <c r="IL67" s="6">
        <f t="shared" si="19"/>
        <v>325</v>
      </c>
      <c r="IM67" s="6">
        <f t="shared" si="19"/>
        <v>710</v>
      </c>
      <c r="IN67" s="6">
        <f t="shared" si="19"/>
        <v>294</v>
      </c>
      <c r="IO67" s="6">
        <f t="shared" si="19"/>
        <v>405</v>
      </c>
      <c r="IP67" s="6">
        <f t="shared" si="19"/>
        <v>892</v>
      </c>
      <c r="IQ67" s="6">
        <f t="shared" si="19"/>
        <v>659</v>
      </c>
      <c r="IR67" s="6">
        <f t="shared" si="19"/>
        <v>0</v>
      </c>
      <c r="IS67" s="6">
        <f t="shared" si="19"/>
        <v>0</v>
      </c>
      <c r="IT67" s="6">
        <f t="shared" si="19"/>
        <v>0</v>
      </c>
      <c r="IU67" s="6">
        <f t="shared" si="19"/>
        <v>0</v>
      </c>
      <c r="IV67" s="79"/>
      <c r="IW67" s="30">
        <f>SUM(IW60:IW66)</f>
        <v>80012</v>
      </c>
      <c r="IY67" s="25">
        <f>SUM(IY60:IY66)</f>
        <v>3507382.51</v>
      </c>
      <c r="JA67" s="25">
        <f>SUM(JA60:JA66)</f>
        <v>4676776.72</v>
      </c>
    </row>
    <row r="68" spans="2:261"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  <c r="FK68" s="50"/>
      <c r="FL68" s="50"/>
      <c r="FM68" s="50"/>
      <c r="FN68" s="50"/>
      <c r="FO68" s="50"/>
      <c r="FP68" s="50"/>
      <c r="FQ68" s="50"/>
      <c r="FR68" s="50"/>
      <c r="FS68" s="50"/>
      <c r="FT68" s="50"/>
      <c r="FU68" s="50"/>
      <c r="FV68" s="50"/>
      <c r="FW68" s="50"/>
      <c r="FX68" s="50"/>
      <c r="FY68" s="50"/>
      <c r="FZ68" s="50"/>
      <c r="GA68" s="50"/>
      <c r="GB68" s="50"/>
      <c r="GC68" s="50"/>
      <c r="GD68" s="50"/>
      <c r="GE68" s="50"/>
      <c r="GF68" s="50"/>
      <c r="GG68" s="50"/>
      <c r="GH68" s="50"/>
      <c r="GI68" s="50"/>
      <c r="GJ68" s="50"/>
      <c r="GK68" s="50"/>
      <c r="GL68" s="50"/>
      <c r="GM68" s="50"/>
      <c r="GN68" s="50"/>
      <c r="GO68" s="50"/>
      <c r="GP68" s="50"/>
      <c r="GQ68" s="50"/>
      <c r="GR68" s="50"/>
      <c r="GS68" s="50"/>
      <c r="GT68" s="50"/>
      <c r="GU68" s="50"/>
      <c r="GV68" s="50"/>
      <c r="GW68" s="50"/>
      <c r="GX68" s="50"/>
      <c r="GY68" s="50"/>
      <c r="GZ68" s="50"/>
      <c r="HA68" s="50"/>
      <c r="HB68" s="50"/>
      <c r="HC68" s="50"/>
      <c r="HD68" s="50"/>
      <c r="HE68" s="50"/>
      <c r="HF68" s="50"/>
      <c r="HG68" s="50"/>
      <c r="HH68" s="50"/>
      <c r="HI68" s="50"/>
      <c r="HJ68" s="50"/>
      <c r="HK68" s="50"/>
      <c r="HL68" s="50"/>
      <c r="HM68" s="50"/>
      <c r="HN68" s="50"/>
      <c r="HO68" s="50"/>
      <c r="HP68" s="50"/>
      <c r="HQ68" s="50"/>
      <c r="HR68" s="50"/>
      <c r="HS68" s="50"/>
      <c r="HT68" s="50"/>
      <c r="HU68" s="50"/>
      <c r="HV68" s="50"/>
      <c r="HW68" s="50"/>
      <c r="HX68" s="50"/>
      <c r="HY68" s="50"/>
      <c r="HZ68" s="50"/>
      <c r="IA68" s="50"/>
      <c r="IB68" s="50"/>
      <c r="IC68" s="50"/>
      <c r="ID68" s="50"/>
      <c r="IE68" s="50"/>
      <c r="IF68" s="50"/>
      <c r="IG68" s="50"/>
      <c r="IH68" s="50"/>
      <c r="II68" s="50"/>
      <c r="IJ68" s="50"/>
      <c r="IK68" s="50"/>
      <c r="IL68" s="50"/>
      <c r="IM68" s="50"/>
      <c r="IN68" s="50"/>
      <c r="IO68" s="50"/>
      <c r="IP68" s="50"/>
      <c r="IQ68" s="50"/>
      <c r="IR68" s="50"/>
      <c r="IS68" s="50"/>
      <c r="IT68" s="50"/>
      <c r="IU68" s="50"/>
      <c r="IW68" s="31"/>
      <c r="IY68" s="71"/>
      <c r="JA68" s="71"/>
    </row>
    <row r="69" spans="2:261">
      <c r="B69" s="74" t="s">
        <v>234</v>
      </c>
      <c r="C69" s="74" t="s">
        <v>228</v>
      </c>
      <c r="E69" s="7">
        <v>44275</v>
      </c>
      <c r="F69" s="7">
        <v>44282</v>
      </c>
      <c r="G69" s="7">
        <v>44289</v>
      </c>
      <c r="H69" s="7">
        <v>44296</v>
      </c>
      <c r="I69" s="7">
        <v>44303</v>
      </c>
      <c r="J69" s="7">
        <v>44310</v>
      </c>
      <c r="K69" s="7">
        <v>44317</v>
      </c>
      <c r="L69" s="7">
        <v>44324</v>
      </c>
      <c r="M69" s="7">
        <v>44331</v>
      </c>
      <c r="N69" s="7">
        <v>44338</v>
      </c>
      <c r="O69" s="7">
        <v>44345</v>
      </c>
      <c r="P69" s="7">
        <v>44352</v>
      </c>
      <c r="Q69" s="7">
        <v>44359</v>
      </c>
      <c r="R69" s="7">
        <v>44366</v>
      </c>
      <c r="S69" s="7">
        <v>44373</v>
      </c>
      <c r="T69" s="7">
        <v>44380</v>
      </c>
      <c r="U69" s="7">
        <v>44387</v>
      </c>
      <c r="V69" s="7">
        <v>44394</v>
      </c>
      <c r="W69" s="7">
        <v>44401</v>
      </c>
      <c r="X69" s="7">
        <v>44408</v>
      </c>
      <c r="Y69" s="7">
        <v>44415</v>
      </c>
      <c r="Z69" s="7">
        <v>44422</v>
      </c>
      <c r="AA69" s="7">
        <v>44429</v>
      </c>
      <c r="AB69" s="7">
        <v>44436</v>
      </c>
      <c r="AC69" s="7">
        <v>44443</v>
      </c>
      <c r="AD69" s="7">
        <v>44450</v>
      </c>
      <c r="AE69" s="7">
        <v>44457</v>
      </c>
      <c r="AF69" s="7">
        <v>44464</v>
      </c>
      <c r="AG69" s="7">
        <v>44471</v>
      </c>
      <c r="AH69" s="7">
        <v>44478</v>
      </c>
      <c r="AI69" s="7">
        <v>44485</v>
      </c>
      <c r="AJ69" s="7">
        <v>44492</v>
      </c>
      <c r="AK69" s="7">
        <v>44499</v>
      </c>
      <c r="AL69" s="7">
        <v>44506</v>
      </c>
      <c r="AM69" s="7">
        <v>44513</v>
      </c>
      <c r="AN69" s="7">
        <v>44520</v>
      </c>
      <c r="AO69" s="7">
        <v>44527</v>
      </c>
      <c r="AP69" s="7">
        <v>44534</v>
      </c>
      <c r="AQ69" s="7">
        <v>44541</v>
      </c>
      <c r="AR69" s="7">
        <v>44548</v>
      </c>
      <c r="AS69" s="7">
        <v>44555</v>
      </c>
      <c r="AT69" s="7">
        <v>44562</v>
      </c>
      <c r="AU69" s="7">
        <v>44569</v>
      </c>
      <c r="AV69" s="7">
        <v>44576</v>
      </c>
      <c r="AW69" s="7">
        <v>44583</v>
      </c>
      <c r="AX69" s="7">
        <v>44590</v>
      </c>
      <c r="AY69" s="7">
        <v>44597</v>
      </c>
      <c r="AZ69" s="7">
        <v>44604</v>
      </c>
      <c r="BA69" s="7">
        <v>44611</v>
      </c>
      <c r="BB69" s="7">
        <v>44618</v>
      </c>
      <c r="BC69" s="7">
        <v>44625</v>
      </c>
      <c r="BD69" s="7">
        <v>44632</v>
      </c>
      <c r="BE69" s="7">
        <v>44639</v>
      </c>
      <c r="BF69" s="7">
        <v>44646</v>
      </c>
      <c r="BG69" s="7">
        <v>44653</v>
      </c>
      <c r="BH69" s="7">
        <v>44660</v>
      </c>
      <c r="BI69" s="7">
        <v>44667</v>
      </c>
      <c r="BJ69" s="7">
        <v>44674</v>
      </c>
      <c r="BK69" s="7">
        <v>44681</v>
      </c>
      <c r="BL69" s="7">
        <v>44688</v>
      </c>
      <c r="BM69" s="7">
        <v>44695</v>
      </c>
      <c r="BN69" s="7">
        <v>44702</v>
      </c>
      <c r="BO69" s="7">
        <v>44709</v>
      </c>
      <c r="BP69" s="7">
        <v>44716</v>
      </c>
      <c r="BQ69" s="7">
        <v>44723</v>
      </c>
      <c r="BR69" s="7">
        <v>44730</v>
      </c>
      <c r="BS69" s="7">
        <v>44737</v>
      </c>
      <c r="BT69" s="7">
        <v>44744</v>
      </c>
      <c r="BU69" s="7">
        <v>44751</v>
      </c>
      <c r="BV69" s="7">
        <v>44758</v>
      </c>
      <c r="BW69" s="7">
        <v>44765</v>
      </c>
      <c r="BX69" s="7">
        <v>44772</v>
      </c>
      <c r="BY69" s="7">
        <v>44779</v>
      </c>
      <c r="BZ69" s="7">
        <v>44786</v>
      </c>
      <c r="CA69" s="7">
        <v>44793</v>
      </c>
      <c r="CB69" s="7">
        <v>44800</v>
      </c>
      <c r="CC69" s="7">
        <v>44807</v>
      </c>
      <c r="CD69" s="7">
        <v>44814</v>
      </c>
      <c r="CE69" s="7">
        <v>44821</v>
      </c>
      <c r="CF69" s="7">
        <v>44828</v>
      </c>
      <c r="CG69" s="7">
        <v>44835</v>
      </c>
      <c r="CH69" s="7">
        <v>44842</v>
      </c>
      <c r="CI69" s="7">
        <v>44849</v>
      </c>
      <c r="CJ69" s="7">
        <v>44856</v>
      </c>
      <c r="CK69" s="7">
        <v>44863</v>
      </c>
      <c r="CL69" s="7">
        <v>44870</v>
      </c>
      <c r="CM69" s="7">
        <v>44877</v>
      </c>
      <c r="CN69" s="7">
        <v>44884</v>
      </c>
      <c r="CO69" s="7">
        <v>44891</v>
      </c>
      <c r="CP69" s="7">
        <v>44898</v>
      </c>
      <c r="CQ69" s="7">
        <v>44905</v>
      </c>
      <c r="CR69" s="7">
        <v>44912</v>
      </c>
      <c r="CS69" s="7">
        <v>44919</v>
      </c>
      <c r="CT69" s="7">
        <v>44926</v>
      </c>
      <c r="CU69" s="7">
        <v>44933</v>
      </c>
      <c r="CV69" s="7">
        <v>44940</v>
      </c>
      <c r="CW69" s="7">
        <v>44947</v>
      </c>
      <c r="CX69" s="7">
        <v>44954</v>
      </c>
      <c r="CY69" s="7">
        <v>44961</v>
      </c>
      <c r="CZ69" s="7">
        <v>44968</v>
      </c>
      <c r="DA69" s="7">
        <v>44975</v>
      </c>
      <c r="DB69" s="7">
        <v>44982</v>
      </c>
      <c r="DC69" s="7">
        <v>44989</v>
      </c>
      <c r="DD69" s="7">
        <v>44996</v>
      </c>
      <c r="DE69" s="7">
        <v>45003</v>
      </c>
      <c r="DF69" s="7">
        <v>45010</v>
      </c>
      <c r="DG69" s="7">
        <v>45017</v>
      </c>
      <c r="DH69" s="7">
        <v>45024</v>
      </c>
      <c r="DI69" s="7">
        <v>45031</v>
      </c>
      <c r="DJ69" s="7">
        <v>45038</v>
      </c>
      <c r="DK69" s="7">
        <v>45045</v>
      </c>
      <c r="DL69" s="7">
        <v>45052</v>
      </c>
      <c r="DM69" s="7">
        <v>45059</v>
      </c>
      <c r="DN69" s="7">
        <v>45066</v>
      </c>
      <c r="DO69" s="7">
        <v>45073</v>
      </c>
      <c r="DP69" s="7">
        <v>45080</v>
      </c>
      <c r="DQ69" s="7">
        <v>45087</v>
      </c>
      <c r="DR69" s="7">
        <v>45094</v>
      </c>
      <c r="DS69" s="7">
        <v>45101</v>
      </c>
      <c r="DT69" s="7">
        <v>45108</v>
      </c>
      <c r="DU69" s="7">
        <v>45115</v>
      </c>
      <c r="DV69" s="7">
        <v>45122</v>
      </c>
      <c r="DW69" s="7">
        <v>45129</v>
      </c>
      <c r="DX69" s="7">
        <v>45136</v>
      </c>
      <c r="DY69" s="7">
        <v>45143</v>
      </c>
      <c r="DZ69" s="7">
        <v>45150</v>
      </c>
      <c r="EA69" s="7">
        <v>45157</v>
      </c>
      <c r="EB69" s="7">
        <v>45164</v>
      </c>
      <c r="EC69" s="7">
        <v>45171</v>
      </c>
      <c r="ED69" s="7">
        <v>45178</v>
      </c>
      <c r="EE69" s="7">
        <v>45185</v>
      </c>
      <c r="EF69" s="7">
        <v>45192</v>
      </c>
      <c r="EG69" s="7">
        <v>45199</v>
      </c>
      <c r="EH69" s="7">
        <v>45206</v>
      </c>
      <c r="EI69" s="7">
        <v>45213</v>
      </c>
      <c r="EJ69" s="7">
        <v>45220</v>
      </c>
      <c r="EK69" s="7">
        <v>45227</v>
      </c>
      <c r="EL69" s="7">
        <v>45234</v>
      </c>
      <c r="EM69" s="7">
        <v>45241</v>
      </c>
      <c r="EN69" s="7">
        <v>45248</v>
      </c>
      <c r="EO69" s="7">
        <v>45255</v>
      </c>
      <c r="EP69" s="7">
        <v>45262</v>
      </c>
      <c r="EQ69" s="7">
        <v>45269</v>
      </c>
      <c r="ER69" s="7">
        <v>45276</v>
      </c>
      <c r="ES69" s="7">
        <v>45283</v>
      </c>
      <c r="ET69" s="7">
        <v>45290</v>
      </c>
      <c r="EU69" s="55">
        <v>45297</v>
      </c>
      <c r="EV69" s="55">
        <v>45304</v>
      </c>
      <c r="EW69" s="55">
        <v>45311</v>
      </c>
      <c r="EX69" s="55">
        <v>45318</v>
      </c>
      <c r="EY69" s="55">
        <v>45325</v>
      </c>
      <c r="EZ69" s="55">
        <v>45332</v>
      </c>
      <c r="FA69" s="55">
        <v>45339</v>
      </c>
      <c r="FB69" s="55">
        <v>45346</v>
      </c>
      <c r="FC69" s="55">
        <v>45353</v>
      </c>
      <c r="FD69" s="55">
        <v>45360</v>
      </c>
      <c r="FE69" s="55">
        <v>45367</v>
      </c>
      <c r="FF69" s="55">
        <v>45374</v>
      </c>
      <c r="FG69" s="55">
        <v>45381</v>
      </c>
      <c r="FH69" s="55">
        <v>45388</v>
      </c>
      <c r="FI69" s="55">
        <v>45395</v>
      </c>
      <c r="FJ69" s="55">
        <v>45402</v>
      </c>
      <c r="FK69" s="55">
        <v>45409</v>
      </c>
      <c r="FL69" s="55">
        <v>45416</v>
      </c>
      <c r="FM69" s="55">
        <v>45423</v>
      </c>
      <c r="FN69" s="55">
        <v>45430</v>
      </c>
      <c r="FO69" s="55">
        <v>45437</v>
      </c>
      <c r="FP69" s="55">
        <v>45444</v>
      </c>
      <c r="FQ69" s="55">
        <v>45451</v>
      </c>
      <c r="FR69" s="55">
        <v>45458</v>
      </c>
      <c r="FS69" s="55">
        <v>45465</v>
      </c>
      <c r="FT69" s="55">
        <v>45472</v>
      </c>
      <c r="FU69" s="55">
        <v>45479</v>
      </c>
      <c r="FV69" s="55">
        <v>45486</v>
      </c>
      <c r="FW69" s="55">
        <v>45493</v>
      </c>
      <c r="FX69" s="55">
        <v>45500</v>
      </c>
      <c r="FY69" s="55">
        <v>45507</v>
      </c>
      <c r="FZ69" s="55">
        <v>45514</v>
      </c>
      <c r="GA69" s="55">
        <v>45521</v>
      </c>
      <c r="GB69" s="55">
        <v>45528</v>
      </c>
      <c r="GC69" s="55">
        <v>45535</v>
      </c>
      <c r="GD69" s="55">
        <v>45542</v>
      </c>
      <c r="GE69" s="55">
        <v>45549</v>
      </c>
      <c r="GF69" s="55">
        <v>45556</v>
      </c>
      <c r="GG69" s="55">
        <v>45563</v>
      </c>
      <c r="GH69" s="55">
        <v>45570</v>
      </c>
      <c r="GI69" s="55">
        <v>45577</v>
      </c>
      <c r="GJ69" s="55">
        <v>45584</v>
      </c>
      <c r="GK69" s="55">
        <v>45591</v>
      </c>
      <c r="GL69" s="55">
        <v>45598</v>
      </c>
      <c r="GM69" s="55">
        <v>45605</v>
      </c>
      <c r="GN69" s="55">
        <v>45612</v>
      </c>
      <c r="GO69" s="55">
        <v>45619</v>
      </c>
      <c r="GP69" s="55">
        <v>45626</v>
      </c>
      <c r="GQ69" s="55">
        <v>45633</v>
      </c>
      <c r="GR69" s="55">
        <v>45640</v>
      </c>
      <c r="GS69" s="55">
        <v>45647</v>
      </c>
      <c r="GT69" s="55">
        <v>45654</v>
      </c>
      <c r="GU69" s="78">
        <v>45661</v>
      </c>
      <c r="GV69" s="78">
        <v>45668</v>
      </c>
      <c r="GW69" s="78">
        <v>45675</v>
      </c>
      <c r="GX69" s="78">
        <v>45682</v>
      </c>
      <c r="GY69" s="78">
        <v>45689</v>
      </c>
      <c r="GZ69" s="78">
        <v>45696</v>
      </c>
      <c r="HA69" s="78">
        <v>45703</v>
      </c>
      <c r="HB69" s="78">
        <v>45710</v>
      </c>
      <c r="HC69" s="78">
        <v>45717</v>
      </c>
      <c r="HD69" s="78">
        <v>45724</v>
      </c>
      <c r="HE69" s="78">
        <v>45731</v>
      </c>
      <c r="HF69" s="78">
        <v>45738</v>
      </c>
      <c r="HG69" s="78">
        <v>45745</v>
      </c>
      <c r="HH69" s="78">
        <v>45752</v>
      </c>
      <c r="HI69" s="78">
        <v>45759</v>
      </c>
      <c r="HJ69" s="78">
        <v>45766</v>
      </c>
      <c r="HK69" s="78">
        <v>45773</v>
      </c>
      <c r="HL69" s="78">
        <v>45780</v>
      </c>
      <c r="HM69" s="78">
        <v>45787</v>
      </c>
      <c r="HN69" s="78">
        <v>45794</v>
      </c>
      <c r="HO69" s="78">
        <v>45801</v>
      </c>
      <c r="HP69" s="78">
        <v>45808</v>
      </c>
      <c r="HQ69" s="78">
        <v>45815</v>
      </c>
      <c r="HR69" s="78">
        <v>45822</v>
      </c>
      <c r="HS69" s="78">
        <v>45829</v>
      </c>
      <c r="HT69" s="78">
        <v>45836</v>
      </c>
      <c r="HU69" s="78">
        <v>45843</v>
      </c>
      <c r="HV69" s="78">
        <v>45850</v>
      </c>
      <c r="HW69" s="78">
        <v>45857</v>
      </c>
      <c r="HX69" s="78">
        <v>45864</v>
      </c>
      <c r="HY69" s="78">
        <v>45871</v>
      </c>
      <c r="HZ69" s="78">
        <v>45878</v>
      </c>
      <c r="IA69" s="78">
        <v>45885</v>
      </c>
      <c r="IB69" s="78">
        <v>45892</v>
      </c>
      <c r="IC69" s="78">
        <v>45899</v>
      </c>
      <c r="ID69" s="78">
        <v>45906</v>
      </c>
      <c r="IE69" s="78">
        <v>45913</v>
      </c>
      <c r="IF69" s="78">
        <v>45920</v>
      </c>
      <c r="IG69" s="78">
        <v>45927</v>
      </c>
      <c r="IH69" s="78">
        <v>45934</v>
      </c>
      <c r="II69" s="78">
        <v>45941</v>
      </c>
      <c r="IJ69" s="78">
        <v>45948</v>
      </c>
      <c r="IK69" s="78">
        <v>45955</v>
      </c>
      <c r="IL69" s="78">
        <v>45962</v>
      </c>
      <c r="IM69" s="78">
        <v>45969</v>
      </c>
      <c r="IN69" s="78">
        <v>45976</v>
      </c>
      <c r="IO69" s="78">
        <v>45983</v>
      </c>
      <c r="IP69" s="78">
        <v>45990</v>
      </c>
      <c r="IQ69" s="78">
        <v>45997</v>
      </c>
      <c r="IR69" s="78">
        <v>46004</v>
      </c>
      <c r="IS69" s="78">
        <v>46011</v>
      </c>
      <c r="IT69" s="78">
        <v>46018</v>
      </c>
      <c r="IU69" s="78">
        <v>46025</v>
      </c>
      <c r="IW69" s="8" t="s">
        <v>30</v>
      </c>
      <c r="IX69" s="8" t="s">
        <v>26</v>
      </c>
      <c r="IY69" s="8" t="s">
        <v>214</v>
      </c>
      <c r="IZ69" s="8" t="s">
        <v>27</v>
      </c>
      <c r="JA69" s="8" t="s">
        <v>215</v>
      </c>
    </row>
    <row r="70" spans="2:261">
      <c r="B70" s="2"/>
      <c r="C70" s="2" t="s">
        <v>49</v>
      </c>
      <c r="D70" s="66" t="s">
        <v>47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49"/>
      <c r="CI70" s="48"/>
      <c r="CJ70" s="54"/>
      <c r="CK70" s="48"/>
      <c r="CL70" s="48"/>
      <c r="CM70" s="48"/>
      <c r="CN70" s="48"/>
      <c r="CO70" s="48"/>
      <c r="CP70" s="48"/>
      <c r="CQ70" s="48"/>
      <c r="CR70" s="48"/>
      <c r="CS70" s="54"/>
      <c r="CT70" s="48"/>
      <c r="CU70" s="48"/>
      <c r="CV70" s="48"/>
      <c r="CW70" s="48"/>
      <c r="CX70" s="54"/>
      <c r="CY70" s="48"/>
      <c r="CZ70" s="48"/>
      <c r="DA70" s="48"/>
      <c r="DB70" s="54"/>
      <c r="DC70" s="48"/>
      <c r="DD70" s="48"/>
      <c r="DE70" s="48"/>
      <c r="DF70" s="54"/>
      <c r="DG70" s="48"/>
      <c r="DH70" s="48"/>
      <c r="DI70" s="48"/>
      <c r="DJ70" s="48"/>
      <c r="DK70" s="54"/>
      <c r="DL70" s="48"/>
      <c r="DM70" s="48"/>
      <c r="DN70" s="48"/>
      <c r="DO70" s="48"/>
      <c r="DP70" s="1"/>
      <c r="DQ70" s="52"/>
      <c r="DR70" s="1"/>
      <c r="DS70" s="48"/>
      <c r="DT70" s="48"/>
      <c r="DU70" s="48"/>
      <c r="DV70" s="1"/>
      <c r="DW70" s="1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48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W70" s="1">
        <f>SUM(E70:IU70)</f>
        <v>0</v>
      </c>
      <c r="IX70" s="5">
        <v>37.46</v>
      </c>
      <c r="IY70" s="5">
        <f t="shared" ref="IY70:IY76" si="20">IW70*IX70</f>
        <v>0</v>
      </c>
      <c r="IZ70" s="5">
        <v>49.95</v>
      </c>
      <c r="JA70" s="5">
        <f t="shared" ref="JA70:JA74" si="21">IW70*IZ70</f>
        <v>0</v>
      </c>
    </row>
    <row r="71" spans="2:261">
      <c r="B71" s="2"/>
      <c r="C71" s="2" t="s">
        <v>50</v>
      </c>
      <c r="D71" s="66" t="s">
        <v>48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49"/>
      <c r="CI71" s="48"/>
      <c r="CJ71" s="54"/>
      <c r="CK71" s="48"/>
      <c r="CL71" s="48"/>
      <c r="CM71" s="48"/>
      <c r="CN71" s="48"/>
      <c r="CO71" s="54"/>
      <c r="CP71" s="48"/>
      <c r="CQ71" s="48"/>
      <c r="CR71" s="48"/>
      <c r="CS71" s="54"/>
      <c r="CT71" s="48"/>
      <c r="CU71" s="48"/>
      <c r="CV71" s="48"/>
      <c r="CW71" s="54"/>
      <c r="CX71" s="48"/>
      <c r="CY71" s="48"/>
      <c r="CZ71" s="48"/>
      <c r="DA71" s="54"/>
      <c r="DB71" s="48"/>
      <c r="DC71" s="48"/>
      <c r="DD71" s="48"/>
      <c r="DE71" s="48"/>
      <c r="DF71" s="54"/>
      <c r="DG71" s="48"/>
      <c r="DH71" s="48"/>
      <c r="DI71" s="48"/>
      <c r="DJ71" s="48"/>
      <c r="DK71" s="54"/>
      <c r="DL71" s="48"/>
      <c r="DM71" s="48"/>
      <c r="DN71" s="48"/>
      <c r="DO71" s="54"/>
      <c r="DP71" s="1"/>
      <c r="DQ71" s="1"/>
      <c r="DR71" s="52"/>
      <c r="DS71" s="48"/>
      <c r="DT71" s="48"/>
      <c r="DU71" s="48"/>
      <c r="DV71" s="1"/>
      <c r="DW71" s="52"/>
      <c r="DX71" s="48"/>
      <c r="DY71" s="48"/>
      <c r="DZ71" s="54"/>
      <c r="EA71" s="48"/>
      <c r="EB71" s="48"/>
      <c r="EC71" s="54"/>
      <c r="ED71" s="48"/>
      <c r="EE71" s="48"/>
      <c r="EF71" s="48"/>
      <c r="EG71" s="48"/>
      <c r="EH71" s="48"/>
      <c r="EI71" s="48"/>
      <c r="EJ71" s="48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48"/>
      <c r="FG71" s="48"/>
      <c r="FH71" s="48"/>
      <c r="FI71" s="48"/>
      <c r="FJ71" s="48"/>
      <c r="FK71" s="48"/>
      <c r="FL71" s="48"/>
      <c r="FM71" s="48"/>
      <c r="FN71" s="48"/>
      <c r="FO71" s="48"/>
      <c r="FP71" s="48"/>
      <c r="FQ71" s="48"/>
      <c r="FR71" s="48"/>
      <c r="FS71" s="48"/>
      <c r="FT71" s="48"/>
      <c r="FU71" s="48"/>
      <c r="FV71" s="48"/>
      <c r="FW71" s="48"/>
      <c r="FX71" s="48"/>
      <c r="FY71" s="48"/>
      <c r="FZ71" s="48"/>
      <c r="GA71" s="48"/>
      <c r="GB71" s="48"/>
      <c r="GC71" s="48"/>
      <c r="GD71" s="48"/>
      <c r="GE71" s="48"/>
      <c r="GF71" s="48"/>
      <c r="GG71" s="48"/>
      <c r="GH71" s="69"/>
      <c r="GI71" s="48"/>
      <c r="GJ71" s="48"/>
      <c r="GK71" s="48"/>
      <c r="GL71" s="48"/>
      <c r="GM71" s="48"/>
      <c r="GN71" s="48"/>
      <c r="GO71" s="48"/>
      <c r="GP71" s="48"/>
      <c r="GQ71" s="48"/>
      <c r="GR71" s="48"/>
      <c r="GS71" s="48"/>
      <c r="GT71" s="48"/>
      <c r="GU71" s="48"/>
      <c r="GV71" s="48"/>
      <c r="GW71" s="48"/>
      <c r="GX71" s="48"/>
      <c r="GY71" s="48"/>
      <c r="GZ71" s="48"/>
      <c r="HA71" s="48"/>
      <c r="HB71" s="48"/>
      <c r="HC71" s="48"/>
      <c r="HD71" s="48"/>
      <c r="HE71" s="48"/>
      <c r="HF71" s="48"/>
      <c r="HG71" s="48"/>
      <c r="HH71" s="48"/>
      <c r="HI71" s="48"/>
      <c r="HJ71" s="48"/>
      <c r="HK71" s="48"/>
      <c r="HL71" s="48"/>
      <c r="HM71" s="48"/>
      <c r="HN71" s="48"/>
      <c r="HO71" s="48"/>
      <c r="HP71" s="48"/>
      <c r="HQ71" s="48"/>
      <c r="HR71" s="48"/>
      <c r="HS71" s="48"/>
      <c r="HT71" s="48"/>
      <c r="HU71" s="48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W71" s="1">
        <f t="shared" ref="IW71:IW76" si="22">SUM(E71:IU71)</f>
        <v>0</v>
      </c>
      <c r="IX71" s="5">
        <v>74.959999999999994</v>
      </c>
      <c r="IY71" s="5">
        <f t="shared" si="20"/>
        <v>0</v>
      </c>
      <c r="IZ71" s="5">
        <v>99.95</v>
      </c>
      <c r="JA71" s="5">
        <f t="shared" si="21"/>
        <v>0</v>
      </c>
    </row>
    <row r="72" spans="2:261">
      <c r="B72" s="51">
        <v>6550471</v>
      </c>
      <c r="C72" s="51" t="s">
        <v>139</v>
      </c>
      <c r="D72" s="38" t="s">
        <v>151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48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48"/>
      <c r="EH72" s="48"/>
      <c r="EI72" s="49"/>
      <c r="EJ72" s="1"/>
      <c r="EK72" s="1"/>
      <c r="EL72" s="52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42"/>
      <c r="FB72" s="1"/>
      <c r="FC72" s="52"/>
      <c r="FD72" s="1"/>
      <c r="FE72" s="1"/>
      <c r="FF72" s="1"/>
      <c r="FG72" s="52"/>
      <c r="FH72" s="1"/>
      <c r="FI72" s="1"/>
      <c r="FJ72" s="1"/>
      <c r="FK72" s="1"/>
      <c r="FL72" s="1"/>
      <c r="FM72" s="1"/>
      <c r="FN72" s="52"/>
      <c r="FO72" s="1"/>
      <c r="FP72" s="1"/>
      <c r="FQ72" s="1"/>
      <c r="FR72" s="52"/>
      <c r="FS72" s="1"/>
      <c r="FT72" s="1"/>
      <c r="FU72" s="1"/>
      <c r="FV72" s="1"/>
      <c r="FW72" s="52"/>
      <c r="FX72" s="1"/>
      <c r="FY72" s="1"/>
      <c r="FZ72" s="1"/>
      <c r="GA72" s="1"/>
      <c r="GB72" s="1"/>
      <c r="GC72" s="1"/>
      <c r="GD72" s="56"/>
      <c r="GE72" s="1"/>
      <c r="GF72" s="1"/>
      <c r="GG72" s="1"/>
      <c r="GH72" s="1">
        <v>92</v>
      </c>
      <c r="GI72" s="1">
        <v>68</v>
      </c>
      <c r="GJ72" s="1">
        <v>103</v>
      </c>
      <c r="GK72" s="1">
        <v>50</v>
      </c>
      <c r="GL72" s="1">
        <v>110</v>
      </c>
      <c r="GM72" s="1">
        <v>57</v>
      </c>
      <c r="GN72" s="1">
        <v>120</v>
      </c>
      <c r="GO72" s="1">
        <v>100</v>
      </c>
      <c r="GP72" s="1">
        <v>265</v>
      </c>
      <c r="GQ72" s="1">
        <v>130</v>
      </c>
      <c r="GR72" s="48">
        <v>202</v>
      </c>
      <c r="GS72" s="48">
        <v>344</v>
      </c>
      <c r="GT72" s="48">
        <v>358</v>
      </c>
      <c r="GU72" s="48">
        <v>127</v>
      </c>
      <c r="GV72" s="48">
        <v>46</v>
      </c>
      <c r="GW72" s="48">
        <v>73</v>
      </c>
      <c r="GX72" s="48">
        <v>58</v>
      </c>
      <c r="GY72" s="48">
        <v>88</v>
      </c>
      <c r="GZ72" s="48">
        <v>76</v>
      </c>
      <c r="HA72" s="1">
        <v>69</v>
      </c>
      <c r="HB72" s="1">
        <v>72</v>
      </c>
      <c r="HC72" s="1">
        <v>110</v>
      </c>
      <c r="HD72" s="48">
        <v>65</v>
      </c>
      <c r="HE72" s="48">
        <v>63</v>
      </c>
      <c r="HF72" s="48">
        <v>103</v>
      </c>
      <c r="HG72" s="48">
        <v>52</v>
      </c>
      <c r="HH72" s="48">
        <v>56</v>
      </c>
      <c r="HI72" s="48">
        <v>53</v>
      </c>
      <c r="HJ72" s="48">
        <v>76</v>
      </c>
      <c r="HK72" s="48">
        <v>35</v>
      </c>
      <c r="HL72" s="48">
        <v>33</v>
      </c>
      <c r="HM72" s="48">
        <v>46</v>
      </c>
      <c r="HN72" s="48">
        <v>44</v>
      </c>
      <c r="HO72" s="48">
        <v>98</v>
      </c>
      <c r="HP72" s="48">
        <v>80</v>
      </c>
      <c r="HQ72" s="48">
        <v>45</v>
      </c>
      <c r="HR72" s="48">
        <v>43</v>
      </c>
      <c r="HS72" s="48">
        <v>81</v>
      </c>
      <c r="HT72" s="48">
        <v>61</v>
      </c>
      <c r="HU72" s="48">
        <v>62</v>
      </c>
      <c r="HV72" s="1">
        <v>103</v>
      </c>
      <c r="HW72" s="1">
        <v>71</v>
      </c>
      <c r="HX72" s="1">
        <v>46</v>
      </c>
      <c r="HY72" s="1">
        <v>93</v>
      </c>
      <c r="HZ72" s="1">
        <v>52</v>
      </c>
      <c r="IA72" s="1">
        <v>49</v>
      </c>
      <c r="IB72" s="1">
        <v>45</v>
      </c>
      <c r="IC72" s="1">
        <v>83</v>
      </c>
      <c r="ID72" s="1">
        <v>75</v>
      </c>
      <c r="IE72" s="1">
        <v>38</v>
      </c>
      <c r="IF72" s="1">
        <v>42</v>
      </c>
      <c r="IG72" s="1">
        <v>50</v>
      </c>
      <c r="IH72" s="1">
        <v>37</v>
      </c>
      <c r="II72" s="1">
        <v>41</v>
      </c>
      <c r="IJ72" s="1">
        <v>43</v>
      </c>
      <c r="IK72" s="1">
        <v>31</v>
      </c>
      <c r="IL72" s="1">
        <v>40</v>
      </c>
      <c r="IM72" s="1">
        <v>31</v>
      </c>
      <c r="IN72" s="1">
        <v>38</v>
      </c>
      <c r="IO72" s="1">
        <v>41</v>
      </c>
      <c r="IP72" s="1">
        <v>146</v>
      </c>
      <c r="IQ72" s="1">
        <v>39</v>
      </c>
      <c r="IR72" s="1"/>
      <c r="IS72" s="1"/>
      <c r="IT72" s="1"/>
      <c r="IU72" s="1"/>
      <c r="IW72" s="1">
        <f t="shared" si="22"/>
        <v>5048</v>
      </c>
      <c r="IX72" s="5">
        <v>37.46</v>
      </c>
      <c r="IY72" s="5">
        <f t="shared" si="20"/>
        <v>189098.08000000002</v>
      </c>
      <c r="IZ72" s="5">
        <v>49.95</v>
      </c>
      <c r="JA72" s="5">
        <f t="shared" si="21"/>
        <v>252147.6</v>
      </c>
    </row>
    <row r="73" spans="2:261">
      <c r="B73" s="51">
        <v>6550544</v>
      </c>
      <c r="C73" s="51" t="s">
        <v>146</v>
      </c>
      <c r="D73" s="38" t="s">
        <v>158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48"/>
      <c r="EH73" s="48"/>
      <c r="EI73" s="48"/>
      <c r="EJ73" s="48"/>
      <c r="EK73" s="1"/>
      <c r="EL73" s="1"/>
      <c r="EM73" s="49"/>
      <c r="EN73" s="52"/>
      <c r="EO73" s="1"/>
      <c r="EP73" s="1"/>
      <c r="EQ73" s="1"/>
      <c r="ER73" s="1"/>
      <c r="ES73" s="1"/>
      <c r="ET73" s="1"/>
      <c r="EU73" s="1"/>
      <c r="EV73" s="1"/>
      <c r="EW73" s="1"/>
      <c r="EX73" s="52"/>
      <c r="EY73" s="1"/>
      <c r="EZ73" s="1"/>
      <c r="FA73" s="1"/>
      <c r="FB73" s="52"/>
      <c r="FC73" s="1"/>
      <c r="FD73" s="1"/>
      <c r="FE73" s="52"/>
      <c r="FF73" s="1"/>
      <c r="FG73" s="1"/>
      <c r="FH73" s="1"/>
      <c r="FI73" s="1"/>
      <c r="FJ73" s="52"/>
      <c r="FK73" s="1"/>
      <c r="FL73" s="1"/>
      <c r="FM73" s="1"/>
      <c r="FN73" s="1"/>
      <c r="FO73" s="1"/>
      <c r="FP73" s="1"/>
      <c r="FQ73" s="52"/>
      <c r="FR73" s="48"/>
      <c r="FS73" s="1"/>
      <c r="FT73" s="1"/>
      <c r="FU73" s="48"/>
      <c r="FV73" s="56"/>
      <c r="FW73" s="48"/>
      <c r="FX73" s="48"/>
      <c r="FY73" s="1"/>
      <c r="FZ73" s="1"/>
      <c r="GA73" s="1"/>
      <c r="GB73" s="48"/>
      <c r="GC73" s="48"/>
      <c r="GD73" s="48"/>
      <c r="GE73" s="48"/>
      <c r="GF73" s="48"/>
      <c r="GG73" s="48"/>
      <c r="GH73" s="1">
        <v>86</v>
      </c>
      <c r="GI73" s="1">
        <v>53</v>
      </c>
      <c r="GJ73" s="1">
        <v>53</v>
      </c>
      <c r="GK73" s="1">
        <v>48</v>
      </c>
      <c r="GL73" s="1">
        <v>44</v>
      </c>
      <c r="GM73" s="1">
        <v>127</v>
      </c>
      <c r="GN73" s="1">
        <v>53</v>
      </c>
      <c r="GO73" s="1">
        <v>106</v>
      </c>
      <c r="GP73" s="1">
        <v>284</v>
      </c>
      <c r="GQ73" s="1">
        <v>127</v>
      </c>
      <c r="GR73" s="48">
        <v>159</v>
      </c>
      <c r="GS73" s="48">
        <v>261</v>
      </c>
      <c r="GT73" s="48">
        <v>344</v>
      </c>
      <c r="GU73" s="48">
        <v>128</v>
      </c>
      <c r="GV73" s="48">
        <v>97</v>
      </c>
      <c r="GW73" s="48">
        <v>88</v>
      </c>
      <c r="GX73" s="48">
        <v>53</v>
      </c>
      <c r="GY73" s="48">
        <v>53</v>
      </c>
      <c r="GZ73" s="48">
        <v>52</v>
      </c>
      <c r="HA73" s="1">
        <v>50</v>
      </c>
      <c r="HB73" s="1">
        <v>44</v>
      </c>
      <c r="HC73" s="1">
        <v>51</v>
      </c>
      <c r="HD73" s="48">
        <v>61</v>
      </c>
      <c r="HE73" s="48">
        <v>56</v>
      </c>
      <c r="HF73" s="48">
        <v>46</v>
      </c>
      <c r="HG73" s="48">
        <v>41</v>
      </c>
      <c r="HH73" s="48">
        <v>59</v>
      </c>
      <c r="HI73" s="48">
        <v>124</v>
      </c>
      <c r="HJ73" s="48">
        <v>23</v>
      </c>
      <c r="HK73" s="48">
        <v>35</v>
      </c>
      <c r="HL73" s="48">
        <v>65</v>
      </c>
      <c r="HM73" s="48">
        <v>57</v>
      </c>
      <c r="HN73" s="48">
        <v>42</v>
      </c>
      <c r="HO73" s="48">
        <v>42</v>
      </c>
      <c r="HP73" s="48">
        <v>43</v>
      </c>
      <c r="HQ73" s="48">
        <v>48</v>
      </c>
      <c r="HR73" s="48">
        <v>75</v>
      </c>
      <c r="HS73" s="48">
        <v>59</v>
      </c>
      <c r="HT73" s="48">
        <v>47</v>
      </c>
      <c r="HU73" s="48">
        <v>53</v>
      </c>
      <c r="HV73" s="1">
        <v>31</v>
      </c>
      <c r="HW73" s="1">
        <v>44</v>
      </c>
      <c r="HX73" s="1">
        <v>81</v>
      </c>
      <c r="HY73" s="1">
        <v>43</v>
      </c>
      <c r="HZ73" s="1">
        <v>38</v>
      </c>
      <c r="IA73" s="1">
        <v>58</v>
      </c>
      <c r="IB73" s="1">
        <v>55</v>
      </c>
      <c r="IC73" s="1">
        <v>57</v>
      </c>
      <c r="ID73" s="1">
        <v>103</v>
      </c>
      <c r="IE73" s="1">
        <v>31</v>
      </c>
      <c r="IF73" s="1">
        <v>39</v>
      </c>
      <c r="IG73" s="1">
        <v>44</v>
      </c>
      <c r="IH73" s="1">
        <v>49</v>
      </c>
      <c r="II73" s="1">
        <v>25</v>
      </c>
      <c r="IJ73" s="1">
        <v>27</v>
      </c>
      <c r="IK73" s="1">
        <v>35</v>
      </c>
      <c r="IL73" s="1">
        <v>21</v>
      </c>
      <c r="IM73" s="1">
        <v>25</v>
      </c>
      <c r="IN73" s="1">
        <v>34</v>
      </c>
      <c r="IO73" s="1">
        <v>24</v>
      </c>
      <c r="IP73" s="1">
        <v>46</v>
      </c>
      <c r="IQ73" s="1">
        <v>29</v>
      </c>
      <c r="IR73" s="1"/>
      <c r="IS73" s="1"/>
      <c r="IT73" s="1"/>
      <c r="IU73" s="1"/>
      <c r="IW73" s="1">
        <f t="shared" si="22"/>
        <v>4276</v>
      </c>
      <c r="IX73" s="5">
        <v>67.459999999999994</v>
      </c>
      <c r="IY73" s="5">
        <f t="shared" si="20"/>
        <v>288458.95999999996</v>
      </c>
      <c r="IZ73" s="5">
        <v>89.95</v>
      </c>
      <c r="JA73" s="5">
        <f t="shared" si="21"/>
        <v>384626.2</v>
      </c>
    </row>
    <row r="74" spans="2:261">
      <c r="B74" s="51">
        <v>6552876</v>
      </c>
      <c r="C74" s="51" t="s">
        <v>165</v>
      </c>
      <c r="D74" s="38" t="s">
        <v>210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48"/>
      <c r="EH74" s="48"/>
      <c r="EI74" s="48"/>
      <c r="EJ74" s="48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52"/>
      <c r="FT74" s="1"/>
      <c r="FU74" s="1"/>
      <c r="FV74" s="1"/>
      <c r="FW74" s="1"/>
      <c r="FX74" s="1"/>
      <c r="FY74" s="52"/>
      <c r="FZ74" s="1"/>
      <c r="GA74" s="1"/>
      <c r="GB74" s="1"/>
      <c r="GC74" s="1"/>
      <c r="GD74" s="1"/>
      <c r="GE74" s="1"/>
      <c r="GF74" s="1"/>
      <c r="GG74" s="1"/>
      <c r="GH74" s="52">
        <v>232</v>
      </c>
      <c r="GI74" s="1">
        <v>81</v>
      </c>
      <c r="GJ74" s="1">
        <v>175</v>
      </c>
      <c r="GK74" s="1">
        <v>119</v>
      </c>
      <c r="GL74" s="1">
        <v>253</v>
      </c>
      <c r="GM74" s="1">
        <v>159</v>
      </c>
      <c r="GN74" s="1">
        <v>208</v>
      </c>
      <c r="GO74" s="1">
        <v>244</v>
      </c>
      <c r="GP74" s="1">
        <v>657</v>
      </c>
      <c r="GQ74" s="1">
        <v>376</v>
      </c>
      <c r="GR74" s="48">
        <v>437</v>
      </c>
      <c r="GS74" s="48">
        <v>668</v>
      </c>
      <c r="GT74" s="48">
        <v>527</v>
      </c>
      <c r="GU74" s="48">
        <v>234</v>
      </c>
      <c r="GV74" s="48">
        <v>67</v>
      </c>
      <c r="GW74" s="48">
        <v>90</v>
      </c>
      <c r="GX74" s="48">
        <v>47</v>
      </c>
      <c r="GY74" s="48">
        <v>137</v>
      </c>
      <c r="GZ74" s="48">
        <v>160</v>
      </c>
      <c r="HA74" s="1">
        <v>164</v>
      </c>
      <c r="HB74" s="1">
        <v>143</v>
      </c>
      <c r="HC74" s="1">
        <v>254</v>
      </c>
      <c r="HD74" s="48">
        <v>135</v>
      </c>
      <c r="HE74" s="48">
        <v>321</v>
      </c>
      <c r="HF74" s="48">
        <v>114</v>
      </c>
      <c r="HG74" s="48">
        <v>92</v>
      </c>
      <c r="HH74" s="48">
        <v>116</v>
      </c>
      <c r="HI74" s="48">
        <v>98</v>
      </c>
      <c r="HJ74" s="48">
        <v>152</v>
      </c>
      <c r="HK74" s="48">
        <v>64</v>
      </c>
      <c r="HL74" s="48">
        <v>88</v>
      </c>
      <c r="HM74" s="48">
        <v>80</v>
      </c>
      <c r="HN74" s="48">
        <v>70</v>
      </c>
      <c r="HO74" s="48">
        <v>139</v>
      </c>
      <c r="HP74" s="48">
        <v>94</v>
      </c>
      <c r="HQ74" s="48">
        <v>76</v>
      </c>
      <c r="HR74" s="48">
        <v>100</v>
      </c>
      <c r="HS74" s="48">
        <v>91</v>
      </c>
      <c r="HT74" s="48">
        <v>85</v>
      </c>
      <c r="HU74" s="48">
        <v>121</v>
      </c>
      <c r="HV74" s="1">
        <v>68</v>
      </c>
      <c r="HW74" s="1">
        <v>58</v>
      </c>
      <c r="HX74" s="1">
        <v>73</v>
      </c>
      <c r="HY74" s="1">
        <v>87</v>
      </c>
      <c r="HZ74" s="1">
        <v>62</v>
      </c>
      <c r="IA74" s="1">
        <v>54</v>
      </c>
      <c r="IB74" s="1">
        <v>72</v>
      </c>
      <c r="IC74" s="1">
        <v>112</v>
      </c>
      <c r="ID74" s="1">
        <v>40</v>
      </c>
      <c r="IE74" s="1">
        <v>58</v>
      </c>
      <c r="IF74" s="1">
        <v>72</v>
      </c>
      <c r="IG74" s="1">
        <v>65</v>
      </c>
      <c r="IH74" s="1">
        <v>50</v>
      </c>
      <c r="II74" s="1">
        <v>57</v>
      </c>
      <c r="IJ74" s="1">
        <v>41</v>
      </c>
      <c r="IK74" s="1">
        <v>41</v>
      </c>
      <c r="IL74" s="1">
        <v>54</v>
      </c>
      <c r="IM74" s="1">
        <v>50</v>
      </c>
      <c r="IN74" s="1">
        <v>30</v>
      </c>
      <c r="IO74" s="1">
        <v>50</v>
      </c>
      <c r="IP74" s="1">
        <v>125</v>
      </c>
      <c r="IQ74" s="1">
        <v>77</v>
      </c>
      <c r="IR74" s="1"/>
      <c r="IS74" s="1"/>
      <c r="IT74" s="1"/>
      <c r="IU74" s="1"/>
      <c r="IW74" s="1">
        <f t="shared" si="22"/>
        <v>8864</v>
      </c>
      <c r="IX74" s="5">
        <v>37.46</v>
      </c>
      <c r="IY74" s="5">
        <f t="shared" si="20"/>
        <v>332045.44</v>
      </c>
      <c r="IZ74" s="5">
        <v>49.95</v>
      </c>
      <c r="JA74" s="5">
        <f t="shared" si="21"/>
        <v>442756.80000000005</v>
      </c>
    </row>
    <row r="75" spans="2:261">
      <c r="B75" s="51">
        <v>6550477</v>
      </c>
      <c r="C75" s="51" t="s">
        <v>142</v>
      </c>
      <c r="D75" s="38" t="s">
        <v>209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48"/>
      <c r="EH75" s="48"/>
      <c r="EI75" s="48"/>
      <c r="EJ75" s="48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77">
        <v>58</v>
      </c>
      <c r="GI75" s="77">
        <v>65</v>
      </c>
      <c r="GJ75" s="1">
        <v>57</v>
      </c>
      <c r="GK75" s="1">
        <v>74</v>
      </c>
      <c r="GL75" s="1">
        <v>199</v>
      </c>
      <c r="GM75" s="1">
        <v>39</v>
      </c>
      <c r="GN75" s="1">
        <v>52</v>
      </c>
      <c r="GO75" s="1">
        <v>60</v>
      </c>
      <c r="GP75" s="1">
        <v>205</v>
      </c>
      <c r="GQ75" s="1">
        <v>122</v>
      </c>
      <c r="GR75" s="48">
        <v>119</v>
      </c>
      <c r="GS75" s="48">
        <v>226</v>
      </c>
      <c r="GT75" s="48">
        <v>270</v>
      </c>
      <c r="GU75" s="48">
        <v>93</v>
      </c>
      <c r="GV75" s="48">
        <v>67</v>
      </c>
      <c r="GW75" s="48">
        <v>66</v>
      </c>
      <c r="GX75" s="48">
        <v>75</v>
      </c>
      <c r="GY75" s="48">
        <v>35</v>
      </c>
      <c r="GZ75" s="48">
        <v>45</v>
      </c>
      <c r="HA75" s="1">
        <v>62</v>
      </c>
      <c r="HB75" s="1">
        <v>36</v>
      </c>
      <c r="HC75" s="1">
        <v>43</v>
      </c>
      <c r="HD75" s="48">
        <v>31</v>
      </c>
      <c r="HE75" s="48">
        <v>27</v>
      </c>
      <c r="HF75" s="48">
        <v>39</v>
      </c>
      <c r="HG75" s="48">
        <v>52</v>
      </c>
      <c r="HH75" s="48">
        <v>52</v>
      </c>
      <c r="HI75" s="48">
        <v>55</v>
      </c>
      <c r="HJ75" s="48">
        <v>47</v>
      </c>
      <c r="HK75" s="48">
        <v>42</v>
      </c>
      <c r="HL75" s="48">
        <v>48</v>
      </c>
      <c r="HM75" s="48">
        <v>44</v>
      </c>
      <c r="HN75" s="48">
        <v>38</v>
      </c>
      <c r="HO75" s="48">
        <v>48</v>
      </c>
      <c r="HP75" s="48">
        <v>39</v>
      </c>
      <c r="HQ75" s="48">
        <v>29</v>
      </c>
      <c r="HR75" s="48">
        <v>42</v>
      </c>
      <c r="HS75" s="48">
        <v>25</v>
      </c>
      <c r="HT75" s="48">
        <v>40</v>
      </c>
      <c r="HU75" s="48">
        <v>72</v>
      </c>
      <c r="HV75" s="1">
        <v>37</v>
      </c>
      <c r="HW75" s="1">
        <v>28</v>
      </c>
      <c r="HX75" s="1">
        <v>37</v>
      </c>
      <c r="HY75" s="1">
        <v>31</v>
      </c>
      <c r="HZ75" s="1">
        <v>31</v>
      </c>
      <c r="IA75" s="1">
        <v>59</v>
      </c>
      <c r="IB75" s="1">
        <v>27</v>
      </c>
      <c r="IC75" s="1">
        <v>28</v>
      </c>
      <c r="ID75" s="1">
        <v>35</v>
      </c>
      <c r="IE75" s="1">
        <v>46</v>
      </c>
      <c r="IF75" s="1">
        <v>43</v>
      </c>
      <c r="IG75" s="1">
        <v>38</v>
      </c>
      <c r="IH75" s="1">
        <v>42</v>
      </c>
      <c r="II75" s="1">
        <v>46</v>
      </c>
      <c r="IJ75" s="1">
        <v>29</v>
      </c>
      <c r="IK75" s="1">
        <v>18</v>
      </c>
      <c r="IL75" s="1">
        <v>28</v>
      </c>
      <c r="IM75" s="1">
        <v>25</v>
      </c>
      <c r="IN75" s="1">
        <v>15</v>
      </c>
      <c r="IO75" s="1">
        <v>33</v>
      </c>
      <c r="IP75" s="1">
        <v>44</v>
      </c>
      <c r="IQ75" s="1">
        <v>24</v>
      </c>
      <c r="IR75" s="1"/>
      <c r="IS75" s="1"/>
      <c r="IT75" s="1"/>
      <c r="IU75" s="1"/>
      <c r="IW75" s="1">
        <f t="shared" si="22"/>
        <v>3582</v>
      </c>
      <c r="IX75" s="5">
        <v>14.99</v>
      </c>
      <c r="IY75" s="5">
        <f t="shared" si="20"/>
        <v>53694.18</v>
      </c>
      <c r="IZ75" s="5">
        <v>19.989999999999998</v>
      </c>
      <c r="JA75" s="5">
        <f>IW75*IZ75</f>
        <v>71604.179999999993</v>
      </c>
    </row>
    <row r="76" spans="2:261">
      <c r="B76" s="51">
        <v>6576717</v>
      </c>
      <c r="C76" s="51" t="s">
        <v>193</v>
      </c>
      <c r="D76" s="38" t="s">
        <v>233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48"/>
      <c r="EH76" s="48"/>
      <c r="EI76" s="48"/>
      <c r="EJ76" s="48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48">
        <v>0</v>
      </c>
      <c r="FT76" s="48">
        <v>0</v>
      </c>
      <c r="FU76" s="48">
        <v>0</v>
      </c>
      <c r="FV76" s="48">
        <v>0</v>
      </c>
      <c r="FW76" s="48">
        <v>0</v>
      </c>
      <c r="FX76" s="48">
        <v>0</v>
      </c>
      <c r="FY76" s="48">
        <v>0</v>
      </c>
      <c r="FZ76" s="48">
        <v>0</v>
      </c>
      <c r="GA76" s="48">
        <v>0</v>
      </c>
      <c r="GB76" s="48">
        <v>0</v>
      </c>
      <c r="GC76" s="48">
        <v>0</v>
      </c>
      <c r="GD76" s="48">
        <v>0</v>
      </c>
      <c r="GE76" s="48">
        <v>0</v>
      </c>
      <c r="GF76" s="48">
        <v>0</v>
      </c>
      <c r="GG76" s="48">
        <v>0</v>
      </c>
      <c r="GH76" s="48">
        <v>0</v>
      </c>
      <c r="GI76" s="48">
        <v>0</v>
      </c>
      <c r="GJ76" s="48">
        <v>0</v>
      </c>
      <c r="GK76" s="48">
        <v>0</v>
      </c>
      <c r="GL76" s="48">
        <v>0</v>
      </c>
      <c r="GM76" s="48">
        <v>0</v>
      </c>
      <c r="GN76" s="48">
        <v>0</v>
      </c>
      <c r="GO76" s="48">
        <v>0</v>
      </c>
      <c r="GP76" s="48">
        <v>0</v>
      </c>
      <c r="GQ76" s="48">
        <v>0</v>
      </c>
      <c r="GR76" s="48">
        <v>0</v>
      </c>
      <c r="GS76" s="48">
        <v>0</v>
      </c>
      <c r="GT76" s="48">
        <v>0</v>
      </c>
      <c r="GU76" s="48">
        <v>0</v>
      </c>
      <c r="GV76" s="48">
        <v>0</v>
      </c>
      <c r="GW76" s="48">
        <v>0</v>
      </c>
      <c r="GX76" s="48">
        <v>0</v>
      </c>
      <c r="GY76" s="48">
        <v>0</v>
      </c>
      <c r="GZ76" s="48">
        <v>0</v>
      </c>
      <c r="HA76" s="48">
        <v>0</v>
      </c>
      <c r="HB76" s="48">
        <v>0</v>
      </c>
      <c r="HC76" s="48">
        <v>0</v>
      </c>
      <c r="HD76" s="48">
        <v>0</v>
      </c>
      <c r="HE76" s="48">
        <v>0</v>
      </c>
      <c r="HF76" s="48">
        <v>0</v>
      </c>
      <c r="HG76" s="48">
        <v>0</v>
      </c>
      <c r="HH76" s="48">
        <v>1</v>
      </c>
      <c r="HI76" s="48">
        <v>23</v>
      </c>
      <c r="HJ76" s="48">
        <v>69</v>
      </c>
      <c r="HK76" s="48">
        <v>33</v>
      </c>
      <c r="HL76" s="48">
        <v>43</v>
      </c>
      <c r="HM76" s="48">
        <v>38</v>
      </c>
      <c r="HN76" s="48">
        <v>46</v>
      </c>
      <c r="HO76" s="48">
        <v>75</v>
      </c>
      <c r="HP76" s="48">
        <v>63</v>
      </c>
      <c r="HQ76" s="48">
        <v>41</v>
      </c>
      <c r="HR76" s="48">
        <v>53</v>
      </c>
      <c r="HS76" s="48">
        <v>59</v>
      </c>
      <c r="HT76" s="48">
        <v>33</v>
      </c>
      <c r="HU76" s="48">
        <v>73</v>
      </c>
      <c r="HV76" s="1">
        <v>59</v>
      </c>
      <c r="HW76" s="1">
        <v>52</v>
      </c>
      <c r="HX76" s="1">
        <v>51</v>
      </c>
      <c r="HY76" s="1">
        <v>49</v>
      </c>
      <c r="HZ76" s="1">
        <v>43</v>
      </c>
      <c r="IA76" s="1">
        <v>74</v>
      </c>
      <c r="IB76" s="1">
        <v>81</v>
      </c>
      <c r="IC76" s="1">
        <v>110</v>
      </c>
      <c r="ID76" s="1">
        <v>77</v>
      </c>
      <c r="IE76" s="1">
        <v>46</v>
      </c>
      <c r="IF76" s="1">
        <v>63</v>
      </c>
      <c r="IG76" s="1">
        <v>50</v>
      </c>
      <c r="IH76" s="1">
        <v>56</v>
      </c>
      <c r="II76" s="1">
        <v>40</v>
      </c>
      <c r="IJ76" s="1">
        <v>47</v>
      </c>
      <c r="IK76" s="1">
        <v>49</v>
      </c>
      <c r="IL76" s="1">
        <v>28</v>
      </c>
      <c r="IM76" s="1">
        <v>47</v>
      </c>
      <c r="IN76" s="1">
        <v>26</v>
      </c>
      <c r="IO76" s="1">
        <v>42</v>
      </c>
      <c r="IP76" s="1">
        <v>94</v>
      </c>
      <c r="IQ76" s="1">
        <v>37</v>
      </c>
      <c r="IR76" s="1"/>
      <c r="IS76" s="1"/>
      <c r="IT76" s="1"/>
      <c r="IU76" s="1"/>
      <c r="IW76" s="1">
        <f t="shared" si="22"/>
        <v>1871</v>
      </c>
      <c r="IX76" s="5">
        <v>37.46</v>
      </c>
      <c r="IY76" s="5">
        <f t="shared" si="20"/>
        <v>70087.66</v>
      </c>
      <c r="IZ76" s="5">
        <v>49.95</v>
      </c>
      <c r="JA76" s="5">
        <f>IW76*IZ76</f>
        <v>93456.450000000012</v>
      </c>
    </row>
    <row r="77" spans="2:261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6">
        <f t="shared" ref="CH77:EI77" si="23">SUM(CH70:CH73)</f>
        <v>0</v>
      </c>
      <c r="CI77" s="6">
        <f t="shared" si="23"/>
        <v>0</v>
      </c>
      <c r="CJ77" s="6">
        <f t="shared" si="23"/>
        <v>0</v>
      </c>
      <c r="CK77" s="6">
        <f t="shared" si="23"/>
        <v>0</v>
      </c>
      <c r="CL77" s="6">
        <f t="shared" si="23"/>
        <v>0</v>
      </c>
      <c r="CM77" s="6">
        <f t="shared" si="23"/>
        <v>0</v>
      </c>
      <c r="CN77" s="6">
        <f t="shared" si="23"/>
        <v>0</v>
      </c>
      <c r="CO77" s="6">
        <f t="shared" si="23"/>
        <v>0</v>
      </c>
      <c r="CP77" s="6">
        <f t="shared" si="23"/>
        <v>0</v>
      </c>
      <c r="CQ77" s="6">
        <f t="shared" si="23"/>
        <v>0</v>
      </c>
      <c r="CR77" s="6">
        <f t="shared" si="23"/>
        <v>0</v>
      </c>
      <c r="CS77" s="6">
        <f t="shared" si="23"/>
        <v>0</v>
      </c>
      <c r="CT77" s="6">
        <f t="shared" si="23"/>
        <v>0</v>
      </c>
      <c r="CU77" s="6">
        <f t="shared" si="23"/>
        <v>0</v>
      </c>
      <c r="CV77" s="6">
        <f t="shared" si="23"/>
        <v>0</v>
      </c>
      <c r="CW77" s="6">
        <f t="shared" si="23"/>
        <v>0</v>
      </c>
      <c r="CX77" s="6">
        <f t="shared" si="23"/>
        <v>0</v>
      </c>
      <c r="CY77" s="6">
        <f t="shared" si="23"/>
        <v>0</v>
      </c>
      <c r="CZ77" s="6">
        <f t="shared" si="23"/>
        <v>0</v>
      </c>
      <c r="DA77" s="6">
        <f t="shared" si="23"/>
        <v>0</v>
      </c>
      <c r="DB77" s="6">
        <f t="shared" si="23"/>
        <v>0</v>
      </c>
      <c r="DC77" s="6">
        <f t="shared" si="23"/>
        <v>0</v>
      </c>
      <c r="DD77" s="6">
        <f t="shared" si="23"/>
        <v>0</v>
      </c>
      <c r="DE77" s="6">
        <f t="shared" si="23"/>
        <v>0</v>
      </c>
      <c r="DF77" s="6">
        <f t="shared" si="23"/>
        <v>0</v>
      </c>
      <c r="DG77" s="6">
        <f t="shared" si="23"/>
        <v>0</v>
      </c>
      <c r="DH77" s="6">
        <f t="shared" si="23"/>
        <v>0</v>
      </c>
      <c r="DI77" s="6">
        <f t="shared" si="23"/>
        <v>0</v>
      </c>
      <c r="DJ77" s="6">
        <f t="shared" si="23"/>
        <v>0</v>
      </c>
      <c r="DK77" s="6">
        <f t="shared" si="23"/>
        <v>0</v>
      </c>
      <c r="DL77" s="6">
        <f t="shared" si="23"/>
        <v>0</v>
      </c>
      <c r="DM77" s="6">
        <f t="shared" si="23"/>
        <v>0</v>
      </c>
      <c r="DN77" s="6">
        <f t="shared" si="23"/>
        <v>0</v>
      </c>
      <c r="DO77" s="6">
        <f t="shared" si="23"/>
        <v>0</v>
      </c>
      <c r="DP77" s="6">
        <f t="shared" si="23"/>
        <v>0</v>
      </c>
      <c r="DQ77" s="6">
        <f t="shared" si="23"/>
        <v>0</v>
      </c>
      <c r="DR77" s="6">
        <f t="shared" si="23"/>
        <v>0</v>
      </c>
      <c r="DS77" s="6">
        <f t="shared" si="23"/>
        <v>0</v>
      </c>
      <c r="DT77" s="6">
        <f t="shared" si="23"/>
        <v>0</v>
      </c>
      <c r="DU77" s="6">
        <f t="shared" si="23"/>
        <v>0</v>
      </c>
      <c r="DV77" s="6">
        <f t="shared" si="23"/>
        <v>0</v>
      </c>
      <c r="DW77" s="6">
        <f t="shared" si="23"/>
        <v>0</v>
      </c>
      <c r="DX77" s="6">
        <f t="shared" si="23"/>
        <v>0</v>
      </c>
      <c r="DY77" s="6">
        <f t="shared" si="23"/>
        <v>0</v>
      </c>
      <c r="DZ77" s="6">
        <f t="shared" si="23"/>
        <v>0</v>
      </c>
      <c r="EA77" s="6">
        <f t="shared" si="23"/>
        <v>0</v>
      </c>
      <c r="EB77" s="6">
        <f t="shared" si="23"/>
        <v>0</v>
      </c>
      <c r="EC77" s="6">
        <f t="shared" si="23"/>
        <v>0</v>
      </c>
      <c r="ED77" s="6">
        <f t="shared" si="23"/>
        <v>0</v>
      </c>
      <c r="EE77" s="6">
        <f t="shared" si="23"/>
        <v>0</v>
      </c>
      <c r="EF77" s="6">
        <f t="shared" si="23"/>
        <v>0</v>
      </c>
      <c r="EG77" s="6">
        <f t="shared" si="23"/>
        <v>0</v>
      </c>
      <c r="EH77" s="6">
        <f t="shared" si="23"/>
        <v>0</v>
      </c>
      <c r="EI77" s="6">
        <f t="shared" si="23"/>
        <v>0</v>
      </c>
      <c r="EJ77" s="6">
        <f>SUM(EJ70:EJ73)</f>
        <v>0</v>
      </c>
      <c r="EK77" s="6">
        <f t="shared" ref="EK77:EZ77" si="24">SUM(EK70:EK73)</f>
        <v>0</v>
      </c>
      <c r="EL77" s="6">
        <f t="shared" si="24"/>
        <v>0</v>
      </c>
      <c r="EM77" s="6">
        <f t="shared" si="24"/>
        <v>0</v>
      </c>
      <c r="EN77" s="6">
        <f t="shared" si="24"/>
        <v>0</v>
      </c>
      <c r="EO77" s="6">
        <f t="shared" si="24"/>
        <v>0</v>
      </c>
      <c r="EP77" s="6">
        <f t="shared" si="24"/>
        <v>0</v>
      </c>
      <c r="EQ77" s="6">
        <f t="shared" si="24"/>
        <v>0</v>
      </c>
      <c r="ER77" s="6">
        <f t="shared" si="24"/>
        <v>0</v>
      </c>
      <c r="ES77" s="6">
        <f t="shared" si="24"/>
        <v>0</v>
      </c>
      <c r="ET77" s="6">
        <f t="shared" si="24"/>
        <v>0</v>
      </c>
      <c r="EU77" s="6">
        <f t="shared" si="24"/>
        <v>0</v>
      </c>
      <c r="EV77" s="6">
        <f t="shared" si="24"/>
        <v>0</v>
      </c>
      <c r="EW77" s="6">
        <f t="shared" si="24"/>
        <v>0</v>
      </c>
      <c r="EX77" s="6">
        <f t="shared" si="24"/>
        <v>0</v>
      </c>
      <c r="EY77" s="6">
        <f t="shared" si="24"/>
        <v>0</v>
      </c>
      <c r="EZ77" s="6">
        <f t="shared" si="24"/>
        <v>0</v>
      </c>
      <c r="FA77" s="6">
        <f>SUM(FA70:FA73)</f>
        <v>0</v>
      </c>
      <c r="FB77" s="6">
        <f t="shared" ref="FB77:FO77" si="25">SUM(FB70:FB73)</f>
        <v>0</v>
      </c>
      <c r="FC77" s="6">
        <f t="shared" si="25"/>
        <v>0</v>
      </c>
      <c r="FD77" s="6">
        <f t="shared" si="25"/>
        <v>0</v>
      </c>
      <c r="FE77" s="6">
        <f t="shared" si="25"/>
        <v>0</v>
      </c>
      <c r="FF77" s="6">
        <f t="shared" si="25"/>
        <v>0</v>
      </c>
      <c r="FG77" s="6">
        <f t="shared" si="25"/>
        <v>0</v>
      </c>
      <c r="FH77" s="6">
        <f t="shared" si="25"/>
        <v>0</v>
      </c>
      <c r="FI77" s="6">
        <f t="shared" si="25"/>
        <v>0</v>
      </c>
      <c r="FJ77" s="6">
        <f t="shared" si="25"/>
        <v>0</v>
      </c>
      <c r="FK77" s="6">
        <f t="shared" si="25"/>
        <v>0</v>
      </c>
      <c r="FL77" s="6">
        <f t="shared" si="25"/>
        <v>0</v>
      </c>
      <c r="FM77" s="6">
        <f t="shared" si="25"/>
        <v>0</v>
      </c>
      <c r="FN77" s="6">
        <f t="shared" si="25"/>
        <v>0</v>
      </c>
      <c r="FO77" s="6">
        <f t="shared" si="25"/>
        <v>0</v>
      </c>
      <c r="FP77" s="6">
        <f>SUM(FP70:FP75)</f>
        <v>0</v>
      </c>
      <c r="FQ77" s="6">
        <f t="shared" ref="FQ77:FT77" si="26">SUM(FQ70:FQ75)</f>
        <v>0</v>
      </c>
      <c r="FR77" s="6">
        <f t="shared" si="26"/>
        <v>0</v>
      </c>
      <c r="FS77" s="6">
        <f t="shared" si="26"/>
        <v>0</v>
      </c>
      <c r="FT77" s="6">
        <f t="shared" si="26"/>
        <v>0</v>
      </c>
      <c r="FU77" s="6">
        <f>SUM(FU70:FU75)</f>
        <v>0</v>
      </c>
      <c r="FV77" s="6">
        <f t="shared" ref="FV77:GG77" si="27">SUM(FV70:FV75)</f>
        <v>0</v>
      </c>
      <c r="FW77" s="6">
        <f t="shared" si="27"/>
        <v>0</v>
      </c>
      <c r="FX77" s="6">
        <f t="shared" si="27"/>
        <v>0</v>
      </c>
      <c r="FY77" s="6">
        <f t="shared" si="27"/>
        <v>0</v>
      </c>
      <c r="FZ77" s="6">
        <f t="shared" si="27"/>
        <v>0</v>
      </c>
      <c r="GA77" s="6">
        <f t="shared" si="27"/>
        <v>0</v>
      </c>
      <c r="GB77" s="6">
        <f t="shared" si="27"/>
        <v>0</v>
      </c>
      <c r="GC77" s="6">
        <f t="shared" si="27"/>
        <v>0</v>
      </c>
      <c r="GD77" s="6">
        <f t="shared" si="27"/>
        <v>0</v>
      </c>
      <c r="GE77" s="6">
        <f t="shared" si="27"/>
        <v>0</v>
      </c>
      <c r="GF77" s="6">
        <f t="shared" si="27"/>
        <v>0</v>
      </c>
      <c r="GG77" s="6">
        <f t="shared" si="27"/>
        <v>0</v>
      </c>
      <c r="GH77" s="6">
        <f>SUM(GH70:GH75)</f>
        <v>468</v>
      </c>
      <c r="GI77" s="6">
        <f t="shared" ref="GI77:HD77" si="28">SUM(GI70:GI75)</f>
        <v>267</v>
      </c>
      <c r="GJ77" s="6">
        <f t="shared" si="28"/>
        <v>388</v>
      </c>
      <c r="GK77" s="6">
        <f t="shared" si="28"/>
        <v>291</v>
      </c>
      <c r="GL77" s="6">
        <f t="shared" si="28"/>
        <v>606</v>
      </c>
      <c r="GM77" s="6">
        <f t="shared" si="28"/>
        <v>382</v>
      </c>
      <c r="GN77" s="6">
        <f t="shared" si="28"/>
        <v>433</v>
      </c>
      <c r="GO77" s="6">
        <f t="shared" si="28"/>
        <v>510</v>
      </c>
      <c r="GP77" s="6">
        <f t="shared" si="28"/>
        <v>1411</v>
      </c>
      <c r="GQ77" s="6">
        <f t="shared" si="28"/>
        <v>755</v>
      </c>
      <c r="GR77" s="6">
        <f t="shared" si="28"/>
        <v>917</v>
      </c>
      <c r="GS77" s="6">
        <f t="shared" si="28"/>
        <v>1499</v>
      </c>
      <c r="GT77" s="6">
        <f t="shared" si="28"/>
        <v>1499</v>
      </c>
      <c r="GU77" s="6">
        <f t="shared" si="28"/>
        <v>582</v>
      </c>
      <c r="GV77" s="6">
        <f t="shared" si="28"/>
        <v>277</v>
      </c>
      <c r="GW77" s="6">
        <f t="shared" si="28"/>
        <v>317</v>
      </c>
      <c r="GX77" s="6">
        <f t="shared" si="28"/>
        <v>233</v>
      </c>
      <c r="GY77" s="6">
        <f t="shared" si="28"/>
        <v>313</v>
      </c>
      <c r="GZ77" s="6">
        <f t="shared" si="28"/>
        <v>333</v>
      </c>
      <c r="HA77" s="6">
        <f t="shared" si="28"/>
        <v>345</v>
      </c>
      <c r="HB77" s="6">
        <f t="shared" si="28"/>
        <v>295</v>
      </c>
      <c r="HC77" s="6">
        <f t="shared" si="28"/>
        <v>458</v>
      </c>
      <c r="HD77" s="6">
        <f t="shared" si="28"/>
        <v>292</v>
      </c>
      <c r="HE77" s="6">
        <f>SUM(HE70:HE76)</f>
        <v>467</v>
      </c>
      <c r="HF77" s="6">
        <f t="shared" ref="HF77:IU77" si="29">SUM(HF70:HF76)</f>
        <v>302</v>
      </c>
      <c r="HG77" s="6">
        <f t="shared" si="29"/>
        <v>237</v>
      </c>
      <c r="HH77" s="6">
        <f t="shared" si="29"/>
        <v>284</v>
      </c>
      <c r="HI77" s="6">
        <f t="shared" si="29"/>
        <v>353</v>
      </c>
      <c r="HJ77" s="6">
        <f t="shared" si="29"/>
        <v>367</v>
      </c>
      <c r="HK77" s="6">
        <f t="shared" si="29"/>
        <v>209</v>
      </c>
      <c r="HL77" s="6">
        <f t="shared" si="29"/>
        <v>277</v>
      </c>
      <c r="HM77" s="6">
        <f t="shared" si="29"/>
        <v>265</v>
      </c>
      <c r="HN77" s="6">
        <f t="shared" si="29"/>
        <v>240</v>
      </c>
      <c r="HO77" s="6">
        <f t="shared" si="29"/>
        <v>402</v>
      </c>
      <c r="HP77" s="6">
        <f t="shared" si="29"/>
        <v>319</v>
      </c>
      <c r="HQ77" s="6">
        <f t="shared" si="29"/>
        <v>239</v>
      </c>
      <c r="HR77" s="6">
        <f t="shared" si="29"/>
        <v>313</v>
      </c>
      <c r="HS77" s="6">
        <f t="shared" si="29"/>
        <v>315</v>
      </c>
      <c r="HT77" s="6">
        <f t="shared" si="29"/>
        <v>266</v>
      </c>
      <c r="HU77" s="6">
        <f t="shared" si="29"/>
        <v>381</v>
      </c>
      <c r="HV77" s="6">
        <f t="shared" si="29"/>
        <v>298</v>
      </c>
      <c r="HW77" s="6">
        <f t="shared" si="29"/>
        <v>253</v>
      </c>
      <c r="HX77" s="6">
        <f t="shared" si="29"/>
        <v>288</v>
      </c>
      <c r="HY77" s="6">
        <f t="shared" si="29"/>
        <v>303</v>
      </c>
      <c r="HZ77" s="6">
        <f t="shared" si="29"/>
        <v>226</v>
      </c>
      <c r="IA77" s="6">
        <f t="shared" si="29"/>
        <v>294</v>
      </c>
      <c r="IB77" s="6">
        <f t="shared" si="29"/>
        <v>280</v>
      </c>
      <c r="IC77" s="6">
        <f t="shared" si="29"/>
        <v>390</v>
      </c>
      <c r="ID77" s="6">
        <f t="shared" si="29"/>
        <v>330</v>
      </c>
      <c r="IE77" s="6">
        <f t="shared" si="29"/>
        <v>219</v>
      </c>
      <c r="IF77" s="6">
        <f t="shared" si="29"/>
        <v>259</v>
      </c>
      <c r="IG77" s="6">
        <f t="shared" si="29"/>
        <v>247</v>
      </c>
      <c r="IH77" s="6">
        <f t="shared" si="29"/>
        <v>234</v>
      </c>
      <c r="II77" s="6">
        <f t="shared" si="29"/>
        <v>209</v>
      </c>
      <c r="IJ77" s="6">
        <f t="shared" si="29"/>
        <v>187</v>
      </c>
      <c r="IK77" s="6">
        <f t="shared" si="29"/>
        <v>174</v>
      </c>
      <c r="IL77" s="6">
        <f t="shared" si="29"/>
        <v>171</v>
      </c>
      <c r="IM77" s="6">
        <f t="shared" si="29"/>
        <v>178</v>
      </c>
      <c r="IN77" s="6">
        <f t="shared" si="29"/>
        <v>143</v>
      </c>
      <c r="IO77" s="6">
        <f t="shared" si="29"/>
        <v>190</v>
      </c>
      <c r="IP77" s="6">
        <f t="shared" si="29"/>
        <v>455</v>
      </c>
      <c r="IQ77" s="6">
        <f t="shared" si="29"/>
        <v>206</v>
      </c>
      <c r="IR77" s="6">
        <f t="shared" si="29"/>
        <v>0</v>
      </c>
      <c r="IS77" s="6">
        <f t="shared" si="29"/>
        <v>0</v>
      </c>
      <c r="IT77" s="6">
        <f t="shared" si="29"/>
        <v>0</v>
      </c>
      <c r="IU77" s="6">
        <f t="shared" si="29"/>
        <v>0</v>
      </c>
      <c r="IW77" s="30">
        <f>SUM(IW70:IW76)</f>
        <v>23641</v>
      </c>
      <c r="IY77" s="25">
        <f>SUM(IY70:IY76)</f>
        <v>933384.32000000007</v>
      </c>
      <c r="JA77" s="25">
        <f>SUM(JA70:JA76)</f>
        <v>1244591.23</v>
      </c>
    </row>
    <row r="78" spans="2:261"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  <c r="FK78" s="50"/>
      <c r="FL78" s="50"/>
      <c r="FM78" s="50"/>
      <c r="FN78" s="50"/>
      <c r="FO78" s="50"/>
      <c r="FP78" s="50"/>
      <c r="FQ78" s="50"/>
      <c r="FR78" s="50"/>
      <c r="FS78" s="50"/>
      <c r="FT78" s="50"/>
      <c r="FU78" s="50"/>
      <c r="FV78" s="50"/>
      <c r="FW78" s="50"/>
      <c r="FX78" s="50"/>
      <c r="FY78" s="50"/>
      <c r="FZ78" s="50"/>
      <c r="GA78" s="50"/>
      <c r="GB78" s="50"/>
      <c r="GC78" s="50"/>
      <c r="GD78" s="50"/>
      <c r="GE78" s="50"/>
      <c r="GF78" s="50"/>
      <c r="GG78" s="50"/>
      <c r="GH78" s="50"/>
      <c r="GI78" s="50"/>
      <c r="GJ78" s="50"/>
      <c r="GK78" s="50"/>
      <c r="GL78" s="50"/>
      <c r="GM78" s="50"/>
      <c r="GN78" s="50"/>
      <c r="GO78" s="50"/>
      <c r="GP78" s="50"/>
      <c r="GQ78" s="50"/>
      <c r="GR78" s="50"/>
      <c r="GS78" s="50"/>
      <c r="GT78" s="50"/>
      <c r="GU78" s="50"/>
      <c r="GV78" s="50"/>
      <c r="GW78" s="50"/>
      <c r="GX78" s="50"/>
      <c r="GY78" s="50"/>
      <c r="GZ78" s="50"/>
      <c r="HA78" s="50"/>
      <c r="HB78" s="50"/>
      <c r="HC78" s="50"/>
      <c r="HD78" s="50"/>
      <c r="HE78" s="50"/>
      <c r="HF78" s="50"/>
      <c r="HG78" s="50"/>
      <c r="HH78" s="50"/>
      <c r="HI78" s="50"/>
      <c r="HJ78" s="50"/>
      <c r="HK78" s="50"/>
      <c r="HL78" s="50"/>
      <c r="HM78" s="50"/>
      <c r="HN78" s="50"/>
      <c r="HO78" s="50"/>
      <c r="HP78" s="50"/>
      <c r="HQ78" s="50"/>
      <c r="HR78" s="50"/>
      <c r="HS78" s="50"/>
      <c r="HT78" s="50"/>
      <c r="HU78" s="50"/>
      <c r="HV78" s="50"/>
      <c r="HW78" s="50"/>
      <c r="HX78" s="50"/>
      <c r="HY78" s="50"/>
      <c r="HZ78" s="50"/>
      <c r="IA78" s="50"/>
      <c r="IB78" s="50"/>
      <c r="IC78" s="50"/>
      <c r="ID78" s="50"/>
      <c r="IE78" s="50"/>
      <c r="IF78" s="50"/>
      <c r="IG78" s="50"/>
      <c r="IH78" s="50"/>
      <c r="II78" s="50"/>
      <c r="IJ78" s="50"/>
      <c r="IK78" s="50"/>
      <c r="IL78" s="50"/>
      <c r="IM78" s="50"/>
      <c r="IN78" s="50"/>
      <c r="IO78" s="50"/>
      <c r="IP78" s="50"/>
      <c r="IQ78" s="50"/>
      <c r="IR78" s="50"/>
      <c r="IS78" s="50"/>
      <c r="IT78" s="50"/>
      <c r="IU78" s="50"/>
      <c r="IW78" s="31"/>
      <c r="IY78" s="71"/>
      <c r="JA78" s="71"/>
    </row>
    <row r="79" spans="2:261">
      <c r="B79" s="74" t="s">
        <v>234</v>
      </c>
      <c r="C79" s="74" t="s">
        <v>227</v>
      </c>
      <c r="E79" s="7">
        <v>44275</v>
      </c>
      <c r="F79" s="7">
        <v>44282</v>
      </c>
      <c r="G79" s="7">
        <v>44289</v>
      </c>
      <c r="H79" s="7">
        <v>44296</v>
      </c>
      <c r="I79" s="7">
        <v>44303</v>
      </c>
      <c r="J79" s="7">
        <v>44310</v>
      </c>
      <c r="K79" s="7">
        <v>44317</v>
      </c>
      <c r="L79" s="7">
        <v>44324</v>
      </c>
      <c r="M79" s="7">
        <v>44331</v>
      </c>
      <c r="N79" s="7">
        <v>44338</v>
      </c>
      <c r="O79" s="7">
        <v>44345</v>
      </c>
      <c r="P79" s="7">
        <v>44352</v>
      </c>
      <c r="Q79" s="7">
        <v>44359</v>
      </c>
      <c r="R79" s="7">
        <v>44366</v>
      </c>
      <c r="S79" s="7">
        <v>44373</v>
      </c>
      <c r="T79" s="7">
        <v>44380</v>
      </c>
      <c r="U79" s="7">
        <v>44387</v>
      </c>
      <c r="V79" s="7">
        <v>44394</v>
      </c>
      <c r="W79" s="7">
        <v>44401</v>
      </c>
      <c r="X79" s="7">
        <v>44408</v>
      </c>
      <c r="Y79" s="7">
        <v>44415</v>
      </c>
      <c r="Z79" s="7">
        <v>44422</v>
      </c>
      <c r="AA79" s="7">
        <v>44429</v>
      </c>
      <c r="AB79" s="7">
        <v>44436</v>
      </c>
      <c r="AC79" s="7">
        <v>44443</v>
      </c>
      <c r="AD79" s="7">
        <v>44450</v>
      </c>
      <c r="AE79" s="7">
        <v>44457</v>
      </c>
      <c r="AF79" s="7">
        <v>44464</v>
      </c>
      <c r="AG79" s="7">
        <v>44471</v>
      </c>
      <c r="AH79" s="7">
        <v>44478</v>
      </c>
      <c r="AI79" s="7">
        <v>44485</v>
      </c>
      <c r="AJ79" s="7">
        <v>44492</v>
      </c>
      <c r="AK79" s="7">
        <v>44499</v>
      </c>
      <c r="AL79" s="7">
        <v>44506</v>
      </c>
      <c r="AM79" s="7">
        <v>44513</v>
      </c>
      <c r="AN79" s="7">
        <v>44520</v>
      </c>
      <c r="AO79" s="7">
        <v>44527</v>
      </c>
      <c r="AP79" s="7">
        <v>44534</v>
      </c>
      <c r="AQ79" s="7">
        <v>44541</v>
      </c>
      <c r="AR79" s="7">
        <v>44548</v>
      </c>
      <c r="AS79" s="7">
        <v>44555</v>
      </c>
      <c r="AT79" s="7">
        <v>44562</v>
      </c>
      <c r="AU79" s="7">
        <v>44569</v>
      </c>
      <c r="AV79" s="7">
        <v>44576</v>
      </c>
      <c r="AW79" s="7">
        <v>44583</v>
      </c>
      <c r="AX79" s="7">
        <v>44590</v>
      </c>
      <c r="AY79" s="7">
        <v>44597</v>
      </c>
      <c r="AZ79" s="7">
        <v>44604</v>
      </c>
      <c r="BA79" s="7">
        <v>44611</v>
      </c>
      <c r="BB79" s="7">
        <v>44618</v>
      </c>
      <c r="BC79" s="7">
        <v>44625</v>
      </c>
      <c r="BD79" s="7">
        <v>44632</v>
      </c>
      <c r="BE79" s="7">
        <v>44639</v>
      </c>
      <c r="BF79" s="7">
        <v>44646</v>
      </c>
      <c r="BG79" s="7">
        <v>44653</v>
      </c>
      <c r="BH79" s="7">
        <v>44660</v>
      </c>
      <c r="BI79" s="7">
        <v>44667</v>
      </c>
      <c r="BJ79" s="7">
        <v>44674</v>
      </c>
      <c r="BK79" s="7">
        <v>44681</v>
      </c>
      <c r="BL79" s="7">
        <v>44688</v>
      </c>
      <c r="BM79" s="7">
        <v>44695</v>
      </c>
      <c r="BN79" s="7">
        <v>44702</v>
      </c>
      <c r="BO79" s="7">
        <v>44709</v>
      </c>
      <c r="BP79" s="7">
        <v>44716</v>
      </c>
      <c r="BQ79" s="7">
        <v>44723</v>
      </c>
      <c r="BR79" s="7">
        <v>44730</v>
      </c>
      <c r="BS79" s="7">
        <v>44737</v>
      </c>
      <c r="BT79" s="7">
        <v>44744</v>
      </c>
      <c r="BU79" s="7">
        <v>44751</v>
      </c>
      <c r="BV79" s="7">
        <v>44758</v>
      </c>
      <c r="BW79" s="7">
        <v>44765</v>
      </c>
      <c r="BX79" s="7">
        <v>44772</v>
      </c>
      <c r="BY79" s="7">
        <v>44779</v>
      </c>
      <c r="BZ79" s="7">
        <v>44786</v>
      </c>
      <c r="CA79" s="7">
        <v>44793</v>
      </c>
      <c r="CB79" s="7">
        <v>44800</v>
      </c>
      <c r="CC79" s="7">
        <v>44807</v>
      </c>
      <c r="CD79" s="7">
        <v>44814</v>
      </c>
      <c r="CE79" s="7">
        <v>44821</v>
      </c>
      <c r="CF79" s="7">
        <v>44828</v>
      </c>
      <c r="CG79" s="7">
        <v>44835</v>
      </c>
      <c r="CH79" s="7">
        <v>44842</v>
      </c>
      <c r="CI79" s="7">
        <v>44849</v>
      </c>
      <c r="CJ79" s="7">
        <v>44856</v>
      </c>
      <c r="CK79" s="7">
        <v>44863</v>
      </c>
      <c r="CL79" s="7">
        <v>44870</v>
      </c>
      <c r="CM79" s="7">
        <v>44877</v>
      </c>
      <c r="CN79" s="7">
        <v>44884</v>
      </c>
      <c r="CO79" s="7">
        <v>44891</v>
      </c>
      <c r="CP79" s="7">
        <v>44898</v>
      </c>
      <c r="CQ79" s="7">
        <v>44905</v>
      </c>
      <c r="CR79" s="7">
        <v>44912</v>
      </c>
      <c r="CS79" s="7">
        <v>44919</v>
      </c>
      <c r="CT79" s="7">
        <v>44926</v>
      </c>
      <c r="CU79" s="7">
        <v>44933</v>
      </c>
      <c r="CV79" s="7">
        <v>44940</v>
      </c>
      <c r="CW79" s="7">
        <v>44947</v>
      </c>
      <c r="CX79" s="7">
        <v>44954</v>
      </c>
      <c r="CY79" s="7">
        <v>44961</v>
      </c>
      <c r="CZ79" s="7">
        <v>44968</v>
      </c>
      <c r="DA79" s="7">
        <v>44975</v>
      </c>
      <c r="DB79" s="7">
        <v>44982</v>
      </c>
      <c r="DC79" s="7">
        <v>44989</v>
      </c>
      <c r="DD79" s="7">
        <v>44996</v>
      </c>
      <c r="DE79" s="7">
        <v>45003</v>
      </c>
      <c r="DF79" s="7">
        <v>45010</v>
      </c>
      <c r="DG79" s="7">
        <v>45017</v>
      </c>
      <c r="DH79" s="7">
        <v>45024</v>
      </c>
      <c r="DI79" s="7">
        <v>45031</v>
      </c>
      <c r="DJ79" s="7">
        <v>45038</v>
      </c>
      <c r="DK79" s="7">
        <v>45045</v>
      </c>
      <c r="DL79" s="7">
        <v>45052</v>
      </c>
      <c r="DM79" s="7">
        <v>45059</v>
      </c>
      <c r="DN79" s="7">
        <v>45066</v>
      </c>
      <c r="DO79" s="7">
        <v>45073</v>
      </c>
      <c r="DP79" s="7">
        <v>45080</v>
      </c>
      <c r="DQ79" s="7">
        <v>45087</v>
      </c>
      <c r="DR79" s="7">
        <v>45094</v>
      </c>
      <c r="DS79" s="7">
        <v>45101</v>
      </c>
      <c r="DT79" s="7">
        <v>45108</v>
      </c>
      <c r="DU79" s="7">
        <v>45115</v>
      </c>
      <c r="DV79" s="7">
        <v>45122</v>
      </c>
      <c r="DW79" s="7">
        <v>45129</v>
      </c>
      <c r="DX79" s="7">
        <v>45136</v>
      </c>
      <c r="DY79" s="7">
        <v>45143</v>
      </c>
      <c r="DZ79" s="7">
        <v>45150</v>
      </c>
      <c r="EA79" s="7">
        <v>45157</v>
      </c>
      <c r="EB79" s="7">
        <v>45164</v>
      </c>
      <c r="EC79" s="7">
        <v>45171</v>
      </c>
      <c r="ED79" s="7">
        <v>45178</v>
      </c>
      <c r="EE79" s="7">
        <v>45185</v>
      </c>
      <c r="EF79" s="7">
        <v>45192</v>
      </c>
      <c r="EG79" s="7">
        <v>45199</v>
      </c>
      <c r="EH79" s="7">
        <v>45206</v>
      </c>
      <c r="EI79" s="7">
        <v>45213</v>
      </c>
      <c r="EJ79" s="7">
        <v>45220</v>
      </c>
      <c r="EK79" s="7">
        <v>45227</v>
      </c>
      <c r="EL79" s="7">
        <v>45234</v>
      </c>
      <c r="EM79" s="7">
        <v>45241</v>
      </c>
      <c r="EN79" s="7">
        <v>45248</v>
      </c>
      <c r="EO79" s="7">
        <v>45255</v>
      </c>
      <c r="EP79" s="7">
        <v>45262</v>
      </c>
      <c r="EQ79" s="7">
        <v>45269</v>
      </c>
      <c r="ER79" s="7">
        <v>45276</v>
      </c>
      <c r="ES79" s="7">
        <v>45283</v>
      </c>
      <c r="ET79" s="7">
        <v>45290</v>
      </c>
      <c r="EU79" s="55">
        <v>45297</v>
      </c>
      <c r="EV79" s="55">
        <v>45304</v>
      </c>
      <c r="EW79" s="55">
        <v>45311</v>
      </c>
      <c r="EX79" s="55">
        <v>45318</v>
      </c>
      <c r="EY79" s="55">
        <v>45325</v>
      </c>
      <c r="EZ79" s="55">
        <v>45332</v>
      </c>
      <c r="FA79" s="55">
        <v>45339</v>
      </c>
      <c r="FB79" s="55">
        <v>45346</v>
      </c>
      <c r="FC79" s="55">
        <v>45353</v>
      </c>
      <c r="FD79" s="55">
        <v>45360</v>
      </c>
      <c r="FE79" s="55">
        <v>45367</v>
      </c>
      <c r="FF79" s="55">
        <v>45374</v>
      </c>
      <c r="FG79" s="55">
        <v>45381</v>
      </c>
      <c r="FH79" s="55">
        <v>45388</v>
      </c>
      <c r="FI79" s="55">
        <v>45395</v>
      </c>
      <c r="FJ79" s="55">
        <v>45402</v>
      </c>
      <c r="FK79" s="55">
        <v>45409</v>
      </c>
      <c r="FL79" s="55">
        <v>45416</v>
      </c>
      <c r="FM79" s="55">
        <v>45423</v>
      </c>
      <c r="FN79" s="55">
        <v>45430</v>
      </c>
      <c r="FO79" s="55">
        <v>45437</v>
      </c>
      <c r="FP79" s="55">
        <v>45444</v>
      </c>
      <c r="FQ79" s="55">
        <v>45451</v>
      </c>
      <c r="FR79" s="55">
        <v>45458</v>
      </c>
      <c r="FS79" s="55">
        <v>45465</v>
      </c>
      <c r="FT79" s="55">
        <v>45472</v>
      </c>
      <c r="FU79" s="55">
        <v>45479</v>
      </c>
      <c r="FV79" s="55">
        <v>45486</v>
      </c>
      <c r="FW79" s="55">
        <v>45493</v>
      </c>
      <c r="FX79" s="55">
        <v>45500</v>
      </c>
      <c r="FY79" s="55">
        <v>45507</v>
      </c>
      <c r="FZ79" s="55">
        <v>45514</v>
      </c>
      <c r="GA79" s="55">
        <v>45521</v>
      </c>
      <c r="GB79" s="55">
        <v>45528</v>
      </c>
      <c r="GC79" s="55">
        <v>45535</v>
      </c>
      <c r="GD79" s="55">
        <v>45542</v>
      </c>
      <c r="GE79" s="55">
        <v>45549</v>
      </c>
      <c r="GF79" s="55">
        <v>45556</v>
      </c>
      <c r="GG79" s="55">
        <v>45563</v>
      </c>
      <c r="GH79" s="55">
        <v>45570</v>
      </c>
      <c r="GI79" s="55">
        <v>45577</v>
      </c>
      <c r="GJ79" s="55">
        <v>45584</v>
      </c>
      <c r="GK79" s="55">
        <v>45591</v>
      </c>
      <c r="GL79" s="55">
        <v>45598</v>
      </c>
      <c r="GM79" s="55">
        <v>45605</v>
      </c>
      <c r="GN79" s="55">
        <v>45612</v>
      </c>
      <c r="GO79" s="55">
        <v>45619</v>
      </c>
      <c r="GP79" s="55">
        <v>45626</v>
      </c>
      <c r="GQ79" s="55">
        <v>45633</v>
      </c>
      <c r="GR79" s="55">
        <v>45640</v>
      </c>
      <c r="GS79" s="55">
        <v>45647</v>
      </c>
      <c r="GT79" s="55">
        <v>45654</v>
      </c>
      <c r="GU79" s="78">
        <v>45661</v>
      </c>
      <c r="GV79" s="78">
        <v>45668</v>
      </c>
      <c r="GW79" s="78">
        <v>45675</v>
      </c>
      <c r="GX79" s="78">
        <v>45682</v>
      </c>
      <c r="GY79" s="78">
        <v>45689</v>
      </c>
      <c r="GZ79" s="78">
        <v>45696</v>
      </c>
      <c r="HA79" s="78">
        <v>45703</v>
      </c>
      <c r="HB79" s="78">
        <v>45710</v>
      </c>
      <c r="HC79" s="78">
        <v>45717</v>
      </c>
      <c r="HD79" s="78">
        <v>45724</v>
      </c>
      <c r="HE79" s="78">
        <v>45731</v>
      </c>
      <c r="HF79" s="78">
        <v>45738</v>
      </c>
      <c r="HG79" s="78">
        <v>45745</v>
      </c>
      <c r="HH79" s="78">
        <v>45752</v>
      </c>
      <c r="HI79" s="78">
        <v>45759</v>
      </c>
      <c r="HJ79" s="78">
        <v>45766</v>
      </c>
      <c r="HK79" s="78">
        <v>45773</v>
      </c>
      <c r="HL79" s="78">
        <v>45780</v>
      </c>
      <c r="HM79" s="78">
        <v>45787</v>
      </c>
      <c r="HN79" s="78">
        <v>45794</v>
      </c>
      <c r="HO79" s="78">
        <v>45801</v>
      </c>
      <c r="HP79" s="78">
        <v>45808</v>
      </c>
      <c r="HQ79" s="78">
        <v>45815</v>
      </c>
      <c r="HR79" s="78">
        <v>45822</v>
      </c>
      <c r="HS79" s="78">
        <v>45829</v>
      </c>
      <c r="HT79" s="78">
        <v>45836</v>
      </c>
      <c r="HU79" s="78">
        <v>45843</v>
      </c>
      <c r="HV79" s="78">
        <v>45850</v>
      </c>
      <c r="HW79" s="78">
        <v>45857</v>
      </c>
      <c r="HX79" s="78">
        <v>45864</v>
      </c>
      <c r="HY79" s="78">
        <v>45871</v>
      </c>
      <c r="HZ79" s="78">
        <v>45878</v>
      </c>
      <c r="IA79" s="78">
        <v>45885</v>
      </c>
      <c r="IB79" s="78">
        <v>45892</v>
      </c>
      <c r="IC79" s="78">
        <v>45899</v>
      </c>
      <c r="ID79" s="78">
        <v>45906</v>
      </c>
      <c r="IE79" s="78">
        <v>45913</v>
      </c>
      <c r="IF79" s="78">
        <v>45920</v>
      </c>
      <c r="IG79" s="78">
        <v>45927</v>
      </c>
      <c r="IH79" s="78">
        <v>45934</v>
      </c>
      <c r="II79" s="78">
        <v>45941</v>
      </c>
      <c r="IJ79" s="78">
        <v>45948</v>
      </c>
      <c r="IK79" s="78">
        <v>45955</v>
      </c>
      <c r="IL79" s="78">
        <v>45962</v>
      </c>
      <c r="IM79" s="78">
        <v>45969</v>
      </c>
      <c r="IN79" s="78">
        <v>45976</v>
      </c>
      <c r="IO79" s="78">
        <v>45983</v>
      </c>
      <c r="IP79" s="78">
        <v>45990</v>
      </c>
      <c r="IQ79" s="78">
        <v>45997</v>
      </c>
      <c r="IR79" s="78">
        <v>46004</v>
      </c>
      <c r="IS79" s="78">
        <v>46011</v>
      </c>
      <c r="IT79" s="78">
        <v>46018</v>
      </c>
      <c r="IU79" s="78">
        <v>46025</v>
      </c>
      <c r="IW79" s="8" t="s">
        <v>30</v>
      </c>
      <c r="IX79" s="8" t="s">
        <v>26</v>
      </c>
      <c r="IY79" s="8" t="s">
        <v>214</v>
      </c>
      <c r="IZ79" s="8" t="s">
        <v>27</v>
      </c>
      <c r="JA79" s="8" t="s">
        <v>215</v>
      </c>
    </row>
    <row r="80" spans="2:261">
      <c r="B80" s="2"/>
      <c r="C80" s="2" t="s">
        <v>49</v>
      </c>
      <c r="D80" s="66" t="s">
        <v>47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49"/>
      <c r="CI80" s="48"/>
      <c r="CJ80" s="54"/>
      <c r="CK80" s="48"/>
      <c r="CL80" s="48"/>
      <c r="CM80" s="48"/>
      <c r="CN80" s="48"/>
      <c r="CO80" s="48"/>
      <c r="CP80" s="48"/>
      <c r="CQ80" s="48"/>
      <c r="CR80" s="48"/>
      <c r="CS80" s="54"/>
      <c r="CT80" s="48"/>
      <c r="CU80" s="48"/>
      <c r="CV80" s="48"/>
      <c r="CW80" s="48"/>
      <c r="CX80" s="54"/>
      <c r="CY80" s="48"/>
      <c r="CZ80" s="48"/>
      <c r="DA80" s="48"/>
      <c r="DB80" s="54"/>
      <c r="DC80" s="48"/>
      <c r="DD80" s="48"/>
      <c r="DE80" s="48"/>
      <c r="DF80" s="54"/>
      <c r="DG80" s="48"/>
      <c r="DH80" s="48"/>
      <c r="DI80" s="48"/>
      <c r="DJ80" s="48"/>
      <c r="DK80" s="54"/>
      <c r="DL80" s="48"/>
      <c r="DM80" s="48"/>
      <c r="DN80" s="48"/>
      <c r="DO80" s="48"/>
      <c r="DP80" s="1"/>
      <c r="DQ80" s="52"/>
      <c r="DR80" s="1"/>
      <c r="DS80" s="48"/>
      <c r="DT80" s="48"/>
      <c r="DU80" s="48"/>
      <c r="DV80" s="1"/>
      <c r="DW80" s="1"/>
      <c r="DX80" s="48"/>
      <c r="DY80" s="48"/>
      <c r="DZ80" s="48"/>
      <c r="EA80" s="48"/>
      <c r="EB80" s="48"/>
      <c r="EC80" s="48"/>
      <c r="ED80" s="48"/>
      <c r="EE80" s="48"/>
      <c r="EF80" s="48"/>
      <c r="EG80" s="48"/>
      <c r="EH80" s="48"/>
      <c r="EI80" s="48"/>
      <c r="EJ80" s="48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48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W80" s="1">
        <f>SUM(E80:IU80)</f>
        <v>0</v>
      </c>
      <c r="IX80" s="5">
        <v>37.46</v>
      </c>
      <c r="IY80" s="5">
        <f t="shared" ref="IY80:IY86" si="30">IW80*IX80</f>
        <v>0</v>
      </c>
      <c r="IZ80" s="5">
        <v>49.95</v>
      </c>
      <c r="JA80" s="5">
        <f t="shared" ref="JA80:JA84" si="31">IW80*IZ80</f>
        <v>0</v>
      </c>
    </row>
    <row r="81" spans="2:261">
      <c r="B81" s="2"/>
      <c r="C81" s="2" t="s">
        <v>50</v>
      </c>
      <c r="D81" s="66" t="s">
        <v>48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49"/>
      <c r="CI81" s="48"/>
      <c r="CJ81" s="54"/>
      <c r="CK81" s="48"/>
      <c r="CL81" s="48"/>
      <c r="CM81" s="48"/>
      <c r="CN81" s="48"/>
      <c r="CO81" s="54"/>
      <c r="CP81" s="48"/>
      <c r="CQ81" s="48"/>
      <c r="CR81" s="48"/>
      <c r="CS81" s="54"/>
      <c r="CT81" s="48"/>
      <c r="CU81" s="48"/>
      <c r="CV81" s="48"/>
      <c r="CW81" s="54"/>
      <c r="CX81" s="48"/>
      <c r="CY81" s="48"/>
      <c r="CZ81" s="48"/>
      <c r="DA81" s="54"/>
      <c r="DB81" s="48"/>
      <c r="DC81" s="48"/>
      <c r="DD81" s="48"/>
      <c r="DE81" s="48"/>
      <c r="DF81" s="54"/>
      <c r="DG81" s="48"/>
      <c r="DH81" s="48"/>
      <c r="DI81" s="48"/>
      <c r="DJ81" s="48"/>
      <c r="DK81" s="54"/>
      <c r="DL81" s="48"/>
      <c r="DM81" s="48"/>
      <c r="DN81" s="48"/>
      <c r="DO81" s="54"/>
      <c r="DP81" s="1"/>
      <c r="DQ81" s="1"/>
      <c r="DR81" s="52"/>
      <c r="DS81" s="48"/>
      <c r="DT81" s="48"/>
      <c r="DU81" s="48"/>
      <c r="DV81" s="1"/>
      <c r="DW81" s="52"/>
      <c r="DX81" s="48"/>
      <c r="DY81" s="48"/>
      <c r="DZ81" s="54"/>
      <c r="EA81" s="48"/>
      <c r="EB81" s="48"/>
      <c r="EC81" s="54"/>
      <c r="ED81" s="48"/>
      <c r="EE81" s="48"/>
      <c r="EF81" s="48"/>
      <c r="EG81" s="48"/>
      <c r="EH81" s="48"/>
      <c r="EI81" s="48"/>
      <c r="EJ81" s="48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48"/>
      <c r="FG81" s="48"/>
      <c r="FH81" s="48"/>
      <c r="FI81" s="48"/>
      <c r="FJ81" s="48"/>
      <c r="FK81" s="48"/>
      <c r="FL81" s="48"/>
      <c r="FM81" s="48"/>
      <c r="FN81" s="48"/>
      <c r="FO81" s="48"/>
      <c r="FP81" s="48"/>
      <c r="FQ81" s="48"/>
      <c r="FR81" s="48"/>
      <c r="FS81" s="48"/>
      <c r="FT81" s="48"/>
      <c r="FU81" s="48"/>
      <c r="FV81" s="48"/>
      <c r="FW81" s="48"/>
      <c r="FX81" s="48"/>
      <c r="FY81" s="48"/>
      <c r="FZ81" s="48"/>
      <c r="GA81" s="48"/>
      <c r="GB81" s="48"/>
      <c r="GC81" s="48"/>
      <c r="GD81" s="48"/>
      <c r="GE81" s="48"/>
      <c r="GF81" s="48"/>
      <c r="GG81" s="48"/>
      <c r="GH81" s="69"/>
      <c r="GI81" s="48"/>
      <c r="GJ81" s="48"/>
      <c r="GK81" s="48"/>
      <c r="GL81" s="48"/>
      <c r="GM81" s="48"/>
      <c r="GN81" s="48"/>
      <c r="GO81" s="48"/>
      <c r="GP81" s="48"/>
      <c r="GQ81" s="48"/>
      <c r="GR81" s="48"/>
      <c r="GS81" s="48"/>
      <c r="GT81" s="48"/>
      <c r="GU81" s="48"/>
      <c r="GV81" s="48"/>
      <c r="GW81" s="48"/>
      <c r="GX81" s="48"/>
      <c r="GY81" s="48"/>
      <c r="GZ81" s="48"/>
      <c r="HA81" s="48"/>
      <c r="HB81" s="48"/>
      <c r="HC81" s="48"/>
      <c r="HD81" s="48"/>
      <c r="HE81" s="48"/>
      <c r="HF81" s="48"/>
      <c r="HG81" s="48"/>
      <c r="HH81" s="48"/>
      <c r="HI81" s="48"/>
      <c r="HJ81" s="48"/>
      <c r="HK81" s="48"/>
      <c r="HL81" s="48"/>
      <c r="HM81" s="48"/>
      <c r="HN81" s="48"/>
      <c r="HO81" s="48"/>
      <c r="HP81" s="48"/>
      <c r="HQ81" s="48"/>
      <c r="HR81" s="48"/>
      <c r="HS81" s="48"/>
      <c r="HT81" s="48"/>
      <c r="HU81" s="48"/>
      <c r="HV81" s="48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W81" s="1">
        <f t="shared" ref="IW81:IW86" si="32">SUM(E81:IU81)</f>
        <v>0</v>
      </c>
      <c r="IX81" s="5">
        <v>74.959999999999994</v>
      </c>
      <c r="IY81" s="5">
        <f t="shared" si="30"/>
        <v>0</v>
      </c>
      <c r="IZ81" s="5">
        <v>99.95</v>
      </c>
      <c r="JA81" s="5">
        <f t="shared" si="31"/>
        <v>0</v>
      </c>
    </row>
    <row r="82" spans="2:261">
      <c r="B82" s="51">
        <v>6550471</v>
      </c>
      <c r="C82" s="51" t="s">
        <v>139</v>
      </c>
      <c r="D82" s="38" t="s">
        <v>151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48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48"/>
      <c r="EH82" s="48"/>
      <c r="EI82" s="49"/>
      <c r="EJ82" s="1"/>
      <c r="EK82" s="1"/>
      <c r="EL82" s="52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42"/>
      <c r="FB82" s="1"/>
      <c r="FC82" s="52"/>
      <c r="FD82" s="1"/>
      <c r="FE82" s="1"/>
      <c r="FF82" s="1"/>
      <c r="FG82" s="52"/>
      <c r="FH82" s="1"/>
      <c r="FI82" s="1"/>
      <c r="FJ82" s="1"/>
      <c r="FK82" s="1"/>
      <c r="FL82" s="1"/>
      <c r="FM82" s="1"/>
      <c r="FN82" s="52"/>
      <c r="FO82" s="1"/>
      <c r="FP82" s="1"/>
      <c r="FQ82" s="1"/>
      <c r="FR82" s="52"/>
      <c r="FS82" s="1"/>
      <c r="FT82" s="1"/>
      <c r="FU82" s="1"/>
      <c r="FV82" s="1"/>
      <c r="FW82" s="52"/>
      <c r="FX82" s="1"/>
      <c r="FY82" s="1"/>
      <c r="FZ82" s="1"/>
      <c r="GA82" s="1"/>
      <c r="GB82" s="1"/>
      <c r="GC82" s="1"/>
      <c r="GD82" s="56"/>
      <c r="GE82" s="1"/>
      <c r="GF82" s="1"/>
      <c r="GG82" s="1"/>
      <c r="GH82" s="1">
        <v>58</v>
      </c>
      <c r="GI82" s="1">
        <v>51</v>
      </c>
      <c r="GJ82" s="1">
        <v>94</v>
      </c>
      <c r="GK82" s="1">
        <v>60</v>
      </c>
      <c r="GL82" s="1">
        <v>74</v>
      </c>
      <c r="GM82" s="1">
        <v>43</v>
      </c>
      <c r="GN82" s="1">
        <v>77</v>
      </c>
      <c r="GO82" s="1">
        <v>113</v>
      </c>
      <c r="GP82" s="1">
        <v>264</v>
      </c>
      <c r="GQ82" s="1">
        <v>263</v>
      </c>
      <c r="GR82" s="48">
        <v>301</v>
      </c>
      <c r="GS82" s="48">
        <v>319</v>
      </c>
      <c r="GT82" s="48">
        <v>233</v>
      </c>
      <c r="GU82" s="48">
        <v>142</v>
      </c>
      <c r="GV82" s="48">
        <v>51</v>
      </c>
      <c r="GW82" s="48">
        <v>68</v>
      </c>
      <c r="GX82" s="48">
        <v>91</v>
      </c>
      <c r="GY82" s="48">
        <v>69</v>
      </c>
      <c r="GZ82" s="48">
        <v>50</v>
      </c>
      <c r="HA82" s="1">
        <v>45</v>
      </c>
      <c r="HB82" s="1">
        <v>58</v>
      </c>
      <c r="HC82" s="1">
        <v>155</v>
      </c>
      <c r="HD82" s="48">
        <v>73</v>
      </c>
      <c r="HE82" s="48">
        <v>46</v>
      </c>
      <c r="HF82" s="48">
        <v>70</v>
      </c>
      <c r="HG82" s="48">
        <v>73</v>
      </c>
      <c r="HH82" s="48">
        <v>58</v>
      </c>
      <c r="HI82" s="48">
        <v>439</v>
      </c>
      <c r="HJ82" s="48">
        <v>91</v>
      </c>
      <c r="HK82" s="48">
        <v>67</v>
      </c>
      <c r="HL82" s="48">
        <v>40</v>
      </c>
      <c r="HM82" s="48">
        <v>31</v>
      </c>
      <c r="HN82" s="48">
        <v>20</v>
      </c>
      <c r="HO82" s="48">
        <v>56</v>
      </c>
      <c r="HP82" s="48">
        <v>266</v>
      </c>
      <c r="HQ82" s="48">
        <v>49</v>
      </c>
      <c r="HR82" s="48">
        <v>38</v>
      </c>
      <c r="HS82" s="48">
        <v>47</v>
      </c>
      <c r="HT82" s="48">
        <v>77</v>
      </c>
      <c r="HU82" s="48">
        <v>60</v>
      </c>
      <c r="HV82" s="48">
        <v>409</v>
      </c>
      <c r="HW82" s="1">
        <v>71</v>
      </c>
      <c r="HX82" s="1">
        <v>38</v>
      </c>
      <c r="HY82" s="1">
        <v>88</v>
      </c>
      <c r="HZ82" s="1">
        <v>53</v>
      </c>
      <c r="IA82" s="1">
        <v>67</v>
      </c>
      <c r="IB82" s="1">
        <v>54</v>
      </c>
      <c r="IC82" s="1">
        <v>73</v>
      </c>
      <c r="ID82" s="1">
        <v>61</v>
      </c>
      <c r="IE82" s="1">
        <v>46</v>
      </c>
      <c r="IF82" s="1">
        <v>49</v>
      </c>
      <c r="IG82" s="1">
        <v>60</v>
      </c>
      <c r="IH82" s="1">
        <v>32</v>
      </c>
      <c r="II82" s="1">
        <v>27</v>
      </c>
      <c r="IJ82" s="1">
        <v>31</v>
      </c>
      <c r="IK82" s="1">
        <v>25</v>
      </c>
      <c r="IL82" s="1">
        <v>52</v>
      </c>
      <c r="IM82" s="1">
        <v>56</v>
      </c>
      <c r="IN82" s="1">
        <v>36</v>
      </c>
      <c r="IO82" s="1">
        <v>60</v>
      </c>
      <c r="IP82" s="1">
        <v>127</v>
      </c>
      <c r="IQ82" s="1">
        <v>124</v>
      </c>
      <c r="IR82" s="1"/>
      <c r="IS82" s="1"/>
      <c r="IT82" s="1"/>
      <c r="IU82" s="1"/>
      <c r="IW82" s="1">
        <f t="shared" si="32"/>
        <v>5919</v>
      </c>
      <c r="IX82" s="5">
        <v>37.46</v>
      </c>
      <c r="IY82" s="5">
        <f t="shared" si="30"/>
        <v>221725.74</v>
      </c>
      <c r="IZ82" s="5">
        <v>49.95</v>
      </c>
      <c r="JA82" s="5">
        <f t="shared" si="31"/>
        <v>295654.05</v>
      </c>
    </row>
    <row r="83" spans="2:261">
      <c r="B83" s="51">
        <v>6550544</v>
      </c>
      <c r="C83" s="51" t="s">
        <v>146</v>
      </c>
      <c r="D83" s="38" t="s">
        <v>158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48"/>
      <c r="EH83" s="48"/>
      <c r="EI83" s="48"/>
      <c r="EJ83" s="48"/>
      <c r="EK83" s="1"/>
      <c r="EL83" s="1"/>
      <c r="EM83" s="49"/>
      <c r="EN83" s="52"/>
      <c r="EO83" s="1"/>
      <c r="EP83" s="1"/>
      <c r="EQ83" s="1"/>
      <c r="ER83" s="1"/>
      <c r="ES83" s="1"/>
      <c r="ET83" s="1"/>
      <c r="EU83" s="1"/>
      <c r="EV83" s="1"/>
      <c r="EW83" s="1"/>
      <c r="EX83" s="52"/>
      <c r="EY83" s="1"/>
      <c r="EZ83" s="1"/>
      <c r="FA83" s="1"/>
      <c r="FB83" s="52"/>
      <c r="FC83" s="1"/>
      <c r="FD83" s="1"/>
      <c r="FE83" s="52"/>
      <c r="FF83" s="1"/>
      <c r="FG83" s="1"/>
      <c r="FH83" s="1"/>
      <c r="FI83" s="1"/>
      <c r="FJ83" s="52"/>
      <c r="FK83" s="1"/>
      <c r="FL83" s="1"/>
      <c r="FM83" s="1"/>
      <c r="FN83" s="1"/>
      <c r="FO83" s="1"/>
      <c r="FP83" s="1"/>
      <c r="FQ83" s="52"/>
      <c r="FR83" s="48"/>
      <c r="FS83" s="1"/>
      <c r="FT83" s="1"/>
      <c r="FU83" s="48"/>
      <c r="FV83" s="56"/>
      <c r="FW83" s="48"/>
      <c r="FX83" s="48"/>
      <c r="FY83" s="1"/>
      <c r="FZ83" s="1"/>
      <c r="GA83" s="1"/>
      <c r="GB83" s="48"/>
      <c r="GC83" s="48"/>
      <c r="GD83" s="48"/>
      <c r="GE83" s="48"/>
      <c r="GF83" s="48"/>
      <c r="GG83" s="48"/>
      <c r="GH83" s="1">
        <v>26</v>
      </c>
      <c r="GI83" s="1">
        <v>45</v>
      </c>
      <c r="GJ83" s="1">
        <v>25</v>
      </c>
      <c r="GK83" s="1">
        <v>24</v>
      </c>
      <c r="GL83" s="1">
        <v>63</v>
      </c>
      <c r="GM83" s="1">
        <v>50</v>
      </c>
      <c r="GN83" s="1">
        <v>23</v>
      </c>
      <c r="GO83" s="1">
        <v>84</v>
      </c>
      <c r="GP83" s="1">
        <v>258</v>
      </c>
      <c r="GQ83" s="1">
        <v>181</v>
      </c>
      <c r="GR83" s="48">
        <v>134</v>
      </c>
      <c r="GS83" s="48">
        <v>207</v>
      </c>
      <c r="GT83" s="48">
        <v>163</v>
      </c>
      <c r="GU83" s="48">
        <v>96</v>
      </c>
      <c r="GV83" s="48">
        <v>65</v>
      </c>
      <c r="GW83" s="48">
        <v>46</v>
      </c>
      <c r="GX83" s="48">
        <v>57</v>
      </c>
      <c r="GY83" s="48">
        <v>23</v>
      </c>
      <c r="GZ83" s="48">
        <v>19</v>
      </c>
      <c r="HA83" s="1">
        <v>22</v>
      </c>
      <c r="HB83" s="1">
        <v>24</v>
      </c>
      <c r="HC83" s="1">
        <v>23</v>
      </c>
      <c r="HD83" s="48">
        <v>35</v>
      </c>
      <c r="HE83" s="48">
        <v>26</v>
      </c>
      <c r="HF83" s="48">
        <v>24</v>
      </c>
      <c r="HG83" s="48">
        <v>13</v>
      </c>
      <c r="HH83" s="48">
        <v>33</v>
      </c>
      <c r="HI83" s="48">
        <v>79</v>
      </c>
      <c r="HJ83" s="48">
        <v>44</v>
      </c>
      <c r="HK83" s="48">
        <v>17</v>
      </c>
      <c r="HL83" s="48">
        <v>34</v>
      </c>
      <c r="HM83" s="48">
        <v>48</v>
      </c>
      <c r="HN83" s="48">
        <v>30</v>
      </c>
      <c r="HO83" s="48">
        <v>15</v>
      </c>
      <c r="HP83" s="48">
        <v>17</v>
      </c>
      <c r="HQ83" s="48">
        <v>17</v>
      </c>
      <c r="HR83" s="48">
        <v>36</v>
      </c>
      <c r="HS83" s="48">
        <v>15</v>
      </c>
      <c r="HT83" s="48">
        <v>27</v>
      </c>
      <c r="HU83" s="48">
        <v>35</v>
      </c>
      <c r="HV83" s="48">
        <v>23</v>
      </c>
      <c r="HW83" s="1">
        <v>11</v>
      </c>
      <c r="HX83" s="1">
        <v>22</v>
      </c>
      <c r="HY83" s="1">
        <v>21</v>
      </c>
      <c r="HZ83" s="1">
        <v>18</v>
      </c>
      <c r="IA83" s="1">
        <v>32</v>
      </c>
      <c r="IB83" s="1">
        <v>35</v>
      </c>
      <c r="IC83" s="1">
        <v>18</v>
      </c>
      <c r="ID83" s="1">
        <v>86</v>
      </c>
      <c r="IE83" s="1">
        <v>61</v>
      </c>
      <c r="IF83" s="1">
        <v>20</v>
      </c>
      <c r="IG83" s="1">
        <v>20</v>
      </c>
      <c r="IH83" s="1">
        <v>22</v>
      </c>
      <c r="II83" s="1">
        <v>17</v>
      </c>
      <c r="IJ83" s="1">
        <v>13</v>
      </c>
      <c r="IK83" s="1">
        <v>21</v>
      </c>
      <c r="IL83" s="1">
        <v>19</v>
      </c>
      <c r="IM83" s="1">
        <v>14</v>
      </c>
      <c r="IN83" s="1">
        <v>24</v>
      </c>
      <c r="IO83" s="1">
        <v>26</v>
      </c>
      <c r="IP83" s="1">
        <v>48</v>
      </c>
      <c r="IQ83" s="1">
        <v>73</v>
      </c>
      <c r="IR83" s="1"/>
      <c r="IS83" s="1"/>
      <c r="IT83" s="1"/>
      <c r="IU83" s="1"/>
      <c r="IW83" s="1">
        <f t="shared" si="32"/>
        <v>2847</v>
      </c>
      <c r="IX83" s="5">
        <v>67.459999999999994</v>
      </c>
      <c r="IY83" s="5">
        <f t="shared" si="30"/>
        <v>192058.62</v>
      </c>
      <c r="IZ83" s="5">
        <v>89.95</v>
      </c>
      <c r="JA83" s="5">
        <f t="shared" si="31"/>
        <v>256087.65</v>
      </c>
    </row>
    <row r="84" spans="2:261">
      <c r="B84" s="51">
        <v>6552876</v>
      </c>
      <c r="C84" s="51" t="s">
        <v>165</v>
      </c>
      <c r="D84" s="38" t="s">
        <v>210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48"/>
      <c r="EH84" s="48"/>
      <c r="EI84" s="48"/>
      <c r="EJ84" s="48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52"/>
      <c r="FT84" s="1"/>
      <c r="FU84" s="1"/>
      <c r="FV84" s="1"/>
      <c r="FW84" s="1"/>
      <c r="FX84" s="1"/>
      <c r="FY84" s="52"/>
      <c r="FZ84" s="1"/>
      <c r="GA84" s="1"/>
      <c r="GB84" s="1"/>
      <c r="GC84" s="1"/>
      <c r="GD84" s="1"/>
      <c r="GE84" s="1"/>
      <c r="GF84" s="1"/>
      <c r="GG84" s="1"/>
      <c r="GH84" s="52">
        <v>529</v>
      </c>
      <c r="GI84" s="1">
        <v>96</v>
      </c>
      <c r="GJ84" s="1">
        <v>172</v>
      </c>
      <c r="GK84" s="1">
        <v>124</v>
      </c>
      <c r="GL84" s="1">
        <v>133</v>
      </c>
      <c r="GM84" s="1">
        <v>95</v>
      </c>
      <c r="GN84" s="1">
        <v>163</v>
      </c>
      <c r="GO84" s="1">
        <v>193</v>
      </c>
      <c r="GP84" s="1">
        <v>550</v>
      </c>
      <c r="GQ84" s="1">
        <v>563</v>
      </c>
      <c r="GR84" s="48">
        <v>450</v>
      </c>
      <c r="GS84" s="48">
        <v>677</v>
      </c>
      <c r="GT84" s="48">
        <v>494</v>
      </c>
      <c r="GU84" s="48">
        <v>342</v>
      </c>
      <c r="GV84" s="48">
        <v>138</v>
      </c>
      <c r="GW84" s="48">
        <v>158</v>
      </c>
      <c r="GX84" s="48">
        <v>143</v>
      </c>
      <c r="GY84" s="48">
        <v>121</v>
      </c>
      <c r="GZ84" s="48">
        <v>102</v>
      </c>
      <c r="HA84" s="1">
        <v>82</v>
      </c>
      <c r="HB84" s="1">
        <v>73</v>
      </c>
      <c r="HC84" s="1">
        <v>139</v>
      </c>
      <c r="HD84" s="48">
        <v>96</v>
      </c>
      <c r="HE84" s="48">
        <v>238</v>
      </c>
      <c r="HF84" s="48">
        <v>245</v>
      </c>
      <c r="HG84" s="48">
        <v>108</v>
      </c>
      <c r="HH84" s="48">
        <v>57</v>
      </c>
      <c r="HI84" s="48">
        <v>60</v>
      </c>
      <c r="HJ84" s="48">
        <v>84</v>
      </c>
      <c r="HK84" s="48">
        <v>62</v>
      </c>
      <c r="HL84" s="48">
        <v>50</v>
      </c>
      <c r="HM84" s="48">
        <v>46</v>
      </c>
      <c r="HN84" s="48">
        <v>45</v>
      </c>
      <c r="HO84" s="48">
        <v>74</v>
      </c>
      <c r="HP84" s="48">
        <v>87</v>
      </c>
      <c r="HQ84" s="48">
        <v>55</v>
      </c>
      <c r="HR84" s="48">
        <v>42</v>
      </c>
      <c r="HS84" s="48">
        <v>44</v>
      </c>
      <c r="HT84" s="48">
        <v>63</v>
      </c>
      <c r="HU84" s="48">
        <v>372</v>
      </c>
      <c r="HV84" s="48">
        <v>203</v>
      </c>
      <c r="HW84" s="1">
        <v>92</v>
      </c>
      <c r="HX84" s="1">
        <v>52</v>
      </c>
      <c r="HY84" s="1">
        <v>49</v>
      </c>
      <c r="HZ84" s="1">
        <v>36</v>
      </c>
      <c r="IA84" s="1">
        <v>55</v>
      </c>
      <c r="IB84" s="1">
        <v>43</v>
      </c>
      <c r="IC84" s="1">
        <v>105</v>
      </c>
      <c r="ID84" s="1">
        <v>79</v>
      </c>
      <c r="IE84" s="1">
        <v>45</v>
      </c>
      <c r="IF84" s="1">
        <v>49</v>
      </c>
      <c r="IG84" s="1">
        <v>41</v>
      </c>
      <c r="IH84" s="1">
        <v>41</v>
      </c>
      <c r="II84" s="1">
        <v>31</v>
      </c>
      <c r="IJ84" s="1">
        <v>49</v>
      </c>
      <c r="IK84" s="1">
        <v>26</v>
      </c>
      <c r="IL84" s="1">
        <v>47</v>
      </c>
      <c r="IM84" s="1">
        <v>323</v>
      </c>
      <c r="IN84" s="1">
        <v>68</v>
      </c>
      <c r="IO84" s="1">
        <v>77</v>
      </c>
      <c r="IP84" s="1">
        <v>175</v>
      </c>
      <c r="IQ84" s="1">
        <v>176</v>
      </c>
      <c r="IR84" s="1"/>
      <c r="IS84" s="1"/>
      <c r="IT84" s="1"/>
      <c r="IU84" s="1"/>
      <c r="IW84" s="1">
        <f t="shared" si="32"/>
        <v>9227</v>
      </c>
      <c r="IX84" s="5">
        <v>37.46</v>
      </c>
      <c r="IY84" s="5">
        <f t="shared" si="30"/>
        <v>345643.42</v>
      </c>
      <c r="IZ84" s="5">
        <v>49.95</v>
      </c>
      <c r="JA84" s="5">
        <f t="shared" si="31"/>
        <v>460888.65</v>
      </c>
    </row>
    <row r="85" spans="2:261">
      <c r="B85" s="51">
        <v>6550477</v>
      </c>
      <c r="C85" s="51" t="s">
        <v>142</v>
      </c>
      <c r="D85" s="38" t="s">
        <v>209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48"/>
      <c r="EH85" s="48"/>
      <c r="EI85" s="48"/>
      <c r="EJ85" s="48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77">
        <v>26</v>
      </c>
      <c r="GI85" s="77">
        <v>18</v>
      </c>
      <c r="GJ85" s="1">
        <v>16</v>
      </c>
      <c r="GK85" s="1">
        <v>27</v>
      </c>
      <c r="GL85" s="1">
        <v>21</v>
      </c>
      <c r="GM85" s="1">
        <v>5</v>
      </c>
      <c r="GN85" s="1">
        <v>15</v>
      </c>
      <c r="GO85" s="1">
        <v>22</v>
      </c>
      <c r="GP85" s="1">
        <v>50</v>
      </c>
      <c r="GQ85" s="1">
        <v>63</v>
      </c>
      <c r="GR85" s="48">
        <v>68</v>
      </c>
      <c r="GS85" s="48">
        <v>86</v>
      </c>
      <c r="GT85" s="48">
        <v>70</v>
      </c>
      <c r="GU85" s="48">
        <v>42</v>
      </c>
      <c r="GV85" s="48">
        <v>66</v>
      </c>
      <c r="GW85" s="48">
        <v>53</v>
      </c>
      <c r="GX85" s="48">
        <v>97</v>
      </c>
      <c r="GY85" s="48">
        <v>18</v>
      </c>
      <c r="GZ85" s="48">
        <v>18</v>
      </c>
      <c r="HA85" s="1">
        <v>35</v>
      </c>
      <c r="HB85" s="1">
        <v>19</v>
      </c>
      <c r="HC85" s="1">
        <v>13</v>
      </c>
      <c r="HD85" s="48">
        <v>16</v>
      </c>
      <c r="HE85" s="48">
        <v>20</v>
      </c>
      <c r="HF85" s="48">
        <v>17</v>
      </c>
      <c r="HG85" s="48">
        <v>11</v>
      </c>
      <c r="HH85" s="48">
        <v>32</v>
      </c>
      <c r="HI85" s="48">
        <v>15</v>
      </c>
      <c r="HJ85" s="48">
        <v>16</v>
      </c>
      <c r="HK85" s="48">
        <v>17</v>
      </c>
      <c r="HL85" s="48">
        <v>21</v>
      </c>
      <c r="HM85" s="48">
        <v>24</v>
      </c>
      <c r="HN85" s="48">
        <v>16</v>
      </c>
      <c r="HO85" s="48">
        <v>25</v>
      </c>
      <c r="HP85" s="48">
        <v>18</v>
      </c>
      <c r="HQ85" s="48">
        <v>33</v>
      </c>
      <c r="HR85" s="48">
        <v>33</v>
      </c>
      <c r="HS85" s="48">
        <v>24</v>
      </c>
      <c r="HT85" s="48">
        <v>15</v>
      </c>
      <c r="HU85" s="48">
        <v>12</v>
      </c>
      <c r="HV85" s="48">
        <v>23</v>
      </c>
      <c r="HW85" s="1">
        <v>13</v>
      </c>
      <c r="HX85" s="1">
        <v>26</v>
      </c>
      <c r="HY85" s="1">
        <v>14</v>
      </c>
      <c r="HZ85" s="1">
        <v>16</v>
      </c>
      <c r="IA85" s="1">
        <v>32</v>
      </c>
      <c r="IB85" s="1">
        <v>15</v>
      </c>
      <c r="IC85" s="1">
        <v>13</v>
      </c>
      <c r="ID85" s="1">
        <v>10</v>
      </c>
      <c r="IE85" s="1">
        <v>15</v>
      </c>
      <c r="IF85" s="1">
        <v>21</v>
      </c>
      <c r="IG85" s="1">
        <v>35</v>
      </c>
      <c r="IH85" s="1">
        <v>30</v>
      </c>
      <c r="II85" s="1">
        <v>51</v>
      </c>
      <c r="IJ85" s="1">
        <v>33</v>
      </c>
      <c r="IK85" s="1">
        <v>25</v>
      </c>
      <c r="IL85" s="1">
        <v>12</v>
      </c>
      <c r="IM85" s="1">
        <v>32</v>
      </c>
      <c r="IN85" s="1">
        <v>4</v>
      </c>
      <c r="IO85" s="1">
        <v>16</v>
      </c>
      <c r="IP85" s="1">
        <v>31</v>
      </c>
      <c r="IQ85" s="1">
        <v>37</v>
      </c>
      <c r="IR85" s="1"/>
      <c r="IS85" s="1"/>
      <c r="IT85" s="1"/>
      <c r="IU85" s="1"/>
      <c r="IW85" s="1">
        <f t="shared" si="32"/>
        <v>1717</v>
      </c>
      <c r="IX85" s="5">
        <v>14.99</v>
      </c>
      <c r="IY85" s="5">
        <f t="shared" si="30"/>
        <v>25737.83</v>
      </c>
      <c r="IZ85" s="5">
        <v>19.989999999999998</v>
      </c>
      <c r="JA85" s="5">
        <f>IW85*IZ85</f>
        <v>34322.829999999994</v>
      </c>
    </row>
    <row r="86" spans="2:261">
      <c r="B86" s="51">
        <v>6576717</v>
      </c>
      <c r="C86" s="51" t="s">
        <v>193</v>
      </c>
      <c r="D86" s="38" t="s">
        <v>233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48"/>
      <c r="EH86" s="48"/>
      <c r="EI86" s="48"/>
      <c r="EJ86" s="48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48">
        <v>0</v>
      </c>
      <c r="FT86" s="48">
        <v>0</v>
      </c>
      <c r="FU86" s="48">
        <v>0</v>
      </c>
      <c r="FV86" s="48">
        <v>0</v>
      </c>
      <c r="FW86" s="48">
        <v>0</v>
      </c>
      <c r="FX86" s="48">
        <v>0</v>
      </c>
      <c r="FY86" s="48">
        <v>0</v>
      </c>
      <c r="FZ86" s="48">
        <v>0</v>
      </c>
      <c r="GA86" s="48">
        <v>0</v>
      </c>
      <c r="GB86" s="48">
        <v>0</v>
      </c>
      <c r="GC86" s="48">
        <v>0</v>
      </c>
      <c r="GD86" s="48">
        <v>0</v>
      </c>
      <c r="GE86" s="48">
        <v>0</v>
      </c>
      <c r="GF86" s="48">
        <v>0</v>
      </c>
      <c r="GG86" s="48">
        <v>0</v>
      </c>
      <c r="GH86" s="48">
        <v>0</v>
      </c>
      <c r="GI86" s="48">
        <v>0</v>
      </c>
      <c r="GJ86" s="48">
        <v>0</v>
      </c>
      <c r="GK86" s="48">
        <v>0</v>
      </c>
      <c r="GL86" s="48">
        <v>0</v>
      </c>
      <c r="GM86" s="48">
        <v>0</v>
      </c>
      <c r="GN86" s="48">
        <v>0</v>
      </c>
      <c r="GO86" s="48">
        <v>0</v>
      </c>
      <c r="GP86" s="48">
        <v>0</v>
      </c>
      <c r="GQ86" s="48">
        <v>0</v>
      </c>
      <c r="GR86" s="48">
        <v>0</v>
      </c>
      <c r="GS86" s="48">
        <v>0</v>
      </c>
      <c r="GT86" s="48">
        <v>0</v>
      </c>
      <c r="GU86" s="48">
        <v>0</v>
      </c>
      <c r="GV86" s="48">
        <v>0</v>
      </c>
      <c r="GW86" s="48">
        <v>0</v>
      </c>
      <c r="GX86" s="48">
        <v>0</v>
      </c>
      <c r="GY86" s="48">
        <v>0</v>
      </c>
      <c r="GZ86" s="48">
        <v>0</v>
      </c>
      <c r="HA86" s="48">
        <v>0</v>
      </c>
      <c r="HB86" s="48">
        <v>0</v>
      </c>
      <c r="HC86" s="48">
        <v>0</v>
      </c>
      <c r="HD86" s="48">
        <v>0</v>
      </c>
      <c r="HE86" s="48">
        <v>0</v>
      </c>
      <c r="HF86" s="48">
        <v>30</v>
      </c>
      <c r="HG86" s="48">
        <v>14</v>
      </c>
      <c r="HH86" s="48">
        <v>10</v>
      </c>
      <c r="HI86" s="48">
        <v>17</v>
      </c>
      <c r="HJ86" s="48">
        <v>29</v>
      </c>
      <c r="HK86" s="48">
        <v>33</v>
      </c>
      <c r="HL86" s="48">
        <v>17</v>
      </c>
      <c r="HM86" s="48">
        <v>13</v>
      </c>
      <c r="HN86" s="48">
        <v>10</v>
      </c>
      <c r="HO86" s="48">
        <v>26</v>
      </c>
      <c r="HP86" s="48">
        <v>26</v>
      </c>
      <c r="HQ86" s="48">
        <v>20</v>
      </c>
      <c r="HR86" s="48">
        <v>27</v>
      </c>
      <c r="HS86" s="48">
        <v>33</v>
      </c>
      <c r="HT86" s="48">
        <v>19</v>
      </c>
      <c r="HU86" s="48">
        <v>100</v>
      </c>
      <c r="HV86" s="48">
        <v>77</v>
      </c>
      <c r="HW86" s="1">
        <v>23</v>
      </c>
      <c r="HX86" s="1">
        <v>17</v>
      </c>
      <c r="HY86" s="1">
        <v>20</v>
      </c>
      <c r="HZ86" s="1">
        <v>14</v>
      </c>
      <c r="IA86" s="1">
        <v>14</v>
      </c>
      <c r="IB86" s="1">
        <v>23</v>
      </c>
      <c r="IC86" s="1">
        <v>54</v>
      </c>
      <c r="ID86" s="1">
        <v>53</v>
      </c>
      <c r="IE86" s="1">
        <v>31</v>
      </c>
      <c r="IF86" s="1">
        <v>49</v>
      </c>
      <c r="IG86" s="1">
        <v>42</v>
      </c>
      <c r="IH86" s="1">
        <v>46</v>
      </c>
      <c r="II86" s="1">
        <v>15</v>
      </c>
      <c r="IJ86" s="1">
        <v>11</v>
      </c>
      <c r="IK86" s="1">
        <v>16</v>
      </c>
      <c r="IL86" s="1">
        <v>24</v>
      </c>
      <c r="IM86" s="1">
        <v>107</v>
      </c>
      <c r="IN86" s="1">
        <v>19</v>
      </c>
      <c r="IO86" s="1">
        <v>36</v>
      </c>
      <c r="IP86" s="1">
        <v>56</v>
      </c>
      <c r="IQ86" s="1">
        <v>43</v>
      </c>
      <c r="IR86" s="1"/>
      <c r="IS86" s="1"/>
      <c r="IT86" s="1"/>
      <c r="IU86" s="1"/>
      <c r="IW86" s="1">
        <f t="shared" si="32"/>
        <v>1214</v>
      </c>
      <c r="IX86" s="5">
        <v>37.46</v>
      </c>
      <c r="IY86" s="5">
        <f t="shared" si="30"/>
        <v>45476.44</v>
      </c>
      <c r="IZ86" s="5">
        <v>49.95</v>
      </c>
      <c r="JA86" s="5">
        <f>IW86*IZ86</f>
        <v>60639.3</v>
      </c>
    </row>
    <row r="87" spans="2:261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6">
        <f t="shared" ref="CH87:EI87" si="33">SUM(CH80:CH83)</f>
        <v>0</v>
      </c>
      <c r="CI87" s="6">
        <f t="shared" si="33"/>
        <v>0</v>
      </c>
      <c r="CJ87" s="6">
        <f t="shared" si="33"/>
        <v>0</v>
      </c>
      <c r="CK87" s="6">
        <f t="shared" si="33"/>
        <v>0</v>
      </c>
      <c r="CL87" s="6">
        <f t="shared" si="33"/>
        <v>0</v>
      </c>
      <c r="CM87" s="6">
        <f t="shared" si="33"/>
        <v>0</v>
      </c>
      <c r="CN87" s="6">
        <f t="shared" si="33"/>
        <v>0</v>
      </c>
      <c r="CO87" s="6">
        <f t="shared" si="33"/>
        <v>0</v>
      </c>
      <c r="CP87" s="6">
        <f t="shared" si="33"/>
        <v>0</v>
      </c>
      <c r="CQ87" s="6">
        <f t="shared" si="33"/>
        <v>0</v>
      </c>
      <c r="CR87" s="6">
        <f t="shared" si="33"/>
        <v>0</v>
      </c>
      <c r="CS87" s="6">
        <f t="shared" si="33"/>
        <v>0</v>
      </c>
      <c r="CT87" s="6">
        <f t="shared" si="33"/>
        <v>0</v>
      </c>
      <c r="CU87" s="6">
        <f t="shared" si="33"/>
        <v>0</v>
      </c>
      <c r="CV87" s="6">
        <f t="shared" si="33"/>
        <v>0</v>
      </c>
      <c r="CW87" s="6">
        <f t="shared" si="33"/>
        <v>0</v>
      </c>
      <c r="CX87" s="6">
        <f t="shared" si="33"/>
        <v>0</v>
      </c>
      <c r="CY87" s="6">
        <f t="shared" si="33"/>
        <v>0</v>
      </c>
      <c r="CZ87" s="6">
        <f t="shared" si="33"/>
        <v>0</v>
      </c>
      <c r="DA87" s="6">
        <f t="shared" si="33"/>
        <v>0</v>
      </c>
      <c r="DB87" s="6">
        <f t="shared" si="33"/>
        <v>0</v>
      </c>
      <c r="DC87" s="6">
        <f t="shared" si="33"/>
        <v>0</v>
      </c>
      <c r="DD87" s="6">
        <f t="shared" si="33"/>
        <v>0</v>
      </c>
      <c r="DE87" s="6">
        <f t="shared" si="33"/>
        <v>0</v>
      </c>
      <c r="DF87" s="6">
        <f t="shared" si="33"/>
        <v>0</v>
      </c>
      <c r="DG87" s="6">
        <f t="shared" si="33"/>
        <v>0</v>
      </c>
      <c r="DH87" s="6">
        <f t="shared" si="33"/>
        <v>0</v>
      </c>
      <c r="DI87" s="6">
        <f t="shared" si="33"/>
        <v>0</v>
      </c>
      <c r="DJ87" s="6">
        <f t="shared" si="33"/>
        <v>0</v>
      </c>
      <c r="DK87" s="6">
        <f t="shared" si="33"/>
        <v>0</v>
      </c>
      <c r="DL87" s="6">
        <f t="shared" si="33"/>
        <v>0</v>
      </c>
      <c r="DM87" s="6">
        <f t="shared" si="33"/>
        <v>0</v>
      </c>
      <c r="DN87" s="6">
        <f t="shared" si="33"/>
        <v>0</v>
      </c>
      <c r="DO87" s="6">
        <f t="shared" si="33"/>
        <v>0</v>
      </c>
      <c r="DP87" s="6">
        <f t="shared" si="33"/>
        <v>0</v>
      </c>
      <c r="DQ87" s="6">
        <f t="shared" si="33"/>
        <v>0</v>
      </c>
      <c r="DR87" s="6">
        <f t="shared" si="33"/>
        <v>0</v>
      </c>
      <c r="DS87" s="6">
        <f t="shared" si="33"/>
        <v>0</v>
      </c>
      <c r="DT87" s="6">
        <f t="shared" si="33"/>
        <v>0</v>
      </c>
      <c r="DU87" s="6">
        <f t="shared" si="33"/>
        <v>0</v>
      </c>
      <c r="DV87" s="6">
        <f t="shared" si="33"/>
        <v>0</v>
      </c>
      <c r="DW87" s="6">
        <f t="shared" si="33"/>
        <v>0</v>
      </c>
      <c r="DX87" s="6">
        <f t="shared" si="33"/>
        <v>0</v>
      </c>
      <c r="DY87" s="6">
        <f t="shared" si="33"/>
        <v>0</v>
      </c>
      <c r="DZ87" s="6">
        <f t="shared" si="33"/>
        <v>0</v>
      </c>
      <c r="EA87" s="6">
        <f t="shared" si="33"/>
        <v>0</v>
      </c>
      <c r="EB87" s="6">
        <f t="shared" si="33"/>
        <v>0</v>
      </c>
      <c r="EC87" s="6">
        <f t="shared" si="33"/>
        <v>0</v>
      </c>
      <c r="ED87" s="6">
        <f t="shared" si="33"/>
        <v>0</v>
      </c>
      <c r="EE87" s="6">
        <f t="shared" si="33"/>
        <v>0</v>
      </c>
      <c r="EF87" s="6">
        <f t="shared" si="33"/>
        <v>0</v>
      </c>
      <c r="EG87" s="6">
        <f t="shared" si="33"/>
        <v>0</v>
      </c>
      <c r="EH87" s="6">
        <f t="shared" si="33"/>
        <v>0</v>
      </c>
      <c r="EI87" s="6">
        <f t="shared" si="33"/>
        <v>0</v>
      </c>
      <c r="EJ87" s="6">
        <f>SUM(EJ80:EJ83)</f>
        <v>0</v>
      </c>
      <c r="EK87" s="6">
        <f t="shared" ref="EK87:EZ87" si="34">SUM(EK80:EK83)</f>
        <v>0</v>
      </c>
      <c r="EL87" s="6">
        <f t="shared" si="34"/>
        <v>0</v>
      </c>
      <c r="EM87" s="6">
        <f t="shared" si="34"/>
        <v>0</v>
      </c>
      <c r="EN87" s="6">
        <f t="shared" si="34"/>
        <v>0</v>
      </c>
      <c r="EO87" s="6">
        <f t="shared" si="34"/>
        <v>0</v>
      </c>
      <c r="EP87" s="6">
        <f t="shared" si="34"/>
        <v>0</v>
      </c>
      <c r="EQ87" s="6">
        <f t="shared" si="34"/>
        <v>0</v>
      </c>
      <c r="ER87" s="6">
        <f t="shared" si="34"/>
        <v>0</v>
      </c>
      <c r="ES87" s="6">
        <f t="shared" si="34"/>
        <v>0</v>
      </c>
      <c r="ET87" s="6">
        <f t="shared" si="34"/>
        <v>0</v>
      </c>
      <c r="EU87" s="6">
        <f t="shared" si="34"/>
        <v>0</v>
      </c>
      <c r="EV87" s="6">
        <f t="shared" si="34"/>
        <v>0</v>
      </c>
      <c r="EW87" s="6">
        <f t="shared" si="34"/>
        <v>0</v>
      </c>
      <c r="EX87" s="6">
        <f t="shared" si="34"/>
        <v>0</v>
      </c>
      <c r="EY87" s="6">
        <f t="shared" si="34"/>
        <v>0</v>
      </c>
      <c r="EZ87" s="6">
        <f t="shared" si="34"/>
        <v>0</v>
      </c>
      <c r="FA87" s="6">
        <f>SUM(FA80:FA83)</f>
        <v>0</v>
      </c>
      <c r="FB87" s="6">
        <f t="shared" ref="FB87:FO87" si="35">SUM(FB80:FB83)</f>
        <v>0</v>
      </c>
      <c r="FC87" s="6">
        <f t="shared" si="35"/>
        <v>0</v>
      </c>
      <c r="FD87" s="6">
        <f t="shared" si="35"/>
        <v>0</v>
      </c>
      <c r="FE87" s="6">
        <f t="shared" si="35"/>
        <v>0</v>
      </c>
      <c r="FF87" s="6">
        <f t="shared" si="35"/>
        <v>0</v>
      </c>
      <c r="FG87" s="6">
        <f t="shared" si="35"/>
        <v>0</v>
      </c>
      <c r="FH87" s="6">
        <f t="shared" si="35"/>
        <v>0</v>
      </c>
      <c r="FI87" s="6">
        <f t="shared" si="35"/>
        <v>0</v>
      </c>
      <c r="FJ87" s="6">
        <f t="shared" si="35"/>
        <v>0</v>
      </c>
      <c r="FK87" s="6">
        <f t="shared" si="35"/>
        <v>0</v>
      </c>
      <c r="FL87" s="6">
        <f t="shared" si="35"/>
        <v>0</v>
      </c>
      <c r="FM87" s="6">
        <f t="shared" si="35"/>
        <v>0</v>
      </c>
      <c r="FN87" s="6">
        <f t="shared" si="35"/>
        <v>0</v>
      </c>
      <c r="FO87" s="6">
        <f t="shared" si="35"/>
        <v>0</v>
      </c>
      <c r="FP87" s="6">
        <f>SUM(FP80:FP85)</f>
        <v>0</v>
      </c>
      <c r="FQ87" s="6">
        <f t="shared" ref="FQ87:FT87" si="36">SUM(FQ80:FQ85)</f>
        <v>0</v>
      </c>
      <c r="FR87" s="6">
        <f t="shared" si="36"/>
        <v>0</v>
      </c>
      <c r="FS87" s="6">
        <f t="shared" si="36"/>
        <v>0</v>
      </c>
      <c r="FT87" s="6">
        <f t="shared" si="36"/>
        <v>0</v>
      </c>
      <c r="FU87" s="6">
        <f>SUM(FU80:FU85)</f>
        <v>0</v>
      </c>
      <c r="FV87" s="6">
        <f t="shared" ref="FV87:GG87" si="37">SUM(FV80:FV85)</f>
        <v>0</v>
      </c>
      <c r="FW87" s="6">
        <f t="shared" si="37"/>
        <v>0</v>
      </c>
      <c r="FX87" s="6">
        <f t="shared" si="37"/>
        <v>0</v>
      </c>
      <c r="FY87" s="6">
        <f t="shared" si="37"/>
        <v>0</v>
      </c>
      <c r="FZ87" s="6">
        <f t="shared" si="37"/>
        <v>0</v>
      </c>
      <c r="GA87" s="6">
        <f t="shared" si="37"/>
        <v>0</v>
      </c>
      <c r="GB87" s="6">
        <f t="shared" si="37"/>
        <v>0</v>
      </c>
      <c r="GC87" s="6">
        <f t="shared" si="37"/>
        <v>0</v>
      </c>
      <c r="GD87" s="6">
        <f t="shared" si="37"/>
        <v>0</v>
      </c>
      <c r="GE87" s="6">
        <f t="shared" si="37"/>
        <v>0</v>
      </c>
      <c r="GF87" s="6">
        <f t="shared" si="37"/>
        <v>0</v>
      </c>
      <c r="GG87" s="6">
        <f t="shared" si="37"/>
        <v>0</v>
      </c>
      <c r="GH87" s="6">
        <f>SUM(GH80:GH85)</f>
        <v>639</v>
      </c>
      <c r="GI87" s="6">
        <f t="shared" ref="GI87:HD87" si="38">SUM(GI80:GI85)</f>
        <v>210</v>
      </c>
      <c r="GJ87" s="6">
        <f t="shared" si="38"/>
        <v>307</v>
      </c>
      <c r="GK87" s="6">
        <f t="shared" si="38"/>
        <v>235</v>
      </c>
      <c r="GL87" s="6">
        <f t="shared" si="38"/>
        <v>291</v>
      </c>
      <c r="GM87" s="6">
        <f t="shared" si="38"/>
        <v>193</v>
      </c>
      <c r="GN87" s="6">
        <f t="shared" si="38"/>
        <v>278</v>
      </c>
      <c r="GO87" s="6">
        <f t="shared" si="38"/>
        <v>412</v>
      </c>
      <c r="GP87" s="6">
        <f t="shared" si="38"/>
        <v>1122</v>
      </c>
      <c r="GQ87" s="6">
        <f t="shared" si="38"/>
        <v>1070</v>
      </c>
      <c r="GR87" s="6">
        <f t="shared" si="38"/>
        <v>953</v>
      </c>
      <c r="GS87" s="6">
        <f t="shared" si="38"/>
        <v>1289</v>
      </c>
      <c r="GT87" s="6">
        <f t="shared" si="38"/>
        <v>960</v>
      </c>
      <c r="GU87" s="6">
        <f t="shared" si="38"/>
        <v>622</v>
      </c>
      <c r="GV87" s="6">
        <f t="shared" si="38"/>
        <v>320</v>
      </c>
      <c r="GW87" s="6">
        <f t="shared" si="38"/>
        <v>325</v>
      </c>
      <c r="GX87" s="6">
        <f t="shared" si="38"/>
        <v>388</v>
      </c>
      <c r="GY87" s="6">
        <f t="shared" si="38"/>
        <v>231</v>
      </c>
      <c r="GZ87" s="6">
        <f t="shared" si="38"/>
        <v>189</v>
      </c>
      <c r="HA87" s="6">
        <f t="shared" si="38"/>
        <v>184</v>
      </c>
      <c r="HB87" s="6">
        <f t="shared" si="38"/>
        <v>174</v>
      </c>
      <c r="HC87" s="6">
        <f t="shared" si="38"/>
        <v>330</v>
      </c>
      <c r="HD87" s="6">
        <f t="shared" si="38"/>
        <v>220</v>
      </c>
      <c r="HE87" s="6">
        <f>SUM(HE80:HE86)</f>
        <v>330</v>
      </c>
      <c r="HF87" s="6">
        <f t="shared" ref="HF87:IU87" si="39">SUM(HF80:HF86)</f>
        <v>386</v>
      </c>
      <c r="HG87" s="6">
        <f t="shared" si="39"/>
        <v>219</v>
      </c>
      <c r="HH87" s="6">
        <f t="shared" si="39"/>
        <v>190</v>
      </c>
      <c r="HI87" s="6">
        <f t="shared" si="39"/>
        <v>610</v>
      </c>
      <c r="HJ87" s="6">
        <f t="shared" si="39"/>
        <v>264</v>
      </c>
      <c r="HK87" s="6">
        <f t="shared" si="39"/>
        <v>196</v>
      </c>
      <c r="HL87" s="6">
        <f t="shared" si="39"/>
        <v>162</v>
      </c>
      <c r="HM87" s="6">
        <f t="shared" si="39"/>
        <v>162</v>
      </c>
      <c r="HN87" s="6">
        <f t="shared" si="39"/>
        <v>121</v>
      </c>
      <c r="HO87" s="6">
        <f t="shared" si="39"/>
        <v>196</v>
      </c>
      <c r="HP87" s="6">
        <f t="shared" si="39"/>
        <v>414</v>
      </c>
      <c r="HQ87" s="6">
        <f t="shared" si="39"/>
        <v>174</v>
      </c>
      <c r="HR87" s="6">
        <f t="shared" si="39"/>
        <v>176</v>
      </c>
      <c r="HS87" s="6">
        <f t="shared" si="39"/>
        <v>163</v>
      </c>
      <c r="HT87" s="6">
        <f t="shared" si="39"/>
        <v>201</v>
      </c>
      <c r="HU87" s="6">
        <f t="shared" si="39"/>
        <v>579</v>
      </c>
      <c r="HV87" s="6">
        <f t="shared" si="39"/>
        <v>735</v>
      </c>
      <c r="HW87" s="6">
        <f t="shared" si="39"/>
        <v>210</v>
      </c>
      <c r="HX87" s="6">
        <f t="shared" si="39"/>
        <v>155</v>
      </c>
      <c r="HY87" s="6">
        <f t="shared" si="39"/>
        <v>192</v>
      </c>
      <c r="HZ87" s="6">
        <f t="shared" si="39"/>
        <v>137</v>
      </c>
      <c r="IA87" s="6">
        <f t="shared" si="39"/>
        <v>200</v>
      </c>
      <c r="IB87" s="6">
        <f t="shared" si="39"/>
        <v>170</v>
      </c>
      <c r="IC87" s="6">
        <f t="shared" si="39"/>
        <v>263</v>
      </c>
      <c r="ID87" s="6">
        <f t="shared" si="39"/>
        <v>289</v>
      </c>
      <c r="IE87" s="6">
        <f t="shared" si="39"/>
        <v>198</v>
      </c>
      <c r="IF87" s="6">
        <f t="shared" si="39"/>
        <v>188</v>
      </c>
      <c r="IG87" s="6">
        <f t="shared" si="39"/>
        <v>198</v>
      </c>
      <c r="IH87" s="6">
        <f t="shared" si="39"/>
        <v>171</v>
      </c>
      <c r="II87" s="6">
        <f t="shared" si="39"/>
        <v>141</v>
      </c>
      <c r="IJ87" s="6">
        <f t="shared" si="39"/>
        <v>137</v>
      </c>
      <c r="IK87" s="6">
        <f t="shared" si="39"/>
        <v>113</v>
      </c>
      <c r="IL87" s="6">
        <f t="shared" si="39"/>
        <v>154</v>
      </c>
      <c r="IM87" s="6">
        <f t="shared" si="39"/>
        <v>532</v>
      </c>
      <c r="IN87" s="6">
        <f t="shared" si="39"/>
        <v>151</v>
      </c>
      <c r="IO87" s="6">
        <f t="shared" si="39"/>
        <v>215</v>
      </c>
      <c r="IP87" s="6">
        <f t="shared" si="39"/>
        <v>437</v>
      </c>
      <c r="IQ87" s="6">
        <f t="shared" si="39"/>
        <v>453</v>
      </c>
      <c r="IR87" s="6">
        <f t="shared" si="39"/>
        <v>0</v>
      </c>
      <c r="IS87" s="6">
        <f t="shared" si="39"/>
        <v>0</v>
      </c>
      <c r="IT87" s="6">
        <f t="shared" si="39"/>
        <v>0</v>
      </c>
      <c r="IU87" s="6">
        <f t="shared" si="39"/>
        <v>0</v>
      </c>
      <c r="IW87" s="30">
        <f>SUM(IW80:IW86)</f>
        <v>20924</v>
      </c>
      <c r="IY87" s="25">
        <f>SUM(IY80:IY86)</f>
        <v>830642.05</v>
      </c>
      <c r="JA87" s="25">
        <f>SUM(JA80:JA86)</f>
        <v>1107592.48</v>
      </c>
    </row>
    <row r="88" spans="2:261"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  <c r="FQ88" s="50"/>
      <c r="FR88" s="50"/>
      <c r="FS88" s="50"/>
      <c r="FT88" s="50"/>
      <c r="FU88" s="50"/>
      <c r="FV88" s="50"/>
      <c r="FW88" s="50"/>
      <c r="FX88" s="50"/>
      <c r="FY88" s="50"/>
      <c r="FZ88" s="50"/>
      <c r="GA88" s="50"/>
      <c r="GB88" s="50"/>
      <c r="GC88" s="50"/>
      <c r="GD88" s="50"/>
      <c r="GE88" s="50"/>
      <c r="GF88" s="50"/>
      <c r="GG88" s="50"/>
      <c r="GH88" s="50"/>
      <c r="GI88" s="50"/>
      <c r="GJ88" s="50"/>
      <c r="GK88" s="50"/>
      <c r="GL88" s="50"/>
      <c r="GM88" s="50"/>
      <c r="GN88" s="50"/>
      <c r="GO88" s="50"/>
      <c r="GP88" s="50"/>
      <c r="GQ88" s="50"/>
      <c r="GR88" s="50"/>
      <c r="GS88" s="50"/>
      <c r="GT88" s="50"/>
      <c r="GU88" s="50"/>
      <c r="GV88" s="50"/>
      <c r="GW88" s="50"/>
      <c r="GX88" s="50"/>
      <c r="GY88" s="50"/>
      <c r="GZ88" s="50"/>
      <c r="HA88" s="50"/>
      <c r="HB88" s="50"/>
      <c r="HC88" s="50"/>
      <c r="HD88" s="50"/>
      <c r="HE88" s="50"/>
      <c r="HF88" s="50"/>
      <c r="HG88" s="50"/>
      <c r="HH88" s="50"/>
      <c r="HI88" s="50"/>
      <c r="HJ88" s="50"/>
      <c r="HK88" s="50"/>
      <c r="HL88" s="50"/>
      <c r="HM88" s="50"/>
      <c r="HN88" s="50"/>
      <c r="HO88" s="50"/>
      <c r="HP88" s="50"/>
      <c r="HQ88" s="50"/>
      <c r="HR88" s="50"/>
      <c r="HS88" s="50"/>
      <c r="HT88" s="50"/>
      <c r="HU88" s="50"/>
      <c r="HV88" s="50"/>
      <c r="HW88" s="50"/>
      <c r="HX88" s="50"/>
      <c r="HY88" s="50"/>
      <c r="HZ88" s="50"/>
      <c r="IA88" s="50"/>
      <c r="IB88" s="50"/>
      <c r="IC88" s="50"/>
      <c r="ID88" s="50"/>
      <c r="IE88" s="50"/>
      <c r="IF88" s="50"/>
      <c r="IG88" s="50"/>
      <c r="IH88" s="50"/>
      <c r="II88" s="50"/>
      <c r="IJ88" s="50"/>
      <c r="IK88" s="50"/>
      <c r="IL88" s="50"/>
      <c r="IM88" s="50"/>
      <c r="IN88" s="50"/>
      <c r="IO88" s="50"/>
      <c r="IP88" s="50"/>
      <c r="IQ88" s="50"/>
      <c r="IR88" s="50"/>
      <c r="IS88" s="50"/>
      <c r="IT88" s="50"/>
      <c r="IU88" s="50"/>
      <c r="IW88" s="31"/>
      <c r="IY88" s="71"/>
      <c r="JA88" s="71"/>
    </row>
    <row r="89" spans="2:261">
      <c r="C89" s="50" t="s">
        <v>187</v>
      </c>
    </row>
    <row r="90" spans="2:261">
      <c r="C90" s="47" t="s">
        <v>188</v>
      </c>
    </row>
    <row r="91" spans="2:261">
      <c r="C91" s="52" t="s">
        <v>189</v>
      </c>
    </row>
    <row r="92" spans="2:261">
      <c r="C92" s="51" t="s">
        <v>190</v>
      </c>
    </row>
    <row r="93" spans="2:261">
      <c r="C93" s="9" t="s">
        <v>232</v>
      </c>
    </row>
    <row r="94" spans="2:261">
      <c r="C94" s="56" t="s">
        <v>208</v>
      </c>
    </row>
  </sheetData>
  <dataValidations count="2">
    <dataValidation type="custom" showErrorMessage="1" errorTitle="Invalid input" error="Must have a length less than or equal to 50. To delete, enter DELETE THIS." sqref="D35 D62 D72 D82" xr:uid="{0A53FB20-C247-F840-A579-73CB4603F9BD}">
      <formula1>OR(LEN(D35)&lt;=50,(D35="DELETE THIS"))</formula1>
    </dataValidation>
    <dataValidation type="custom" showErrorMessage="1" errorTitle="Invalid input" error="Must be a number. Must have a value between 0 and 500000. To delete, enter DELETE THIS." sqref="IX35 IX62 IX64 IX72 IX74 IX82 IX84 IX86 IX76 IX66" xr:uid="{05941795-E9B0-B84E-B717-A2F8068A5BA8}">
      <formula1>OR(AND(AND(ISNUMBER(IX35),NOT(ISNUMBER(SEARCH(IX35,":")))),IX35&lt;=500000,IX35&gt;=0),(IX35="DELETE THIS"))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04223-473F-7845-912E-F4999BB53159}">
  <sheetPr>
    <tabColor theme="5" tint="0.39997558519241921"/>
  </sheetPr>
  <dimension ref="A1:AL70"/>
  <sheetViews>
    <sheetView topLeftCell="Q37" workbookViewId="0">
      <selection activeCell="AF73" sqref="AF73"/>
    </sheetView>
  </sheetViews>
  <sheetFormatPr defaultColWidth="13.125" defaultRowHeight="15.75"/>
  <cols>
    <col min="1" max="1" width="21.625" bestFit="1" customWidth="1"/>
    <col min="2" max="2" width="157.625" bestFit="1" customWidth="1"/>
    <col min="4" max="4" width="5.625" bestFit="1" customWidth="1"/>
    <col min="5" max="5" width="8.5" bestFit="1" customWidth="1"/>
    <col min="6" max="6" width="11.625" bestFit="1" customWidth="1"/>
    <col min="7" max="7" width="7.625" bestFit="1" customWidth="1"/>
    <col min="8" max="8" width="13" bestFit="1" customWidth="1"/>
    <col min="10" max="10" width="6.625" bestFit="1" customWidth="1"/>
    <col min="11" max="11" width="8.5" bestFit="1" customWidth="1"/>
    <col min="12" max="12" width="11.625" bestFit="1" customWidth="1"/>
    <col min="13" max="13" width="7.625" bestFit="1" customWidth="1"/>
    <col min="14" max="14" width="13" bestFit="1" customWidth="1"/>
    <col min="16" max="16" width="6.625" bestFit="1" customWidth="1"/>
    <col min="17" max="17" width="8.5" bestFit="1" customWidth="1"/>
    <col min="18" max="18" width="11.625" bestFit="1" customWidth="1"/>
    <col min="19" max="19" width="7.625" bestFit="1" customWidth="1"/>
    <col min="20" max="20" width="13" bestFit="1" customWidth="1"/>
    <col min="22" max="22" width="6.625" bestFit="1" customWidth="1"/>
    <col min="23" max="23" width="8.5" bestFit="1" customWidth="1"/>
    <col min="24" max="24" width="12.625" bestFit="1" customWidth="1"/>
    <col min="25" max="25" width="7.625" bestFit="1" customWidth="1"/>
    <col min="26" max="26" width="13" bestFit="1" customWidth="1"/>
    <col min="28" max="28" width="6.625" bestFit="1" customWidth="1"/>
    <col min="29" max="29" width="8.5" bestFit="1" customWidth="1"/>
    <col min="30" max="30" width="11.625" bestFit="1" customWidth="1"/>
    <col min="31" max="31" width="7.625" bestFit="1" customWidth="1"/>
    <col min="32" max="32" width="13" bestFit="1" customWidth="1"/>
    <col min="34" max="34" width="6.625" bestFit="1" customWidth="1"/>
    <col min="35" max="35" width="8.5" bestFit="1" customWidth="1"/>
    <col min="36" max="36" width="12.625" bestFit="1" customWidth="1"/>
    <col min="37" max="37" width="7.625" bestFit="1" customWidth="1"/>
    <col min="38" max="38" width="13" bestFit="1" customWidth="1"/>
  </cols>
  <sheetData>
    <row r="1" spans="1:38">
      <c r="D1" s="86" t="s">
        <v>216</v>
      </c>
      <c r="E1" s="86"/>
      <c r="F1" s="86"/>
      <c r="G1" s="86"/>
      <c r="H1" s="86"/>
      <c r="J1" s="87" t="s">
        <v>217</v>
      </c>
      <c r="K1" s="87"/>
      <c r="L1" s="87"/>
      <c r="M1" s="87"/>
      <c r="N1" s="87"/>
      <c r="P1" s="88" t="s">
        <v>218</v>
      </c>
      <c r="Q1" s="88"/>
      <c r="R1" s="88"/>
      <c r="S1" s="88"/>
      <c r="T1" s="88"/>
      <c r="V1" s="89" t="s">
        <v>219</v>
      </c>
      <c r="W1" s="89"/>
      <c r="X1" s="89"/>
      <c r="Y1" s="89"/>
      <c r="Z1" s="89"/>
      <c r="AB1" s="90" t="s">
        <v>230</v>
      </c>
      <c r="AC1" s="90"/>
      <c r="AD1" s="90"/>
      <c r="AE1" s="90"/>
      <c r="AF1" s="90"/>
      <c r="AH1" s="85" t="s">
        <v>224</v>
      </c>
      <c r="AI1" s="85"/>
      <c r="AJ1" s="85"/>
      <c r="AK1" s="85"/>
      <c r="AL1" s="85"/>
    </row>
    <row r="2" spans="1:38">
      <c r="A2" s="9" t="s">
        <v>25</v>
      </c>
      <c r="B2" s="9" t="s">
        <v>24</v>
      </c>
      <c r="D2" s="72" t="s">
        <v>30</v>
      </c>
      <c r="E2" s="72" t="s">
        <v>26</v>
      </c>
      <c r="F2" s="72" t="s">
        <v>214</v>
      </c>
      <c r="G2" s="70" t="s">
        <v>27</v>
      </c>
      <c r="H2" s="70" t="s">
        <v>215</v>
      </c>
      <c r="J2" s="72" t="s">
        <v>30</v>
      </c>
      <c r="K2" s="72" t="s">
        <v>26</v>
      </c>
      <c r="L2" s="72" t="s">
        <v>214</v>
      </c>
      <c r="M2" s="70" t="s">
        <v>27</v>
      </c>
      <c r="N2" s="70" t="s">
        <v>215</v>
      </c>
      <c r="P2" s="72" t="s">
        <v>30</v>
      </c>
      <c r="Q2" s="72" t="s">
        <v>26</v>
      </c>
      <c r="R2" s="72" t="s">
        <v>214</v>
      </c>
      <c r="S2" s="70" t="s">
        <v>27</v>
      </c>
      <c r="T2" s="70" t="s">
        <v>215</v>
      </c>
      <c r="V2" s="72" t="s">
        <v>30</v>
      </c>
      <c r="W2" s="72" t="s">
        <v>26</v>
      </c>
      <c r="X2" s="72" t="s">
        <v>214</v>
      </c>
      <c r="Y2" s="70" t="s">
        <v>27</v>
      </c>
      <c r="Z2" s="70" t="s">
        <v>215</v>
      </c>
      <c r="AB2" s="70" t="s">
        <v>30</v>
      </c>
      <c r="AC2" s="70" t="s">
        <v>26</v>
      </c>
      <c r="AD2" s="70" t="s">
        <v>214</v>
      </c>
      <c r="AE2" s="70" t="s">
        <v>27</v>
      </c>
      <c r="AF2" s="70" t="s">
        <v>215</v>
      </c>
      <c r="AH2" s="70" t="s">
        <v>30</v>
      </c>
      <c r="AI2" s="70" t="s">
        <v>26</v>
      </c>
      <c r="AJ2" s="70" t="s">
        <v>214</v>
      </c>
      <c r="AK2" s="73" t="s">
        <v>27</v>
      </c>
      <c r="AL2" s="70" t="s">
        <v>215</v>
      </c>
    </row>
    <row r="3" spans="1:38">
      <c r="A3" s="4" t="s">
        <v>20</v>
      </c>
      <c r="B3" s="4" t="s">
        <v>19</v>
      </c>
      <c r="D3" s="1">
        <f>SUM('Sales TOTAL'!E2:AS2)</f>
        <v>457</v>
      </c>
      <c r="E3" s="5">
        <v>59.96</v>
      </c>
      <c r="F3" s="5">
        <f t="shared" ref="F3:F34" si="0">D3*E3</f>
        <v>27401.72</v>
      </c>
      <c r="G3" s="5">
        <v>79.95</v>
      </c>
      <c r="H3" s="5">
        <f t="shared" ref="H3:H56" si="1">D3*G3</f>
        <v>36537.15</v>
      </c>
      <c r="J3" s="1">
        <f>SUM('Sales TOTAL'!AT2:CT2)</f>
        <v>0</v>
      </c>
      <c r="K3" s="5">
        <v>59.96</v>
      </c>
      <c r="L3" s="5">
        <f t="shared" ref="L3:L34" si="2">J3*K3</f>
        <v>0</v>
      </c>
      <c r="M3" s="5">
        <v>79.95</v>
      </c>
      <c r="N3" s="5">
        <f t="shared" ref="N3:N56" si="3">J3*M3</f>
        <v>0</v>
      </c>
      <c r="P3" s="1">
        <f>SUM('Sales TOTAL'!CU2:ET2)</f>
        <v>0</v>
      </c>
      <c r="Q3" s="5">
        <v>59.96</v>
      </c>
      <c r="R3" s="5">
        <f t="shared" ref="R3:R34" si="4">P3*Q3</f>
        <v>0</v>
      </c>
      <c r="S3" s="5">
        <v>79.95</v>
      </c>
      <c r="T3" s="5">
        <f t="shared" ref="T3:T56" si="5">P3*S3</f>
        <v>0</v>
      </c>
      <c r="V3" s="1">
        <f>SUM('Sales TOTAL'!EU2:GT2)</f>
        <v>0</v>
      </c>
      <c r="W3" s="5">
        <v>59.96</v>
      </c>
      <c r="X3" s="5">
        <f t="shared" ref="X3:X34" si="6">V3*W3</f>
        <v>0</v>
      </c>
      <c r="Y3" s="5">
        <v>79.95</v>
      </c>
      <c r="Z3" s="5">
        <f t="shared" ref="Z3:Z56" si="7">V3*Y3</f>
        <v>0</v>
      </c>
      <c r="AB3" s="1">
        <f>SUM('Sales TOTAL'!GU2:HX2)</f>
        <v>0</v>
      </c>
      <c r="AC3" s="5">
        <v>59.96</v>
      </c>
      <c r="AD3" s="5">
        <f t="shared" ref="AD3:AD56" si="8">AB3*AC3</f>
        <v>0</v>
      </c>
      <c r="AE3" s="5">
        <v>79.95</v>
      </c>
      <c r="AF3" s="5">
        <f t="shared" ref="AF3:AF56" si="9">AB3*AE3</f>
        <v>0</v>
      </c>
      <c r="AH3" s="1">
        <f>D3+J3+P3+V3+AB3</f>
        <v>457</v>
      </c>
      <c r="AI3" s="5">
        <v>59.96</v>
      </c>
      <c r="AJ3" s="5">
        <f>F3+L3+R3+X3+AD3</f>
        <v>27401.72</v>
      </c>
      <c r="AK3" s="5">
        <v>79.95</v>
      </c>
      <c r="AL3" s="5">
        <f>H3+N3+T3+Z3+AF3</f>
        <v>36537.15</v>
      </c>
    </row>
    <row r="4" spans="1:38">
      <c r="A4" s="4" t="s">
        <v>12</v>
      </c>
      <c r="B4" s="4" t="s">
        <v>11</v>
      </c>
      <c r="D4" s="1">
        <f>SUM('Sales TOTAL'!E3:AS3)</f>
        <v>205</v>
      </c>
      <c r="E4" s="5">
        <v>29.99</v>
      </c>
      <c r="F4" s="5">
        <f t="shared" si="0"/>
        <v>6147.95</v>
      </c>
      <c r="G4" s="5">
        <v>39.950000000000003</v>
      </c>
      <c r="H4" s="5">
        <f t="shared" si="1"/>
        <v>8189.7500000000009</v>
      </c>
      <c r="J4" s="1">
        <f>SUM('Sales TOTAL'!AT3:CT3)</f>
        <v>238</v>
      </c>
      <c r="K4" s="5">
        <v>29.99</v>
      </c>
      <c r="L4" s="5">
        <f t="shared" si="2"/>
        <v>7137.62</v>
      </c>
      <c r="M4" s="5">
        <v>39.950000000000003</v>
      </c>
      <c r="N4" s="5">
        <f t="shared" si="3"/>
        <v>9508.1</v>
      </c>
      <c r="P4" s="1">
        <f>SUM('Sales TOTAL'!CU3:ET3)</f>
        <v>52</v>
      </c>
      <c r="Q4" s="5">
        <v>29.99</v>
      </c>
      <c r="R4" s="5">
        <f t="shared" si="4"/>
        <v>1559.48</v>
      </c>
      <c r="S4" s="5">
        <v>39.950000000000003</v>
      </c>
      <c r="T4" s="5">
        <f t="shared" si="5"/>
        <v>2077.4</v>
      </c>
      <c r="V4" s="1">
        <f>SUM('Sales TOTAL'!EU3:GT3)</f>
        <v>0</v>
      </c>
      <c r="W4" s="5">
        <v>29.99</v>
      </c>
      <c r="X4" s="5">
        <f t="shared" si="6"/>
        <v>0</v>
      </c>
      <c r="Y4" s="5">
        <v>39.950000000000003</v>
      </c>
      <c r="Z4" s="5">
        <f t="shared" si="7"/>
        <v>0</v>
      </c>
      <c r="AB4" s="1">
        <f>SUM('Sales TOTAL'!GU3:HX3)</f>
        <v>0</v>
      </c>
      <c r="AC4" s="5">
        <v>29.99</v>
      </c>
      <c r="AD4" s="5">
        <f t="shared" si="8"/>
        <v>0</v>
      </c>
      <c r="AE4" s="5">
        <v>39.950000000000003</v>
      </c>
      <c r="AF4" s="5">
        <f t="shared" si="9"/>
        <v>0</v>
      </c>
      <c r="AH4" s="1">
        <f t="shared" ref="AH4:AH57" si="10">D4+J4+P4+V4+AB4</f>
        <v>495</v>
      </c>
      <c r="AI4" s="5">
        <v>29.99</v>
      </c>
      <c r="AJ4" s="5">
        <f t="shared" ref="AJ4:AJ57" si="11">F4+L4+R4+X4+AD4</f>
        <v>14845.05</v>
      </c>
      <c r="AK4" s="5">
        <v>39.950000000000003</v>
      </c>
      <c r="AL4" s="5">
        <f t="shared" ref="AL4:AL57" si="12">H4+N4+T4+Z4+AF4</f>
        <v>19775.250000000004</v>
      </c>
    </row>
    <row r="5" spans="1:38">
      <c r="A5" s="4" t="s">
        <v>92</v>
      </c>
      <c r="B5" s="4" t="s">
        <v>15</v>
      </c>
      <c r="D5" s="1">
        <f>SUM('Sales TOTAL'!E4:AS4)</f>
        <v>394</v>
      </c>
      <c r="E5" s="5">
        <v>37.46</v>
      </c>
      <c r="F5" s="5">
        <f t="shared" si="0"/>
        <v>14759.24</v>
      </c>
      <c r="G5" s="5">
        <v>49.95</v>
      </c>
      <c r="H5" s="5">
        <f t="shared" si="1"/>
        <v>19680.300000000003</v>
      </c>
      <c r="J5" s="1">
        <f>SUM('Sales TOTAL'!AT4:CT4)</f>
        <v>211</v>
      </c>
      <c r="K5" s="5">
        <v>37.46</v>
      </c>
      <c r="L5" s="5">
        <f t="shared" si="2"/>
        <v>7904.06</v>
      </c>
      <c r="M5" s="5">
        <v>49.95</v>
      </c>
      <c r="N5" s="5">
        <f t="shared" si="3"/>
        <v>10539.45</v>
      </c>
      <c r="P5" s="1">
        <f>SUM('Sales TOTAL'!CU4:ET4)</f>
        <v>146</v>
      </c>
      <c r="Q5" s="5">
        <v>37.46</v>
      </c>
      <c r="R5" s="5">
        <f t="shared" si="4"/>
        <v>5469.16</v>
      </c>
      <c r="S5" s="5">
        <v>49.95</v>
      </c>
      <c r="T5" s="5">
        <f t="shared" si="5"/>
        <v>7292.7000000000007</v>
      </c>
      <c r="V5" s="1">
        <f>SUM('Sales TOTAL'!EU4:GT4)</f>
        <v>0</v>
      </c>
      <c r="W5" s="5">
        <v>37.46</v>
      </c>
      <c r="X5" s="5">
        <f t="shared" si="6"/>
        <v>0</v>
      </c>
      <c r="Y5" s="5">
        <v>49.95</v>
      </c>
      <c r="Z5" s="5">
        <f t="shared" si="7"/>
        <v>0</v>
      </c>
      <c r="AB5" s="1">
        <f>SUM('Sales TOTAL'!GU4:HX4)</f>
        <v>0</v>
      </c>
      <c r="AC5" s="5">
        <v>37.46</v>
      </c>
      <c r="AD5" s="5">
        <f t="shared" si="8"/>
        <v>0</v>
      </c>
      <c r="AE5" s="5">
        <v>49.95</v>
      </c>
      <c r="AF5" s="5">
        <f t="shared" si="9"/>
        <v>0</v>
      </c>
      <c r="AH5" s="1">
        <f t="shared" si="10"/>
        <v>751</v>
      </c>
      <c r="AI5" s="5">
        <v>37.46</v>
      </c>
      <c r="AJ5" s="5">
        <f t="shared" si="11"/>
        <v>28132.46</v>
      </c>
      <c r="AK5" s="5">
        <v>49.95</v>
      </c>
      <c r="AL5" s="5">
        <f t="shared" si="12"/>
        <v>37512.450000000004</v>
      </c>
    </row>
    <row r="6" spans="1:38">
      <c r="A6" s="4" t="s">
        <v>14</v>
      </c>
      <c r="B6" s="4" t="s">
        <v>13</v>
      </c>
      <c r="D6" s="1">
        <f>SUM('Sales TOTAL'!E5:AS5)</f>
        <v>43</v>
      </c>
      <c r="E6" s="5">
        <v>37.49</v>
      </c>
      <c r="F6" s="5">
        <f t="shared" si="0"/>
        <v>1612.0700000000002</v>
      </c>
      <c r="G6" s="5">
        <v>49.95</v>
      </c>
      <c r="H6" s="5">
        <f t="shared" si="1"/>
        <v>2147.85</v>
      </c>
      <c r="J6" s="1">
        <f>SUM('Sales TOTAL'!AT5:CT5)</f>
        <v>23</v>
      </c>
      <c r="K6" s="5">
        <v>37.49</v>
      </c>
      <c r="L6" s="5">
        <f t="shared" si="2"/>
        <v>862.2700000000001</v>
      </c>
      <c r="M6" s="5">
        <v>49.95</v>
      </c>
      <c r="N6" s="5">
        <f t="shared" si="3"/>
        <v>1148.8500000000001</v>
      </c>
      <c r="P6" s="1">
        <f>SUM('Sales TOTAL'!CU5:ET5)</f>
        <v>0</v>
      </c>
      <c r="Q6" s="5">
        <v>37.49</v>
      </c>
      <c r="R6" s="5">
        <f t="shared" si="4"/>
        <v>0</v>
      </c>
      <c r="S6" s="5">
        <v>49.95</v>
      </c>
      <c r="T6" s="5">
        <f t="shared" si="5"/>
        <v>0</v>
      </c>
      <c r="V6" s="1">
        <f>SUM('Sales TOTAL'!EU5:GT5)</f>
        <v>0</v>
      </c>
      <c r="W6" s="5">
        <v>37.49</v>
      </c>
      <c r="X6" s="5">
        <f t="shared" si="6"/>
        <v>0</v>
      </c>
      <c r="Y6" s="5">
        <v>49.95</v>
      </c>
      <c r="Z6" s="5">
        <f t="shared" si="7"/>
        <v>0</v>
      </c>
      <c r="AB6" s="1">
        <f>SUM('Sales TOTAL'!GU5:HX5)</f>
        <v>0</v>
      </c>
      <c r="AC6" s="5">
        <v>37.49</v>
      </c>
      <c r="AD6" s="5">
        <f t="shared" si="8"/>
        <v>0</v>
      </c>
      <c r="AE6" s="5">
        <v>49.95</v>
      </c>
      <c r="AF6" s="5">
        <f t="shared" si="9"/>
        <v>0</v>
      </c>
      <c r="AH6" s="1">
        <f t="shared" si="10"/>
        <v>66</v>
      </c>
      <c r="AI6" s="5">
        <v>37.49</v>
      </c>
      <c r="AJ6" s="5">
        <f t="shared" si="11"/>
        <v>2474.34</v>
      </c>
      <c r="AK6" s="5">
        <v>49.95</v>
      </c>
      <c r="AL6" s="5">
        <f t="shared" si="12"/>
        <v>3296.7</v>
      </c>
    </row>
    <row r="7" spans="1:38">
      <c r="A7" s="4" t="s">
        <v>3</v>
      </c>
      <c r="B7" s="4" t="s">
        <v>2</v>
      </c>
      <c r="D7" s="1">
        <f>SUM('Sales TOTAL'!E6:AS6)</f>
        <v>1111</v>
      </c>
      <c r="E7" s="5">
        <v>27.71</v>
      </c>
      <c r="F7" s="5">
        <f t="shared" si="0"/>
        <v>30785.81</v>
      </c>
      <c r="G7" s="5">
        <v>36.950000000000003</v>
      </c>
      <c r="H7" s="5">
        <f t="shared" si="1"/>
        <v>41051.450000000004</v>
      </c>
      <c r="J7" s="1">
        <f>SUM('Sales TOTAL'!AT6:CT6)</f>
        <v>0</v>
      </c>
      <c r="K7" s="5">
        <v>27.71</v>
      </c>
      <c r="L7" s="5">
        <f t="shared" si="2"/>
        <v>0</v>
      </c>
      <c r="M7" s="5">
        <v>36.950000000000003</v>
      </c>
      <c r="N7" s="5">
        <f t="shared" si="3"/>
        <v>0</v>
      </c>
      <c r="P7" s="1">
        <f>SUM('Sales TOTAL'!CU6:ET6)</f>
        <v>0</v>
      </c>
      <c r="Q7" s="5">
        <v>27.71</v>
      </c>
      <c r="R7" s="5">
        <f t="shared" si="4"/>
        <v>0</v>
      </c>
      <c r="S7" s="5">
        <v>36.950000000000003</v>
      </c>
      <c r="T7" s="5">
        <f t="shared" si="5"/>
        <v>0</v>
      </c>
      <c r="V7" s="1">
        <f>SUM('Sales TOTAL'!EU6:GT6)</f>
        <v>0</v>
      </c>
      <c r="W7" s="5">
        <v>27.71</v>
      </c>
      <c r="X7" s="5">
        <f t="shared" si="6"/>
        <v>0</v>
      </c>
      <c r="Y7" s="5">
        <v>36.950000000000003</v>
      </c>
      <c r="Z7" s="5">
        <f t="shared" si="7"/>
        <v>0</v>
      </c>
      <c r="AB7" s="1">
        <f>SUM('Sales TOTAL'!GU6:HX6)</f>
        <v>0</v>
      </c>
      <c r="AC7" s="5">
        <v>27.71</v>
      </c>
      <c r="AD7" s="5">
        <f t="shared" si="8"/>
        <v>0</v>
      </c>
      <c r="AE7" s="5">
        <v>36.950000000000003</v>
      </c>
      <c r="AF7" s="5">
        <f t="shared" si="9"/>
        <v>0</v>
      </c>
      <c r="AH7" s="1">
        <f t="shared" si="10"/>
        <v>1111</v>
      </c>
      <c r="AI7" s="5">
        <v>27.71</v>
      </c>
      <c r="AJ7" s="5">
        <f t="shared" si="11"/>
        <v>30785.81</v>
      </c>
      <c r="AK7" s="5">
        <v>36.950000000000003</v>
      </c>
      <c r="AL7" s="5">
        <f t="shared" si="12"/>
        <v>41051.450000000004</v>
      </c>
    </row>
    <row r="8" spans="1:38">
      <c r="A8" s="4" t="s">
        <v>18</v>
      </c>
      <c r="B8" s="4" t="s">
        <v>17</v>
      </c>
      <c r="D8" s="1">
        <f>SUM('Sales TOTAL'!E7:AS7)</f>
        <v>421</v>
      </c>
      <c r="E8" s="5">
        <v>37.46</v>
      </c>
      <c r="F8" s="5">
        <f t="shared" si="0"/>
        <v>15770.66</v>
      </c>
      <c r="G8" s="5">
        <v>49.95</v>
      </c>
      <c r="H8" s="5">
        <f t="shared" si="1"/>
        <v>21028.95</v>
      </c>
      <c r="J8" s="1">
        <f>SUM('Sales TOTAL'!AT7:CT7)</f>
        <v>858</v>
      </c>
      <c r="K8" s="5">
        <v>37.46</v>
      </c>
      <c r="L8" s="5">
        <f t="shared" si="2"/>
        <v>32140.68</v>
      </c>
      <c r="M8" s="5">
        <v>49.95</v>
      </c>
      <c r="N8" s="5">
        <f t="shared" si="3"/>
        <v>42857.100000000006</v>
      </c>
      <c r="P8" s="1">
        <f>SUM('Sales TOTAL'!CU7:ET7)</f>
        <v>532</v>
      </c>
      <c r="Q8" s="5">
        <v>37.46</v>
      </c>
      <c r="R8" s="5">
        <f t="shared" si="4"/>
        <v>19928.72</v>
      </c>
      <c r="S8" s="5">
        <v>49.95</v>
      </c>
      <c r="T8" s="5">
        <f t="shared" si="5"/>
        <v>26573.4</v>
      </c>
      <c r="V8" s="1">
        <f>SUM('Sales TOTAL'!EU7:GT7)</f>
        <v>0</v>
      </c>
      <c r="W8" s="5">
        <v>37.46</v>
      </c>
      <c r="X8" s="5">
        <f t="shared" si="6"/>
        <v>0</v>
      </c>
      <c r="Y8" s="5">
        <v>49.95</v>
      </c>
      <c r="Z8" s="5">
        <f t="shared" si="7"/>
        <v>0</v>
      </c>
      <c r="AB8" s="1">
        <f>SUM('Sales TOTAL'!GU7:HX7)</f>
        <v>0</v>
      </c>
      <c r="AC8" s="5">
        <v>37.46</v>
      </c>
      <c r="AD8" s="5">
        <f t="shared" si="8"/>
        <v>0</v>
      </c>
      <c r="AE8" s="5">
        <v>49.95</v>
      </c>
      <c r="AF8" s="5">
        <f t="shared" si="9"/>
        <v>0</v>
      </c>
      <c r="AH8" s="1">
        <f t="shared" si="10"/>
        <v>1811</v>
      </c>
      <c r="AI8" s="5">
        <v>37.46</v>
      </c>
      <c r="AJ8" s="5">
        <f t="shared" si="11"/>
        <v>67840.06</v>
      </c>
      <c r="AK8" s="5">
        <v>49.95</v>
      </c>
      <c r="AL8" s="5">
        <f t="shared" si="12"/>
        <v>90459.450000000012</v>
      </c>
    </row>
    <row r="9" spans="1:38">
      <c r="A9" s="4" t="s">
        <v>9</v>
      </c>
      <c r="B9" s="4" t="s">
        <v>8</v>
      </c>
      <c r="D9" s="1">
        <f>SUM('Sales TOTAL'!E8:AS8)</f>
        <v>456</v>
      </c>
      <c r="E9" s="5">
        <v>27.71</v>
      </c>
      <c r="F9" s="5">
        <f t="shared" si="0"/>
        <v>12635.76</v>
      </c>
      <c r="G9" s="5">
        <v>36.950000000000003</v>
      </c>
      <c r="H9" s="5">
        <f t="shared" si="1"/>
        <v>16849.2</v>
      </c>
      <c r="J9" s="1">
        <f>SUM('Sales TOTAL'!AT8:CT8)</f>
        <v>15</v>
      </c>
      <c r="K9" s="5">
        <v>27.71</v>
      </c>
      <c r="L9" s="5">
        <f t="shared" si="2"/>
        <v>415.65000000000003</v>
      </c>
      <c r="M9" s="5">
        <v>36.950000000000003</v>
      </c>
      <c r="N9" s="5">
        <f t="shared" si="3"/>
        <v>554.25</v>
      </c>
      <c r="P9" s="1">
        <f>SUM('Sales TOTAL'!CU8:ET8)</f>
        <v>0</v>
      </c>
      <c r="Q9" s="5">
        <v>27.71</v>
      </c>
      <c r="R9" s="5">
        <f t="shared" si="4"/>
        <v>0</v>
      </c>
      <c r="S9" s="5">
        <v>36.950000000000003</v>
      </c>
      <c r="T9" s="5">
        <f t="shared" si="5"/>
        <v>0</v>
      </c>
      <c r="V9" s="1">
        <f>SUM('Sales TOTAL'!EU8:GT8)</f>
        <v>0</v>
      </c>
      <c r="W9" s="5">
        <v>27.71</v>
      </c>
      <c r="X9" s="5">
        <f t="shared" si="6"/>
        <v>0</v>
      </c>
      <c r="Y9" s="5">
        <v>36.950000000000003</v>
      </c>
      <c r="Z9" s="5">
        <f t="shared" si="7"/>
        <v>0</v>
      </c>
      <c r="AB9" s="1">
        <f>SUM('Sales TOTAL'!GU8:HX8)</f>
        <v>0</v>
      </c>
      <c r="AC9" s="5">
        <v>27.71</v>
      </c>
      <c r="AD9" s="5">
        <f t="shared" si="8"/>
        <v>0</v>
      </c>
      <c r="AE9" s="5">
        <v>36.950000000000003</v>
      </c>
      <c r="AF9" s="5">
        <f t="shared" si="9"/>
        <v>0</v>
      </c>
      <c r="AH9" s="1">
        <f t="shared" si="10"/>
        <v>471</v>
      </c>
      <c r="AI9" s="5">
        <v>27.71</v>
      </c>
      <c r="AJ9" s="5">
        <f t="shared" si="11"/>
        <v>13051.41</v>
      </c>
      <c r="AK9" s="5">
        <v>36.950000000000003</v>
      </c>
      <c r="AL9" s="5">
        <f t="shared" si="12"/>
        <v>17403.45</v>
      </c>
    </row>
    <row r="10" spans="1:38">
      <c r="A10" s="4" t="s">
        <v>7</v>
      </c>
      <c r="B10" s="4" t="s">
        <v>6</v>
      </c>
      <c r="D10" s="1">
        <f>SUM('Sales TOTAL'!E9:AS9)</f>
        <v>665</v>
      </c>
      <c r="E10" s="5">
        <v>27.71</v>
      </c>
      <c r="F10" s="5">
        <f t="shared" si="0"/>
        <v>18427.150000000001</v>
      </c>
      <c r="G10" s="5">
        <v>36.950000000000003</v>
      </c>
      <c r="H10" s="5">
        <f t="shared" si="1"/>
        <v>24571.750000000004</v>
      </c>
      <c r="J10" s="1">
        <f>SUM('Sales TOTAL'!AT9:CT9)</f>
        <v>70</v>
      </c>
      <c r="K10" s="5">
        <v>27.71</v>
      </c>
      <c r="L10" s="5">
        <f t="shared" si="2"/>
        <v>1939.7</v>
      </c>
      <c r="M10" s="5">
        <v>36.950000000000003</v>
      </c>
      <c r="N10" s="5">
        <f t="shared" si="3"/>
        <v>2586.5</v>
      </c>
      <c r="P10" s="1">
        <f>SUM('Sales TOTAL'!CU9:ET9)</f>
        <v>5</v>
      </c>
      <c r="Q10" s="5">
        <v>27.71</v>
      </c>
      <c r="R10" s="5">
        <f t="shared" si="4"/>
        <v>138.55000000000001</v>
      </c>
      <c r="S10" s="5">
        <v>36.950000000000003</v>
      </c>
      <c r="T10" s="5">
        <f t="shared" si="5"/>
        <v>184.75</v>
      </c>
      <c r="V10" s="1">
        <f>SUM('Sales TOTAL'!EU9:GT9)</f>
        <v>0</v>
      </c>
      <c r="W10" s="5">
        <v>27.71</v>
      </c>
      <c r="X10" s="5">
        <f t="shared" si="6"/>
        <v>0</v>
      </c>
      <c r="Y10" s="5">
        <v>36.950000000000003</v>
      </c>
      <c r="Z10" s="5">
        <f t="shared" si="7"/>
        <v>0</v>
      </c>
      <c r="AB10" s="1">
        <f>SUM('Sales TOTAL'!GU9:HX9)</f>
        <v>0</v>
      </c>
      <c r="AC10" s="5">
        <v>27.71</v>
      </c>
      <c r="AD10" s="5">
        <f t="shared" si="8"/>
        <v>0</v>
      </c>
      <c r="AE10" s="5">
        <v>36.950000000000003</v>
      </c>
      <c r="AF10" s="5">
        <f t="shared" si="9"/>
        <v>0</v>
      </c>
      <c r="AH10" s="1">
        <f t="shared" si="10"/>
        <v>740</v>
      </c>
      <c r="AI10" s="5">
        <v>27.71</v>
      </c>
      <c r="AJ10" s="5">
        <f t="shared" si="11"/>
        <v>20505.400000000001</v>
      </c>
      <c r="AK10" s="5">
        <v>36.950000000000003</v>
      </c>
      <c r="AL10" s="5">
        <f t="shared" si="12"/>
        <v>27343.000000000004</v>
      </c>
    </row>
    <row r="11" spans="1:38">
      <c r="A11" s="4" t="s">
        <v>5</v>
      </c>
      <c r="B11" s="4" t="s">
        <v>4</v>
      </c>
      <c r="D11" s="1">
        <f>SUM('Sales TOTAL'!E10:AS10)</f>
        <v>347</v>
      </c>
      <c r="E11" s="5">
        <v>27.71</v>
      </c>
      <c r="F11" s="5">
        <f t="shared" si="0"/>
        <v>9615.3700000000008</v>
      </c>
      <c r="G11" s="5">
        <v>36.950000000000003</v>
      </c>
      <c r="H11" s="5">
        <f t="shared" si="1"/>
        <v>12821.650000000001</v>
      </c>
      <c r="J11" s="1">
        <f>SUM('Sales TOTAL'!AT10:CT10)</f>
        <v>8</v>
      </c>
      <c r="K11" s="5">
        <v>27.71</v>
      </c>
      <c r="L11" s="5">
        <f t="shared" si="2"/>
        <v>221.68</v>
      </c>
      <c r="M11" s="5">
        <v>36.950000000000003</v>
      </c>
      <c r="N11" s="5">
        <f t="shared" si="3"/>
        <v>295.60000000000002</v>
      </c>
      <c r="P11" s="1">
        <f>SUM('Sales TOTAL'!CU10:ET10)</f>
        <v>0</v>
      </c>
      <c r="Q11" s="5">
        <v>27.71</v>
      </c>
      <c r="R11" s="5">
        <f t="shared" si="4"/>
        <v>0</v>
      </c>
      <c r="S11" s="5">
        <v>36.950000000000003</v>
      </c>
      <c r="T11" s="5">
        <f t="shared" si="5"/>
        <v>0</v>
      </c>
      <c r="V11" s="1">
        <f>SUM('Sales TOTAL'!EU10:GT10)</f>
        <v>0</v>
      </c>
      <c r="W11" s="5">
        <v>27.71</v>
      </c>
      <c r="X11" s="5">
        <f t="shared" si="6"/>
        <v>0</v>
      </c>
      <c r="Y11" s="5">
        <v>36.950000000000003</v>
      </c>
      <c r="Z11" s="5">
        <f t="shared" si="7"/>
        <v>0</v>
      </c>
      <c r="AB11" s="1">
        <f>SUM('Sales TOTAL'!GU10:HX10)</f>
        <v>0</v>
      </c>
      <c r="AC11" s="5">
        <v>27.71</v>
      </c>
      <c r="AD11" s="5">
        <f t="shared" si="8"/>
        <v>0</v>
      </c>
      <c r="AE11" s="5">
        <v>36.950000000000003</v>
      </c>
      <c r="AF11" s="5">
        <f t="shared" si="9"/>
        <v>0</v>
      </c>
      <c r="AH11" s="1">
        <f t="shared" si="10"/>
        <v>355</v>
      </c>
      <c r="AI11" s="5">
        <v>27.71</v>
      </c>
      <c r="AJ11" s="5">
        <f t="shared" si="11"/>
        <v>9837.0500000000011</v>
      </c>
      <c r="AK11" s="5">
        <v>36.950000000000003</v>
      </c>
      <c r="AL11" s="5">
        <f t="shared" si="12"/>
        <v>13117.250000000002</v>
      </c>
    </row>
    <row r="12" spans="1:38">
      <c r="A12" s="4" t="s">
        <v>133</v>
      </c>
      <c r="B12" s="4" t="s">
        <v>130</v>
      </c>
      <c r="D12" s="1">
        <f>SUM('Sales TOTAL'!E11:AS11)</f>
        <v>625</v>
      </c>
      <c r="E12" s="5">
        <v>37.49</v>
      </c>
      <c r="F12" s="5">
        <f t="shared" si="0"/>
        <v>23431.25</v>
      </c>
      <c r="G12" s="5">
        <v>49.95</v>
      </c>
      <c r="H12" s="5">
        <f t="shared" si="1"/>
        <v>31218.75</v>
      </c>
      <c r="J12" s="1">
        <f>SUM('Sales TOTAL'!AT11:CT11)</f>
        <v>204</v>
      </c>
      <c r="K12" s="5">
        <v>37.49</v>
      </c>
      <c r="L12" s="5">
        <f t="shared" si="2"/>
        <v>7647.96</v>
      </c>
      <c r="M12" s="5">
        <v>49.95</v>
      </c>
      <c r="N12" s="5">
        <f t="shared" si="3"/>
        <v>10189.800000000001</v>
      </c>
      <c r="P12" s="1">
        <f>SUM('Sales TOTAL'!CU11:ET11)</f>
        <v>298</v>
      </c>
      <c r="Q12" s="5">
        <v>37.49</v>
      </c>
      <c r="R12" s="5">
        <f t="shared" si="4"/>
        <v>11172.02</v>
      </c>
      <c r="S12" s="5">
        <v>49.95</v>
      </c>
      <c r="T12" s="5">
        <f t="shared" si="5"/>
        <v>14885.1</v>
      </c>
      <c r="V12" s="1">
        <f>SUM('Sales TOTAL'!EU11:GT11)</f>
        <v>0</v>
      </c>
      <c r="W12" s="5">
        <v>37.49</v>
      </c>
      <c r="X12" s="5">
        <f t="shared" si="6"/>
        <v>0</v>
      </c>
      <c r="Y12" s="5">
        <v>49.95</v>
      </c>
      <c r="Z12" s="5">
        <f t="shared" si="7"/>
        <v>0</v>
      </c>
      <c r="AB12" s="1">
        <f>SUM('Sales TOTAL'!GU11:HX11)</f>
        <v>0</v>
      </c>
      <c r="AC12" s="5">
        <v>37.49</v>
      </c>
      <c r="AD12" s="5">
        <f t="shared" si="8"/>
        <v>0</v>
      </c>
      <c r="AE12" s="5">
        <v>49.95</v>
      </c>
      <c r="AF12" s="5">
        <f t="shared" si="9"/>
        <v>0</v>
      </c>
      <c r="AH12" s="1">
        <f t="shared" si="10"/>
        <v>1127</v>
      </c>
      <c r="AI12" s="5">
        <v>37.49</v>
      </c>
      <c r="AJ12" s="5">
        <f t="shared" si="11"/>
        <v>42251.229999999996</v>
      </c>
      <c r="AK12" s="5">
        <v>49.95</v>
      </c>
      <c r="AL12" s="5">
        <f t="shared" si="12"/>
        <v>56293.65</v>
      </c>
    </row>
    <row r="13" spans="1:38">
      <c r="A13" s="4" t="s">
        <v>49</v>
      </c>
      <c r="B13" s="4" t="s">
        <v>47</v>
      </c>
      <c r="D13" s="1">
        <f>SUM('Sales TOTAL'!E12:AS12)</f>
        <v>230</v>
      </c>
      <c r="E13" s="5">
        <v>37.46</v>
      </c>
      <c r="F13" s="5">
        <f t="shared" si="0"/>
        <v>8615.8000000000011</v>
      </c>
      <c r="G13" s="5">
        <v>49.95</v>
      </c>
      <c r="H13" s="5">
        <f t="shared" si="1"/>
        <v>11488.5</v>
      </c>
      <c r="J13" s="1">
        <f>SUM('Sales TOTAL'!AT12:CT12)</f>
        <v>2332</v>
      </c>
      <c r="K13" s="5">
        <v>37.46</v>
      </c>
      <c r="L13" s="5">
        <f t="shared" si="2"/>
        <v>87356.72</v>
      </c>
      <c r="M13" s="5">
        <v>49.95</v>
      </c>
      <c r="N13" s="5">
        <f t="shared" si="3"/>
        <v>116483.40000000001</v>
      </c>
      <c r="P13" s="1">
        <f>SUM('Sales TOTAL'!CU12:ET12)</f>
        <v>0</v>
      </c>
      <c r="Q13" s="5">
        <v>37.46</v>
      </c>
      <c r="R13" s="5">
        <f t="shared" si="4"/>
        <v>0</v>
      </c>
      <c r="S13" s="5">
        <v>49.95</v>
      </c>
      <c r="T13" s="5">
        <f t="shared" si="5"/>
        <v>0</v>
      </c>
      <c r="V13" s="1">
        <f>SUM('Sales TOTAL'!EU12:GT12)</f>
        <v>0</v>
      </c>
      <c r="W13" s="5">
        <v>37.46</v>
      </c>
      <c r="X13" s="5">
        <f t="shared" si="6"/>
        <v>0</v>
      </c>
      <c r="Y13" s="5">
        <v>49.95</v>
      </c>
      <c r="Z13" s="5">
        <f t="shared" si="7"/>
        <v>0</v>
      </c>
      <c r="AB13" s="1">
        <f>SUM('Sales TOTAL'!GU12:HX12)</f>
        <v>0</v>
      </c>
      <c r="AC13" s="5">
        <v>37.46</v>
      </c>
      <c r="AD13" s="5">
        <f t="shared" si="8"/>
        <v>0</v>
      </c>
      <c r="AE13" s="5">
        <v>49.95</v>
      </c>
      <c r="AF13" s="5">
        <f t="shared" si="9"/>
        <v>0</v>
      </c>
      <c r="AH13" s="1">
        <f t="shared" si="10"/>
        <v>2562</v>
      </c>
      <c r="AI13" s="5">
        <v>37.46</v>
      </c>
      <c r="AJ13" s="5">
        <f t="shared" si="11"/>
        <v>95972.52</v>
      </c>
      <c r="AK13" s="5">
        <v>49.95</v>
      </c>
      <c r="AL13" s="5">
        <f t="shared" si="12"/>
        <v>127971.90000000001</v>
      </c>
    </row>
    <row r="14" spans="1:38">
      <c r="A14" s="4" t="s">
        <v>50</v>
      </c>
      <c r="B14" s="4" t="s">
        <v>48</v>
      </c>
      <c r="D14" s="1">
        <f>SUM('Sales TOTAL'!E13:AS13)</f>
        <v>160</v>
      </c>
      <c r="E14" s="5">
        <v>74.959999999999994</v>
      </c>
      <c r="F14" s="5">
        <f t="shared" si="0"/>
        <v>11993.599999999999</v>
      </c>
      <c r="G14" s="5">
        <v>99.95</v>
      </c>
      <c r="H14" s="5">
        <f t="shared" si="1"/>
        <v>15992</v>
      </c>
      <c r="J14" s="1">
        <f>SUM('Sales TOTAL'!AT13:CT13)</f>
        <v>2908</v>
      </c>
      <c r="K14" s="5">
        <v>74.959999999999994</v>
      </c>
      <c r="L14" s="5">
        <f t="shared" si="2"/>
        <v>217983.68</v>
      </c>
      <c r="M14" s="5">
        <v>99.95</v>
      </c>
      <c r="N14" s="5">
        <f t="shared" si="3"/>
        <v>290654.60000000003</v>
      </c>
      <c r="P14" s="1">
        <f>SUM('Sales TOTAL'!CU13:ET13)</f>
        <v>4</v>
      </c>
      <c r="Q14" s="5">
        <v>74.959999999999994</v>
      </c>
      <c r="R14" s="5">
        <f t="shared" si="4"/>
        <v>299.83999999999997</v>
      </c>
      <c r="S14" s="5">
        <v>99.95</v>
      </c>
      <c r="T14" s="5">
        <f t="shared" si="5"/>
        <v>399.8</v>
      </c>
      <c r="V14" s="1">
        <f>SUM('Sales TOTAL'!EU13:GT13)</f>
        <v>0</v>
      </c>
      <c r="W14" s="5">
        <v>74.959999999999994</v>
      </c>
      <c r="X14" s="5">
        <f t="shared" si="6"/>
        <v>0</v>
      </c>
      <c r="Y14" s="5">
        <v>99.95</v>
      </c>
      <c r="Z14" s="5">
        <f t="shared" si="7"/>
        <v>0</v>
      </c>
      <c r="AB14" s="1">
        <f>SUM('Sales TOTAL'!GU13:HX13)</f>
        <v>0</v>
      </c>
      <c r="AC14" s="5">
        <v>74.959999999999994</v>
      </c>
      <c r="AD14" s="5">
        <f t="shared" si="8"/>
        <v>0</v>
      </c>
      <c r="AE14" s="5">
        <v>99.95</v>
      </c>
      <c r="AF14" s="5">
        <f t="shared" si="9"/>
        <v>0</v>
      </c>
      <c r="AH14" s="1">
        <f t="shared" si="10"/>
        <v>3072</v>
      </c>
      <c r="AI14" s="5">
        <v>74.959999999999994</v>
      </c>
      <c r="AJ14" s="5">
        <f t="shared" si="11"/>
        <v>230277.12</v>
      </c>
      <c r="AK14" s="5">
        <v>99.95</v>
      </c>
      <c r="AL14" s="5">
        <f t="shared" si="12"/>
        <v>307046.40000000002</v>
      </c>
    </row>
    <row r="15" spans="1:38">
      <c r="A15" s="4" t="s">
        <v>55</v>
      </c>
      <c r="B15" s="4" t="s">
        <v>79</v>
      </c>
      <c r="D15" s="1">
        <f>SUM('Sales TOTAL'!E14:AS14)</f>
        <v>0</v>
      </c>
      <c r="E15" s="5">
        <v>37.46</v>
      </c>
      <c r="F15" s="5">
        <f t="shared" si="0"/>
        <v>0</v>
      </c>
      <c r="G15" s="5">
        <v>49.95</v>
      </c>
      <c r="H15" s="5">
        <f t="shared" si="1"/>
        <v>0</v>
      </c>
      <c r="J15" s="1">
        <f>SUM('Sales TOTAL'!AT14:CT14)</f>
        <v>408</v>
      </c>
      <c r="K15" s="5">
        <v>37.46</v>
      </c>
      <c r="L15" s="5">
        <f t="shared" si="2"/>
        <v>15283.68</v>
      </c>
      <c r="M15" s="5">
        <v>49.95</v>
      </c>
      <c r="N15" s="5">
        <f t="shared" si="3"/>
        <v>20379.600000000002</v>
      </c>
      <c r="P15" s="1">
        <f>SUM('Sales TOTAL'!CU14:ET14)</f>
        <v>213</v>
      </c>
      <c r="Q15" s="5">
        <v>37.46</v>
      </c>
      <c r="R15" s="5">
        <f t="shared" si="4"/>
        <v>7978.9800000000005</v>
      </c>
      <c r="S15" s="5">
        <v>49.95</v>
      </c>
      <c r="T15" s="5">
        <f t="shared" si="5"/>
        <v>10639.35</v>
      </c>
      <c r="V15" s="1">
        <f>SUM('Sales TOTAL'!EU14:GT14)</f>
        <v>0</v>
      </c>
      <c r="W15" s="5">
        <v>37.46</v>
      </c>
      <c r="X15" s="5">
        <f t="shared" si="6"/>
        <v>0</v>
      </c>
      <c r="Y15" s="5">
        <v>49.95</v>
      </c>
      <c r="Z15" s="5">
        <f t="shared" si="7"/>
        <v>0</v>
      </c>
      <c r="AB15" s="1">
        <f>SUM('Sales TOTAL'!GU14:HX14)</f>
        <v>0</v>
      </c>
      <c r="AC15" s="5">
        <v>37.46</v>
      </c>
      <c r="AD15" s="5">
        <f t="shared" si="8"/>
        <v>0</v>
      </c>
      <c r="AE15" s="5">
        <v>49.95</v>
      </c>
      <c r="AF15" s="5">
        <f t="shared" si="9"/>
        <v>0</v>
      </c>
      <c r="AH15" s="1">
        <f t="shared" si="10"/>
        <v>621</v>
      </c>
      <c r="AI15" s="5">
        <v>37.46</v>
      </c>
      <c r="AJ15" s="5">
        <f t="shared" si="11"/>
        <v>23262.66</v>
      </c>
      <c r="AK15" s="5">
        <v>49.95</v>
      </c>
      <c r="AL15" s="5">
        <f t="shared" si="12"/>
        <v>31018.950000000004</v>
      </c>
    </row>
    <row r="16" spans="1:38">
      <c r="A16" s="4" t="s">
        <v>56</v>
      </c>
      <c r="B16" s="4" t="s">
        <v>80</v>
      </c>
      <c r="D16" s="1">
        <f>SUM('Sales TOTAL'!E15:AS15)</f>
        <v>0</v>
      </c>
      <c r="E16" s="5">
        <v>37.46</v>
      </c>
      <c r="F16" s="5">
        <f t="shared" si="0"/>
        <v>0</v>
      </c>
      <c r="G16" s="5">
        <v>49.95</v>
      </c>
      <c r="H16" s="5">
        <f t="shared" si="1"/>
        <v>0</v>
      </c>
      <c r="J16" s="1">
        <f>SUM('Sales TOTAL'!AT15:CT15)</f>
        <v>271</v>
      </c>
      <c r="K16" s="5">
        <v>37.46</v>
      </c>
      <c r="L16" s="5">
        <f t="shared" si="2"/>
        <v>10151.66</v>
      </c>
      <c r="M16" s="5">
        <v>49.95</v>
      </c>
      <c r="N16" s="5">
        <f t="shared" si="3"/>
        <v>13536.45</v>
      </c>
      <c r="P16" s="1">
        <f>SUM('Sales TOTAL'!CU15:ET15)</f>
        <v>157</v>
      </c>
      <c r="Q16" s="5">
        <v>37.46</v>
      </c>
      <c r="R16" s="5">
        <f t="shared" si="4"/>
        <v>5881.22</v>
      </c>
      <c r="S16" s="5">
        <v>49.95</v>
      </c>
      <c r="T16" s="5">
        <f t="shared" si="5"/>
        <v>7842.1500000000005</v>
      </c>
      <c r="V16" s="1">
        <f>SUM('Sales TOTAL'!EU15:GT15)</f>
        <v>0</v>
      </c>
      <c r="W16" s="5">
        <v>37.46</v>
      </c>
      <c r="X16" s="5">
        <f t="shared" si="6"/>
        <v>0</v>
      </c>
      <c r="Y16" s="5">
        <v>49.95</v>
      </c>
      <c r="Z16" s="5">
        <f t="shared" si="7"/>
        <v>0</v>
      </c>
      <c r="AB16" s="1">
        <f>SUM('Sales TOTAL'!GU15:HX15)</f>
        <v>0</v>
      </c>
      <c r="AC16" s="5">
        <v>37.46</v>
      </c>
      <c r="AD16" s="5">
        <f t="shared" si="8"/>
        <v>0</v>
      </c>
      <c r="AE16" s="5">
        <v>49.95</v>
      </c>
      <c r="AF16" s="5">
        <f t="shared" si="9"/>
        <v>0</v>
      </c>
      <c r="AH16" s="1">
        <f t="shared" si="10"/>
        <v>428</v>
      </c>
      <c r="AI16" s="5">
        <v>37.46</v>
      </c>
      <c r="AJ16" s="5">
        <f t="shared" si="11"/>
        <v>16032.880000000001</v>
      </c>
      <c r="AK16" s="5">
        <v>49.95</v>
      </c>
      <c r="AL16" s="5">
        <f t="shared" si="12"/>
        <v>21378.600000000002</v>
      </c>
    </row>
    <row r="17" spans="1:38">
      <c r="A17" s="4" t="s">
        <v>57</v>
      </c>
      <c r="B17" s="4" t="s">
        <v>81</v>
      </c>
      <c r="D17" s="1">
        <f>SUM('Sales TOTAL'!E16:AS16)</f>
        <v>0</v>
      </c>
      <c r="E17" s="5">
        <v>37.46</v>
      </c>
      <c r="F17" s="5">
        <f t="shared" si="0"/>
        <v>0</v>
      </c>
      <c r="G17" s="5">
        <v>49.95</v>
      </c>
      <c r="H17" s="5">
        <f t="shared" si="1"/>
        <v>0</v>
      </c>
      <c r="J17" s="1">
        <f>SUM('Sales TOTAL'!AT16:CT16)</f>
        <v>109</v>
      </c>
      <c r="K17" s="5">
        <v>37.46</v>
      </c>
      <c r="L17" s="5">
        <f t="shared" si="2"/>
        <v>4083.14</v>
      </c>
      <c r="M17" s="5">
        <v>49.95</v>
      </c>
      <c r="N17" s="5">
        <f t="shared" si="3"/>
        <v>5444.55</v>
      </c>
      <c r="P17" s="1">
        <f>SUM('Sales TOTAL'!CU16:ET16)</f>
        <v>51</v>
      </c>
      <c r="Q17" s="5">
        <v>37.46</v>
      </c>
      <c r="R17" s="5">
        <f t="shared" si="4"/>
        <v>1910.46</v>
      </c>
      <c r="S17" s="5">
        <v>49.95</v>
      </c>
      <c r="T17" s="5">
        <f t="shared" si="5"/>
        <v>2547.4500000000003</v>
      </c>
      <c r="V17" s="1">
        <f>SUM('Sales TOTAL'!EU16:GT16)</f>
        <v>0</v>
      </c>
      <c r="W17" s="5">
        <v>37.46</v>
      </c>
      <c r="X17" s="5">
        <f t="shared" si="6"/>
        <v>0</v>
      </c>
      <c r="Y17" s="5">
        <v>49.95</v>
      </c>
      <c r="Z17" s="5">
        <f t="shared" si="7"/>
        <v>0</v>
      </c>
      <c r="AB17" s="1">
        <f>SUM('Sales TOTAL'!GU16:HX16)</f>
        <v>0</v>
      </c>
      <c r="AC17" s="5">
        <v>37.46</v>
      </c>
      <c r="AD17" s="5">
        <f t="shared" si="8"/>
        <v>0</v>
      </c>
      <c r="AE17" s="5">
        <v>49.95</v>
      </c>
      <c r="AF17" s="5">
        <f t="shared" si="9"/>
        <v>0</v>
      </c>
      <c r="AH17" s="1">
        <f t="shared" si="10"/>
        <v>160</v>
      </c>
      <c r="AI17" s="5">
        <v>37.46</v>
      </c>
      <c r="AJ17" s="5">
        <f t="shared" si="11"/>
        <v>5993.6</v>
      </c>
      <c r="AK17" s="5">
        <v>49.95</v>
      </c>
      <c r="AL17" s="5">
        <f t="shared" si="12"/>
        <v>7992</v>
      </c>
    </row>
    <row r="18" spans="1:38">
      <c r="A18" s="4" t="s">
        <v>58</v>
      </c>
      <c r="B18" s="4" t="s">
        <v>82</v>
      </c>
      <c r="D18" s="1">
        <f>SUM('Sales TOTAL'!E17:AS17)</f>
        <v>0</v>
      </c>
      <c r="E18" s="5">
        <v>22.46</v>
      </c>
      <c r="F18" s="5">
        <f t="shared" si="0"/>
        <v>0</v>
      </c>
      <c r="G18" s="5">
        <v>29.95</v>
      </c>
      <c r="H18" s="5">
        <f t="shared" si="1"/>
        <v>0</v>
      </c>
      <c r="J18" s="1">
        <f>SUM('Sales TOTAL'!AT17:CT17)</f>
        <v>521</v>
      </c>
      <c r="K18" s="5">
        <v>22.46</v>
      </c>
      <c r="L18" s="5">
        <f t="shared" si="2"/>
        <v>11701.66</v>
      </c>
      <c r="M18" s="5">
        <v>29.95</v>
      </c>
      <c r="N18" s="5">
        <f t="shared" si="3"/>
        <v>15603.949999999999</v>
      </c>
      <c r="P18" s="1">
        <f>SUM('Sales TOTAL'!CU17:ET17)</f>
        <v>313</v>
      </c>
      <c r="Q18" s="5">
        <v>22.46</v>
      </c>
      <c r="R18" s="5">
        <f t="shared" si="4"/>
        <v>7029.9800000000005</v>
      </c>
      <c r="S18" s="5">
        <v>29.95</v>
      </c>
      <c r="T18" s="5">
        <f t="shared" si="5"/>
        <v>9374.35</v>
      </c>
      <c r="V18" s="1">
        <f>SUM('Sales TOTAL'!EU17:GT17)</f>
        <v>14</v>
      </c>
      <c r="W18" s="5">
        <v>22.46</v>
      </c>
      <c r="X18" s="5">
        <f t="shared" si="6"/>
        <v>314.44</v>
      </c>
      <c r="Y18" s="5">
        <v>29.95</v>
      </c>
      <c r="Z18" s="5">
        <f t="shared" si="7"/>
        <v>419.3</v>
      </c>
      <c r="AB18" s="1">
        <f>SUM('Sales TOTAL'!GU17:HX17)</f>
        <v>0</v>
      </c>
      <c r="AC18" s="5">
        <v>22.46</v>
      </c>
      <c r="AD18" s="5">
        <f t="shared" si="8"/>
        <v>0</v>
      </c>
      <c r="AE18" s="5">
        <v>29.95</v>
      </c>
      <c r="AF18" s="5">
        <f t="shared" si="9"/>
        <v>0</v>
      </c>
      <c r="AH18" s="1">
        <f t="shared" si="10"/>
        <v>848</v>
      </c>
      <c r="AI18" s="5">
        <v>22.46</v>
      </c>
      <c r="AJ18" s="5">
        <f t="shared" si="11"/>
        <v>19046.079999999998</v>
      </c>
      <c r="AK18" s="5">
        <v>29.95</v>
      </c>
      <c r="AL18" s="5">
        <f t="shared" si="12"/>
        <v>25397.599999999999</v>
      </c>
    </row>
    <row r="19" spans="1:38">
      <c r="A19" s="4" t="s">
        <v>59</v>
      </c>
      <c r="B19" s="4" t="s">
        <v>84</v>
      </c>
      <c r="D19" s="1">
        <f>SUM('Sales TOTAL'!E18:AS18)</f>
        <v>0</v>
      </c>
      <c r="E19" s="5">
        <v>22.46</v>
      </c>
      <c r="F19" s="5">
        <f t="shared" si="0"/>
        <v>0</v>
      </c>
      <c r="G19" s="5">
        <v>29.95</v>
      </c>
      <c r="H19" s="5">
        <f t="shared" si="1"/>
        <v>0</v>
      </c>
      <c r="J19" s="1">
        <f>SUM('Sales TOTAL'!AT18:CT18)</f>
        <v>231</v>
      </c>
      <c r="K19" s="5">
        <v>22.46</v>
      </c>
      <c r="L19" s="5">
        <f t="shared" si="2"/>
        <v>5188.26</v>
      </c>
      <c r="M19" s="5">
        <v>29.95</v>
      </c>
      <c r="N19" s="5">
        <f t="shared" si="3"/>
        <v>6918.45</v>
      </c>
      <c r="P19" s="1">
        <f>SUM('Sales TOTAL'!CU18:ET18)</f>
        <v>152</v>
      </c>
      <c r="Q19" s="5">
        <v>22.46</v>
      </c>
      <c r="R19" s="5">
        <f t="shared" si="4"/>
        <v>3413.92</v>
      </c>
      <c r="S19" s="5">
        <v>29.95</v>
      </c>
      <c r="T19" s="5">
        <f t="shared" si="5"/>
        <v>4552.3999999999996</v>
      </c>
      <c r="V19" s="1">
        <f>SUM('Sales TOTAL'!EU18:GT18)</f>
        <v>7</v>
      </c>
      <c r="W19" s="5">
        <v>22.46</v>
      </c>
      <c r="X19" s="5">
        <f t="shared" si="6"/>
        <v>157.22</v>
      </c>
      <c r="Y19" s="5">
        <v>29.95</v>
      </c>
      <c r="Z19" s="5">
        <f t="shared" si="7"/>
        <v>209.65</v>
      </c>
      <c r="AB19" s="1">
        <f>SUM('Sales TOTAL'!GU18:HX18)</f>
        <v>0</v>
      </c>
      <c r="AC19" s="5">
        <v>22.46</v>
      </c>
      <c r="AD19" s="5">
        <f t="shared" si="8"/>
        <v>0</v>
      </c>
      <c r="AE19" s="5">
        <v>29.95</v>
      </c>
      <c r="AF19" s="5">
        <f t="shared" si="9"/>
        <v>0</v>
      </c>
      <c r="AH19" s="1">
        <f t="shared" si="10"/>
        <v>390</v>
      </c>
      <c r="AI19" s="5">
        <v>22.46</v>
      </c>
      <c r="AJ19" s="5">
        <f t="shared" si="11"/>
        <v>8759.4</v>
      </c>
      <c r="AK19" s="5">
        <v>29.95</v>
      </c>
      <c r="AL19" s="5">
        <f t="shared" si="12"/>
        <v>11680.499999999998</v>
      </c>
    </row>
    <row r="20" spans="1:38">
      <c r="A20" s="4" t="s">
        <v>60</v>
      </c>
      <c r="B20" s="4" t="s">
        <v>83</v>
      </c>
      <c r="D20" s="1">
        <f>SUM('Sales TOTAL'!E19:AS19)</f>
        <v>0</v>
      </c>
      <c r="E20" s="5">
        <v>22.46</v>
      </c>
      <c r="F20" s="5">
        <f t="shared" si="0"/>
        <v>0</v>
      </c>
      <c r="G20" s="5">
        <v>29.95</v>
      </c>
      <c r="H20" s="5">
        <f t="shared" si="1"/>
        <v>0</v>
      </c>
      <c r="J20" s="1">
        <f>SUM('Sales TOTAL'!AT19:CT19)</f>
        <v>325</v>
      </c>
      <c r="K20" s="5">
        <v>22.46</v>
      </c>
      <c r="L20" s="5">
        <f t="shared" si="2"/>
        <v>7299.5</v>
      </c>
      <c r="M20" s="5">
        <v>29.95</v>
      </c>
      <c r="N20" s="5">
        <f t="shared" si="3"/>
        <v>9733.75</v>
      </c>
      <c r="P20" s="1">
        <f>SUM('Sales TOTAL'!CU19:ET19)</f>
        <v>275</v>
      </c>
      <c r="Q20" s="5">
        <v>22.46</v>
      </c>
      <c r="R20" s="5">
        <f t="shared" si="4"/>
        <v>6176.5</v>
      </c>
      <c r="S20" s="5">
        <v>29.95</v>
      </c>
      <c r="T20" s="5">
        <f t="shared" si="5"/>
        <v>8236.25</v>
      </c>
      <c r="V20" s="1">
        <f>SUM('Sales TOTAL'!EU19:GT19)</f>
        <v>20</v>
      </c>
      <c r="W20" s="5">
        <v>22.46</v>
      </c>
      <c r="X20" s="5">
        <f t="shared" si="6"/>
        <v>449.20000000000005</v>
      </c>
      <c r="Y20" s="5">
        <v>29.95</v>
      </c>
      <c r="Z20" s="5">
        <f t="shared" si="7"/>
        <v>599</v>
      </c>
      <c r="AB20" s="1">
        <f>SUM('Sales TOTAL'!GU19:HX19)</f>
        <v>0</v>
      </c>
      <c r="AC20" s="5">
        <v>22.46</v>
      </c>
      <c r="AD20" s="5">
        <f t="shared" si="8"/>
        <v>0</v>
      </c>
      <c r="AE20" s="5">
        <v>29.95</v>
      </c>
      <c r="AF20" s="5">
        <f t="shared" si="9"/>
        <v>0</v>
      </c>
      <c r="AH20" s="1">
        <f t="shared" si="10"/>
        <v>620</v>
      </c>
      <c r="AI20" s="5">
        <v>22.46</v>
      </c>
      <c r="AJ20" s="5">
        <f t="shared" si="11"/>
        <v>13925.2</v>
      </c>
      <c r="AK20" s="5">
        <v>29.95</v>
      </c>
      <c r="AL20" s="5">
        <f t="shared" si="12"/>
        <v>18569</v>
      </c>
    </row>
    <row r="21" spans="1:38">
      <c r="A21" s="4" t="s">
        <v>61</v>
      </c>
      <c r="B21" s="4" t="s">
        <v>78</v>
      </c>
      <c r="D21" s="1">
        <f>SUM('Sales TOTAL'!E20:AS20)</f>
        <v>0</v>
      </c>
      <c r="E21" s="5">
        <v>11.2</v>
      </c>
      <c r="F21" s="5">
        <f t="shared" si="0"/>
        <v>0</v>
      </c>
      <c r="G21" s="5">
        <v>14.95</v>
      </c>
      <c r="H21" s="5">
        <f t="shared" si="1"/>
        <v>0</v>
      </c>
      <c r="J21" s="1">
        <f>SUM('Sales TOTAL'!AT20:CT20)</f>
        <v>5</v>
      </c>
      <c r="K21" s="5">
        <v>11.2</v>
      </c>
      <c r="L21" s="5">
        <f t="shared" si="2"/>
        <v>56</v>
      </c>
      <c r="M21" s="5">
        <v>14.95</v>
      </c>
      <c r="N21" s="5">
        <f t="shared" si="3"/>
        <v>74.75</v>
      </c>
      <c r="P21" s="1">
        <f>SUM('Sales TOTAL'!CU20:ET20)</f>
        <v>0</v>
      </c>
      <c r="Q21" s="5">
        <v>11.2</v>
      </c>
      <c r="R21" s="5">
        <f t="shared" si="4"/>
        <v>0</v>
      </c>
      <c r="S21" s="5">
        <v>14.95</v>
      </c>
      <c r="T21" s="5">
        <f t="shared" si="5"/>
        <v>0</v>
      </c>
      <c r="V21" s="1">
        <f>SUM('Sales TOTAL'!EU20:GT20)</f>
        <v>0</v>
      </c>
      <c r="W21" s="5">
        <v>11.2</v>
      </c>
      <c r="X21" s="5">
        <f t="shared" si="6"/>
        <v>0</v>
      </c>
      <c r="Y21" s="5">
        <v>14.95</v>
      </c>
      <c r="Z21" s="5">
        <f t="shared" si="7"/>
        <v>0</v>
      </c>
      <c r="AB21" s="1">
        <f>SUM('Sales TOTAL'!GU20:HX20)</f>
        <v>0</v>
      </c>
      <c r="AC21" s="5">
        <v>11.2</v>
      </c>
      <c r="AD21" s="5">
        <f t="shared" si="8"/>
        <v>0</v>
      </c>
      <c r="AE21" s="5">
        <v>14.95</v>
      </c>
      <c r="AF21" s="5">
        <f t="shared" si="9"/>
        <v>0</v>
      </c>
      <c r="AH21" s="1">
        <f t="shared" si="10"/>
        <v>5</v>
      </c>
      <c r="AI21" s="5">
        <v>11.2</v>
      </c>
      <c r="AJ21" s="5">
        <f t="shared" si="11"/>
        <v>56</v>
      </c>
      <c r="AK21" s="5">
        <v>14.95</v>
      </c>
      <c r="AL21" s="5">
        <f t="shared" si="12"/>
        <v>74.75</v>
      </c>
    </row>
    <row r="22" spans="1:38">
      <c r="A22" s="4" t="s">
        <v>62</v>
      </c>
      <c r="B22" s="4" t="s">
        <v>65</v>
      </c>
      <c r="D22" s="1">
        <f>SUM('Sales TOTAL'!E21:AS21)</f>
        <v>0</v>
      </c>
      <c r="E22" s="5">
        <v>18.71</v>
      </c>
      <c r="F22" s="5">
        <f t="shared" si="0"/>
        <v>0</v>
      </c>
      <c r="G22" s="5">
        <v>24.95</v>
      </c>
      <c r="H22" s="5">
        <f t="shared" si="1"/>
        <v>0</v>
      </c>
      <c r="J22" s="1">
        <f>SUM('Sales TOTAL'!AT21:CT21)</f>
        <v>121</v>
      </c>
      <c r="K22" s="5">
        <v>18.71</v>
      </c>
      <c r="L22" s="5">
        <f t="shared" si="2"/>
        <v>2263.9100000000003</v>
      </c>
      <c r="M22" s="5">
        <v>24.95</v>
      </c>
      <c r="N22" s="5">
        <f t="shared" si="3"/>
        <v>3018.95</v>
      </c>
      <c r="P22" s="1">
        <f>SUM('Sales TOTAL'!CU21:ET21)</f>
        <v>134</v>
      </c>
      <c r="Q22" s="5">
        <v>18.71</v>
      </c>
      <c r="R22" s="5">
        <f t="shared" si="4"/>
        <v>2507.1400000000003</v>
      </c>
      <c r="S22" s="5">
        <v>24.95</v>
      </c>
      <c r="T22" s="5">
        <f t="shared" si="5"/>
        <v>3343.2999999999997</v>
      </c>
      <c r="V22" s="1">
        <f>SUM('Sales TOTAL'!EU21:GT21)</f>
        <v>0</v>
      </c>
      <c r="W22" s="5">
        <v>18.71</v>
      </c>
      <c r="X22" s="5">
        <f t="shared" si="6"/>
        <v>0</v>
      </c>
      <c r="Y22" s="5">
        <v>24.95</v>
      </c>
      <c r="Z22" s="5">
        <f t="shared" si="7"/>
        <v>0</v>
      </c>
      <c r="AB22" s="1">
        <f>SUM('Sales TOTAL'!GU21:HX21)</f>
        <v>0</v>
      </c>
      <c r="AC22" s="5">
        <v>18.71</v>
      </c>
      <c r="AD22" s="5">
        <f t="shared" si="8"/>
        <v>0</v>
      </c>
      <c r="AE22" s="5">
        <v>24.95</v>
      </c>
      <c r="AF22" s="5">
        <f t="shared" si="9"/>
        <v>0</v>
      </c>
      <c r="AH22" s="1">
        <f t="shared" si="10"/>
        <v>255</v>
      </c>
      <c r="AI22" s="5">
        <v>18.71</v>
      </c>
      <c r="AJ22" s="5">
        <f t="shared" si="11"/>
        <v>4771.0500000000011</v>
      </c>
      <c r="AK22" s="5">
        <v>24.95</v>
      </c>
      <c r="AL22" s="5">
        <f t="shared" si="12"/>
        <v>6362.25</v>
      </c>
    </row>
    <row r="23" spans="1:38">
      <c r="A23" s="4" t="s">
        <v>63</v>
      </c>
      <c r="B23" s="4" t="s">
        <v>77</v>
      </c>
      <c r="D23" s="1">
        <f>SUM('Sales TOTAL'!E22:AS22)</f>
        <v>0</v>
      </c>
      <c r="E23" s="5">
        <v>7.46</v>
      </c>
      <c r="F23" s="5">
        <f t="shared" si="0"/>
        <v>0</v>
      </c>
      <c r="G23" s="5">
        <v>9.9499999999999993</v>
      </c>
      <c r="H23" s="5">
        <f t="shared" si="1"/>
        <v>0</v>
      </c>
      <c r="J23" s="1">
        <f>SUM('Sales TOTAL'!AT22:CT22)</f>
        <v>46</v>
      </c>
      <c r="K23" s="5">
        <v>7.46</v>
      </c>
      <c r="L23" s="5">
        <f t="shared" si="2"/>
        <v>343.16</v>
      </c>
      <c r="M23" s="5">
        <v>9.9499999999999993</v>
      </c>
      <c r="N23" s="5">
        <f t="shared" si="3"/>
        <v>457.7</v>
      </c>
      <c r="P23" s="1">
        <f>SUM('Sales TOTAL'!CU22:ET22)</f>
        <v>30</v>
      </c>
      <c r="Q23" s="5">
        <v>7.46</v>
      </c>
      <c r="R23" s="5">
        <f t="shared" si="4"/>
        <v>223.8</v>
      </c>
      <c r="S23" s="5">
        <v>9.9499999999999993</v>
      </c>
      <c r="T23" s="5">
        <f t="shared" si="5"/>
        <v>298.5</v>
      </c>
      <c r="V23" s="1">
        <f>SUM('Sales TOTAL'!EU22:GT22)</f>
        <v>10</v>
      </c>
      <c r="W23" s="5">
        <v>7.46</v>
      </c>
      <c r="X23" s="5">
        <f t="shared" si="6"/>
        <v>74.599999999999994</v>
      </c>
      <c r="Y23" s="5">
        <v>9.9499999999999993</v>
      </c>
      <c r="Z23" s="5">
        <f t="shared" si="7"/>
        <v>99.5</v>
      </c>
      <c r="AB23" s="1">
        <f>SUM('Sales TOTAL'!GU22:HX22)</f>
        <v>0</v>
      </c>
      <c r="AC23" s="5">
        <v>7.46</v>
      </c>
      <c r="AD23" s="5">
        <f t="shared" si="8"/>
        <v>0</v>
      </c>
      <c r="AE23" s="5">
        <v>9.9499999999999993</v>
      </c>
      <c r="AF23" s="5">
        <f t="shared" si="9"/>
        <v>0</v>
      </c>
      <c r="AH23" s="1">
        <f t="shared" si="10"/>
        <v>86</v>
      </c>
      <c r="AI23" s="5">
        <v>7.46</v>
      </c>
      <c r="AJ23" s="5">
        <f t="shared" si="11"/>
        <v>641.56000000000006</v>
      </c>
      <c r="AK23" s="5">
        <v>9.9499999999999993</v>
      </c>
      <c r="AL23" s="5">
        <f t="shared" si="12"/>
        <v>855.7</v>
      </c>
    </row>
    <row r="24" spans="1:38">
      <c r="A24" s="4" t="s">
        <v>64</v>
      </c>
      <c r="B24" s="4" t="s">
        <v>76</v>
      </c>
      <c r="D24" s="1">
        <f>SUM('Sales TOTAL'!E23:AS23)</f>
        <v>0</v>
      </c>
      <c r="E24" s="5">
        <v>7.46</v>
      </c>
      <c r="F24" s="5">
        <f t="shared" si="0"/>
        <v>0</v>
      </c>
      <c r="G24" s="5">
        <v>9.9499999999999993</v>
      </c>
      <c r="H24" s="5">
        <f t="shared" si="1"/>
        <v>0</v>
      </c>
      <c r="J24" s="1">
        <f>SUM('Sales TOTAL'!AT23:CT23)</f>
        <v>10</v>
      </c>
      <c r="K24" s="5">
        <v>7.46</v>
      </c>
      <c r="L24" s="5">
        <f t="shared" si="2"/>
        <v>74.599999999999994</v>
      </c>
      <c r="M24" s="5">
        <v>9.9499999999999993</v>
      </c>
      <c r="N24" s="5">
        <f t="shared" si="3"/>
        <v>99.5</v>
      </c>
      <c r="P24" s="1">
        <f>SUM('Sales TOTAL'!CU23:ET23)</f>
        <v>2</v>
      </c>
      <c r="Q24" s="5">
        <v>7.46</v>
      </c>
      <c r="R24" s="5">
        <f t="shared" si="4"/>
        <v>14.92</v>
      </c>
      <c r="S24" s="5">
        <v>9.9499999999999993</v>
      </c>
      <c r="T24" s="5">
        <f t="shared" si="5"/>
        <v>19.899999999999999</v>
      </c>
      <c r="V24" s="1">
        <f>SUM('Sales TOTAL'!EU23:GT23)</f>
        <v>0</v>
      </c>
      <c r="W24" s="5">
        <v>7.46</v>
      </c>
      <c r="X24" s="5">
        <f t="shared" si="6"/>
        <v>0</v>
      </c>
      <c r="Y24" s="5">
        <v>9.9499999999999993</v>
      </c>
      <c r="Z24" s="5">
        <f t="shared" si="7"/>
        <v>0</v>
      </c>
      <c r="AB24" s="1">
        <f>SUM('Sales TOTAL'!GU23:HX23)</f>
        <v>0</v>
      </c>
      <c r="AC24" s="5">
        <v>7.46</v>
      </c>
      <c r="AD24" s="5">
        <f t="shared" si="8"/>
        <v>0</v>
      </c>
      <c r="AE24" s="5">
        <v>9.9499999999999993</v>
      </c>
      <c r="AF24" s="5">
        <f t="shared" si="9"/>
        <v>0</v>
      </c>
      <c r="AH24" s="1">
        <f t="shared" si="10"/>
        <v>12</v>
      </c>
      <c r="AI24" s="5">
        <v>7.46</v>
      </c>
      <c r="AJ24" s="5">
        <f t="shared" si="11"/>
        <v>89.52</v>
      </c>
      <c r="AK24" s="5">
        <v>9.9499999999999993</v>
      </c>
      <c r="AL24" s="5">
        <f t="shared" si="12"/>
        <v>119.4</v>
      </c>
    </row>
    <row r="25" spans="1:38">
      <c r="A25" s="4" t="s">
        <v>94</v>
      </c>
      <c r="B25" s="4" t="s">
        <v>105</v>
      </c>
      <c r="D25" s="1">
        <f>SUM('Sales TOTAL'!E24:AS24)</f>
        <v>0</v>
      </c>
      <c r="E25" s="5">
        <v>39.96</v>
      </c>
      <c r="F25" s="5">
        <f t="shared" si="0"/>
        <v>0</v>
      </c>
      <c r="G25" s="5">
        <v>49.95</v>
      </c>
      <c r="H25" s="5">
        <f t="shared" si="1"/>
        <v>0</v>
      </c>
      <c r="J25" s="1">
        <f>SUM('Sales TOTAL'!AT24:CT24)</f>
        <v>949</v>
      </c>
      <c r="K25" s="5">
        <v>39.96</v>
      </c>
      <c r="L25" s="5">
        <f t="shared" si="2"/>
        <v>37922.04</v>
      </c>
      <c r="M25" s="5">
        <v>49.95</v>
      </c>
      <c r="N25" s="5">
        <f t="shared" si="3"/>
        <v>47402.55</v>
      </c>
      <c r="P25" s="1">
        <f>SUM('Sales TOTAL'!CU24:ET24)</f>
        <v>189</v>
      </c>
      <c r="Q25" s="5">
        <v>39.96</v>
      </c>
      <c r="R25" s="5">
        <f t="shared" si="4"/>
        <v>7552.4400000000005</v>
      </c>
      <c r="S25" s="5">
        <v>49.95</v>
      </c>
      <c r="T25" s="5">
        <f t="shared" si="5"/>
        <v>9440.5500000000011</v>
      </c>
      <c r="V25" s="1">
        <f>SUM('Sales TOTAL'!EU24:GT24)</f>
        <v>23</v>
      </c>
      <c r="W25" s="5">
        <v>39.96</v>
      </c>
      <c r="X25" s="5">
        <f t="shared" si="6"/>
        <v>919.08</v>
      </c>
      <c r="Y25" s="5">
        <v>49.95</v>
      </c>
      <c r="Z25" s="5">
        <f t="shared" si="7"/>
        <v>1148.8500000000001</v>
      </c>
      <c r="AB25" s="1">
        <f>SUM('Sales TOTAL'!GU24:HX24)</f>
        <v>0</v>
      </c>
      <c r="AC25" s="5">
        <v>39.96</v>
      </c>
      <c r="AD25" s="5">
        <f t="shared" si="8"/>
        <v>0</v>
      </c>
      <c r="AE25" s="5">
        <v>49.95</v>
      </c>
      <c r="AF25" s="5">
        <f t="shared" si="9"/>
        <v>0</v>
      </c>
      <c r="AH25" s="1">
        <f t="shared" si="10"/>
        <v>1161</v>
      </c>
      <c r="AI25" s="5">
        <v>39.96</v>
      </c>
      <c r="AJ25" s="5">
        <f t="shared" si="11"/>
        <v>46393.560000000005</v>
      </c>
      <c r="AK25" s="5">
        <v>49.95</v>
      </c>
      <c r="AL25" s="5">
        <f t="shared" si="12"/>
        <v>57991.950000000004</v>
      </c>
    </row>
    <row r="26" spans="1:38">
      <c r="A26" s="4" t="s">
        <v>102</v>
      </c>
      <c r="B26" s="4" t="s">
        <v>113</v>
      </c>
      <c r="D26" s="1">
        <f>SUM('Sales TOTAL'!E25:AS25)</f>
        <v>0</v>
      </c>
      <c r="E26" s="5">
        <v>95.96</v>
      </c>
      <c r="F26" s="5">
        <f t="shared" si="0"/>
        <v>0</v>
      </c>
      <c r="G26" s="5">
        <v>119.95</v>
      </c>
      <c r="H26" s="5">
        <f t="shared" si="1"/>
        <v>0</v>
      </c>
      <c r="J26" s="1">
        <f>SUM('Sales TOTAL'!AT25:CT25)</f>
        <v>191</v>
      </c>
      <c r="K26" s="5">
        <v>95.96</v>
      </c>
      <c r="L26" s="5">
        <f t="shared" si="2"/>
        <v>18328.36</v>
      </c>
      <c r="M26" s="5">
        <v>119.95</v>
      </c>
      <c r="N26" s="5">
        <f t="shared" si="3"/>
        <v>22910.45</v>
      </c>
      <c r="P26" s="1">
        <f>SUM('Sales TOTAL'!CU25:ET25)</f>
        <v>163</v>
      </c>
      <c r="Q26" s="5">
        <v>95.96</v>
      </c>
      <c r="R26" s="5">
        <f t="shared" si="4"/>
        <v>15641.48</v>
      </c>
      <c r="S26" s="5">
        <v>119.95</v>
      </c>
      <c r="T26" s="5">
        <f t="shared" si="5"/>
        <v>19551.850000000002</v>
      </c>
      <c r="V26" s="1">
        <f>SUM('Sales TOTAL'!EU25:GT25)</f>
        <v>0</v>
      </c>
      <c r="W26" s="5">
        <v>95.96</v>
      </c>
      <c r="X26" s="5">
        <f t="shared" si="6"/>
        <v>0</v>
      </c>
      <c r="Y26" s="5">
        <v>119.95</v>
      </c>
      <c r="Z26" s="5">
        <f t="shared" si="7"/>
        <v>0</v>
      </c>
      <c r="AB26" s="1">
        <f>SUM('Sales TOTAL'!GU25:HX25)</f>
        <v>0</v>
      </c>
      <c r="AC26" s="5">
        <v>95.96</v>
      </c>
      <c r="AD26" s="5">
        <f t="shared" si="8"/>
        <v>0</v>
      </c>
      <c r="AE26" s="5">
        <v>119.95</v>
      </c>
      <c r="AF26" s="5">
        <f t="shared" si="9"/>
        <v>0</v>
      </c>
      <c r="AH26" s="1">
        <f t="shared" si="10"/>
        <v>354</v>
      </c>
      <c r="AI26" s="5">
        <v>95.96</v>
      </c>
      <c r="AJ26" s="5">
        <f t="shared" si="11"/>
        <v>33969.839999999997</v>
      </c>
      <c r="AK26" s="5">
        <v>119.95</v>
      </c>
      <c r="AL26" s="5">
        <f t="shared" si="12"/>
        <v>42462.3</v>
      </c>
    </row>
    <row r="27" spans="1:38">
      <c r="A27" s="4" t="s">
        <v>98</v>
      </c>
      <c r="B27" s="4" t="s">
        <v>109</v>
      </c>
      <c r="D27" s="1">
        <f>SUM('Sales TOTAL'!E26:AS26)</f>
        <v>0</v>
      </c>
      <c r="E27" s="5">
        <v>63.96</v>
      </c>
      <c r="F27" s="5">
        <f t="shared" si="0"/>
        <v>0</v>
      </c>
      <c r="G27" s="5">
        <v>79.95</v>
      </c>
      <c r="H27" s="5">
        <f t="shared" si="1"/>
        <v>0</v>
      </c>
      <c r="J27" s="1">
        <f>SUM('Sales TOTAL'!AT26:CT26)</f>
        <v>176</v>
      </c>
      <c r="K27" s="5">
        <v>63.96</v>
      </c>
      <c r="L27" s="5">
        <f t="shared" si="2"/>
        <v>11256.960000000001</v>
      </c>
      <c r="M27" s="5">
        <v>79.95</v>
      </c>
      <c r="N27" s="5">
        <f t="shared" si="3"/>
        <v>14071.2</v>
      </c>
      <c r="P27" s="1">
        <f>SUM('Sales TOTAL'!CU26:ET26)</f>
        <v>57</v>
      </c>
      <c r="Q27" s="5">
        <v>63.96</v>
      </c>
      <c r="R27" s="5">
        <f t="shared" si="4"/>
        <v>3645.7200000000003</v>
      </c>
      <c r="S27" s="5">
        <v>79.95</v>
      </c>
      <c r="T27" s="5">
        <f t="shared" si="5"/>
        <v>4557.1500000000005</v>
      </c>
      <c r="V27" s="1">
        <f>SUM('Sales TOTAL'!EU26:GT26)</f>
        <v>0</v>
      </c>
      <c r="W27" s="5">
        <v>63.96</v>
      </c>
      <c r="X27" s="5">
        <f t="shared" si="6"/>
        <v>0</v>
      </c>
      <c r="Y27" s="5">
        <v>79.95</v>
      </c>
      <c r="Z27" s="5">
        <f t="shared" si="7"/>
        <v>0</v>
      </c>
      <c r="AB27" s="1">
        <f>SUM('Sales TOTAL'!GU26:HX26)</f>
        <v>0</v>
      </c>
      <c r="AC27" s="5">
        <v>63.96</v>
      </c>
      <c r="AD27" s="5">
        <f t="shared" si="8"/>
        <v>0</v>
      </c>
      <c r="AE27" s="5">
        <v>79.95</v>
      </c>
      <c r="AF27" s="5">
        <f t="shared" si="9"/>
        <v>0</v>
      </c>
      <c r="AH27" s="1">
        <f t="shared" si="10"/>
        <v>233</v>
      </c>
      <c r="AI27" s="5">
        <v>63.96</v>
      </c>
      <c r="AJ27" s="5">
        <f t="shared" si="11"/>
        <v>14902.68</v>
      </c>
      <c r="AK27" s="5">
        <v>79.95</v>
      </c>
      <c r="AL27" s="5">
        <f t="shared" si="12"/>
        <v>18628.350000000002</v>
      </c>
    </row>
    <row r="28" spans="1:38">
      <c r="A28" s="4" t="s">
        <v>100</v>
      </c>
      <c r="B28" s="4" t="s">
        <v>111</v>
      </c>
      <c r="D28" s="1">
        <f>SUM('Sales TOTAL'!E27:AS27)</f>
        <v>0</v>
      </c>
      <c r="E28" s="5">
        <v>31.96</v>
      </c>
      <c r="F28" s="5">
        <f t="shared" si="0"/>
        <v>0</v>
      </c>
      <c r="G28" s="5">
        <v>39.950000000000003</v>
      </c>
      <c r="H28" s="5">
        <f t="shared" si="1"/>
        <v>0</v>
      </c>
      <c r="J28" s="1">
        <f>SUM('Sales TOTAL'!AT27:CT27)</f>
        <v>159</v>
      </c>
      <c r="K28" s="5">
        <v>31.96</v>
      </c>
      <c r="L28" s="5">
        <f t="shared" si="2"/>
        <v>5081.6400000000003</v>
      </c>
      <c r="M28" s="5">
        <v>39.950000000000003</v>
      </c>
      <c r="N28" s="5">
        <f t="shared" si="3"/>
        <v>6352.05</v>
      </c>
      <c r="P28" s="1">
        <f>SUM('Sales TOTAL'!CU27:ET27)</f>
        <v>0</v>
      </c>
      <c r="Q28" s="5">
        <v>31.96</v>
      </c>
      <c r="R28" s="5">
        <f t="shared" si="4"/>
        <v>0</v>
      </c>
      <c r="S28" s="5">
        <v>39.950000000000003</v>
      </c>
      <c r="T28" s="5">
        <f t="shared" si="5"/>
        <v>0</v>
      </c>
      <c r="V28" s="1">
        <f>SUM('Sales TOTAL'!EU27:GT27)</f>
        <v>0</v>
      </c>
      <c r="W28" s="5">
        <v>31.96</v>
      </c>
      <c r="X28" s="5">
        <f t="shared" si="6"/>
        <v>0</v>
      </c>
      <c r="Y28" s="5">
        <v>39.950000000000003</v>
      </c>
      <c r="Z28" s="5">
        <f t="shared" si="7"/>
        <v>0</v>
      </c>
      <c r="AB28" s="1">
        <f>SUM('Sales TOTAL'!GU27:HX27)</f>
        <v>0</v>
      </c>
      <c r="AC28" s="5">
        <v>31.96</v>
      </c>
      <c r="AD28" s="5">
        <f t="shared" si="8"/>
        <v>0</v>
      </c>
      <c r="AE28" s="5">
        <v>39.950000000000003</v>
      </c>
      <c r="AF28" s="5">
        <f t="shared" si="9"/>
        <v>0</v>
      </c>
      <c r="AH28" s="1">
        <f t="shared" si="10"/>
        <v>159</v>
      </c>
      <c r="AI28" s="5">
        <v>31.96</v>
      </c>
      <c r="AJ28" s="5">
        <f t="shared" si="11"/>
        <v>5081.6400000000003</v>
      </c>
      <c r="AK28" s="5">
        <v>39.950000000000003</v>
      </c>
      <c r="AL28" s="5">
        <f t="shared" si="12"/>
        <v>6352.05</v>
      </c>
    </row>
    <row r="29" spans="1:38">
      <c r="A29" s="4" t="s">
        <v>103</v>
      </c>
      <c r="B29" s="4" t="s">
        <v>114</v>
      </c>
      <c r="D29" s="1">
        <f>SUM('Sales TOTAL'!E28:AS28)</f>
        <v>0</v>
      </c>
      <c r="E29" s="5">
        <v>71.959999999999994</v>
      </c>
      <c r="F29" s="5">
        <f t="shared" si="0"/>
        <v>0</v>
      </c>
      <c r="G29" s="5">
        <v>89.95</v>
      </c>
      <c r="H29" s="5">
        <f t="shared" si="1"/>
        <v>0</v>
      </c>
      <c r="J29" s="1">
        <f>SUM('Sales TOTAL'!AT28:CT28)</f>
        <v>318</v>
      </c>
      <c r="K29" s="5">
        <v>71.959999999999994</v>
      </c>
      <c r="L29" s="5">
        <f t="shared" si="2"/>
        <v>22883.279999999999</v>
      </c>
      <c r="M29" s="5">
        <v>89.95</v>
      </c>
      <c r="N29" s="5">
        <f t="shared" si="3"/>
        <v>28604.100000000002</v>
      </c>
      <c r="P29" s="1">
        <f>SUM('Sales TOTAL'!CU28:ET28)</f>
        <v>284</v>
      </c>
      <c r="Q29" s="5">
        <v>71.959999999999994</v>
      </c>
      <c r="R29" s="5">
        <f t="shared" si="4"/>
        <v>20436.64</v>
      </c>
      <c r="S29" s="5">
        <v>89.95</v>
      </c>
      <c r="T29" s="5">
        <f t="shared" si="5"/>
        <v>25545.8</v>
      </c>
      <c r="V29" s="1">
        <f>SUM('Sales TOTAL'!EU28:GT28)</f>
        <v>59</v>
      </c>
      <c r="W29" s="5">
        <v>71.959999999999994</v>
      </c>
      <c r="X29" s="5">
        <f t="shared" si="6"/>
        <v>4245.6399999999994</v>
      </c>
      <c r="Y29" s="5">
        <v>89.95</v>
      </c>
      <c r="Z29" s="5">
        <f t="shared" si="7"/>
        <v>5307.05</v>
      </c>
      <c r="AB29" s="1">
        <f>SUM('Sales TOTAL'!GU28:HX28)</f>
        <v>0</v>
      </c>
      <c r="AC29" s="5">
        <v>71.959999999999994</v>
      </c>
      <c r="AD29" s="5">
        <f t="shared" si="8"/>
        <v>0</v>
      </c>
      <c r="AE29" s="5">
        <v>89.95</v>
      </c>
      <c r="AF29" s="5">
        <f t="shared" si="9"/>
        <v>0</v>
      </c>
      <c r="AH29" s="1">
        <f t="shared" si="10"/>
        <v>661</v>
      </c>
      <c r="AI29" s="5">
        <v>71.959999999999994</v>
      </c>
      <c r="AJ29" s="5">
        <f t="shared" si="11"/>
        <v>47565.56</v>
      </c>
      <c r="AK29" s="5">
        <v>89.95</v>
      </c>
      <c r="AL29" s="5">
        <f t="shared" si="12"/>
        <v>59456.950000000004</v>
      </c>
    </row>
    <row r="30" spans="1:38">
      <c r="A30" s="4" t="s">
        <v>104</v>
      </c>
      <c r="B30" s="4" t="s">
        <v>115</v>
      </c>
      <c r="D30" s="1">
        <f>SUM('Sales TOTAL'!E29:AS29)</f>
        <v>0</v>
      </c>
      <c r="E30" s="5">
        <v>63.99</v>
      </c>
      <c r="F30" s="5">
        <f t="shared" si="0"/>
        <v>0</v>
      </c>
      <c r="G30" s="5">
        <v>79.989999999999995</v>
      </c>
      <c r="H30" s="5">
        <f t="shared" si="1"/>
        <v>0</v>
      </c>
      <c r="J30" s="1">
        <f>SUM('Sales TOTAL'!AT29:CT29)</f>
        <v>100</v>
      </c>
      <c r="K30" s="5">
        <v>63.99</v>
      </c>
      <c r="L30" s="5">
        <f t="shared" si="2"/>
        <v>6399</v>
      </c>
      <c r="M30" s="5">
        <v>79.989999999999995</v>
      </c>
      <c r="N30" s="5">
        <f t="shared" si="3"/>
        <v>7998.9999999999991</v>
      </c>
      <c r="P30" s="1">
        <f>SUM('Sales TOTAL'!CU29:ET29)</f>
        <v>77</v>
      </c>
      <c r="Q30" s="5">
        <v>63.99</v>
      </c>
      <c r="R30" s="5">
        <f t="shared" si="4"/>
        <v>4927.2300000000005</v>
      </c>
      <c r="S30" s="5">
        <v>79.989999999999995</v>
      </c>
      <c r="T30" s="5">
        <f t="shared" si="5"/>
        <v>6159.23</v>
      </c>
      <c r="V30" s="1">
        <f>SUM('Sales TOTAL'!EU29:GT29)</f>
        <v>74</v>
      </c>
      <c r="W30" s="5">
        <v>63.99</v>
      </c>
      <c r="X30" s="5">
        <f t="shared" si="6"/>
        <v>4735.26</v>
      </c>
      <c r="Y30" s="5">
        <v>79.989999999999995</v>
      </c>
      <c r="Z30" s="5">
        <f t="shared" si="7"/>
        <v>5919.2599999999993</v>
      </c>
      <c r="AB30" s="1">
        <f>SUM('Sales TOTAL'!GU29:HX29)</f>
        <v>0</v>
      </c>
      <c r="AC30" s="5">
        <v>63.99</v>
      </c>
      <c r="AD30" s="5">
        <f t="shared" si="8"/>
        <v>0</v>
      </c>
      <c r="AE30" s="5">
        <v>79.989999999999995</v>
      </c>
      <c r="AF30" s="5">
        <f t="shared" si="9"/>
        <v>0</v>
      </c>
      <c r="AH30" s="1">
        <f t="shared" si="10"/>
        <v>251</v>
      </c>
      <c r="AI30" s="5">
        <v>63.99</v>
      </c>
      <c r="AJ30" s="5">
        <f t="shared" si="11"/>
        <v>16061.49</v>
      </c>
      <c r="AK30" s="5">
        <v>79.989999999999995</v>
      </c>
      <c r="AL30" s="5">
        <f t="shared" si="12"/>
        <v>20077.489999999998</v>
      </c>
    </row>
    <row r="31" spans="1:38">
      <c r="A31" s="4" t="s">
        <v>97</v>
      </c>
      <c r="B31" s="4" t="s">
        <v>108</v>
      </c>
      <c r="D31" s="1">
        <f>SUM('Sales TOTAL'!E30:AS30)</f>
        <v>0</v>
      </c>
      <c r="E31" s="5">
        <v>39.96</v>
      </c>
      <c r="F31" s="5">
        <f t="shared" si="0"/>
        <v>0</v>
      </c>
      <c r="G31" s="5">
        <v>49.95</v>
      </c>
      <c r="H31" s="5">
        <f t="shared" si="1"/>
        <v>0</v>
      </c>
      <c r="J31" s="1">
        <f>SUM('Sales TOTAL'!AT30:CT30)</f>
        <v>106</v>
      </c>
      <c r="K31" s="5">
        <v>39.96</v>
      </c>
      <c r="L31" s="5">
        <f t="shared" si="2"/>
        <v>4235.76</v>
      </c>
      <c r="M31" s="5">
        <v>49.95</v>
      </c>
      <c r="N31" s="5">
        <f t="shared" si="3"/>
        <v>5294.7000000000007</v>
      </c>
      <c r="P31" s="1">
        <f>SUM('Sales TOTAL'!CU30:ET30)</f>
        <v>148</v>
      </c>
      <c r="Q31" s="5">
        <v>39.96</v>
      </c>
      <c r="R31" s="5">
        <f t="shared" si="4"/>
        <v>5914.08</v>
      </c>
      <c r="S31" s="5">
        <v>49.95</v>
      </c>
      <c r="T31" s="5">
        <f t="shared" si="5"/>
        <v>7392.6</v>
      </c>
      <c r="V31" s="1">
        <f>SUM('Sales TOTAL'!EU30:GT30)</f>
        <v>0</v>
      </c>
      <c r="W31" s="5">
        <v>39.96</v>
      </c>
      <c r="X31" s="5">
        <f t="shared" si="6"/>
        <v>0</v>
      </c>
      <c r="Y31" s="5">
        <v>49.95</v>
      </c>
      <c r="Z31" s="5">
        <f t="shared" si="7"/>
        <v>0</v>
      </c>
      <c r="AB31" s="1">
        <f>SUM('Sales TOTAL'!GU30:HX30)</f>
        <v>0</v>
      </c>
      <c r="AC31" s="5">
        <v>39.96</v>
      </c>
      <c r="AD31" s="5">
        <f t="shared" si="8"/>
        <v>0</v>
      </c>
      <c r="AE31" s="5">
        <v>49.95</v>
      </c>
      <c r="AF31" s="5">
        <f t="shared" si="9"/>
        <v>0</v>
      </c>
      <c r="AH31" s="1">
        <f t="shared" si="10"/>
        <v>254</v>
      </c>
      <c r="AI31" s="5">
        <v>39.96</v>
      </c>
      <c r="AJ31" s="5">
        <f t="shared" si="11"/>
        <v>10149.84</v>
      </c>
      <c r="AK31" s="5">
        <v>49.95</v>
      </c>
      <c r="AL31" s="5">
        <f t="shared" si="12"/>
        <v>12687.300000000001</v>
      </c>
    </row>
    <row r="32" spans="1:38">
      <c r="A32" s="4" t="s">
        <v>101</v>
      </c>
      <c r="B32" s="4" t="s">
        <v>112</v>
      </c>
      <c r="D32" s="1">
        <f>SUM('Sales TOTAL'!E31:AS31)</f>
        <v>0</v>
      </c>
      <c r="E32" s="5">
        <v>23.96</v>
      </c>
      <c r="F32" s="5">
        <f t="shared" si="0"/>
        <v>0</v>
      </c>
      <c r="G32" s="5">
        <v>29.95</v>
      </c>
      <c r="H32" s="5">
        <f t="shared" si="1"/>
        <v>0</v>
      </c>
      <c r="J32" s="1">
        <f>SUM('Sales TOTAL'!AT31:CT31)</f>
        <v>141</v>
      </c>
      <c r="K32" s="5">
        <v>23.96</v>
      </c>
      <c r="L32" s="5">
        <f t="shared" si="2"/>
        <v>3378.36</v>
      </c>
      <c r="M32" s="5">
        <v>29.95</v>
      </c>
      <c r="N32" s="5">
        <f t="shared" si="3"/>
        <v>4222.95</v>
      </c>
      <c r="P32" s="1">
        <f>SUM('Sales TOTAL'!CU31:ET31)</f>
        <v>20</v>
      </c>
      <c r="Q32" s="5">
        <v>23.96</v>
      </c>
      <c r="R32" s="5">
        <f t="shared" si="4"/>
        <v>479.20000000000005</v>
      </c>
      <c r="S32" s="5">
        <v>29.95</v>
      </c>
      <c r="T32" s="5">
        <f t="shared" si="5"/>
        <v>599</v>
      </c>
      <c r="V32" s="1">
        <f>SUM('Sales TOTAL'!EU31:GT31)</f>
        <v>0</v>
      </c>
      <c r="W32" s="5">
        <v>23.96</v>
      </c>
      <c r="X32" s="5">
        <f t="shared" si="6"/>
        <v>0</v>
      </c>
      <c r="Y32" s="5">
        <v>29.95</v>
      </c>
      <c r="Z32" s="5">
        <f t="shared" si="7"/>
        <v>0</v>
      </c>
      <c r="AB32" s="1">
        <f>SUM('Sales TOTAL'!GU31:HX31)</f>
        <v>0</v>
      </c>
      <c r="AC32" s="5">
        <v>23.96</v>
      </c>
      <c r="AD32" s="5">
        <f t="shared" si="8"/>
        <v>0</v>
      </c>
      <c r="AE32" s="5">
        <v>29.95</v>
      </c>
      <c r="AF32" s="5">
        <f t="shared" si="9"/>
        <v>0</v>
      </c>
      <c r="AH32" s="1">
        <f t="shared" si="10"/>
        <v>161</v>
      </c>
      <c r="AI32" s="5">
        <v>23.96</v>
      </c>
      <c r="AJ32" s="5">
        <f t="shared" si="11"/>
        <v>3857.5600000000004</v>
      </c>
      <c r="AK32" s="5">
        <v>29.95</v>
      </c>
      <c r="AL32" s="5">
        <f t="shared" si="12"/>
        <v>4821.95</v>
      </c>
    </row>
    <row r="33" spans="1:38">
      <c r="A33" s="4" t="s">
        <v>99</v>
      </c>
      <c r="B33" s="4" t="s">
        <v>110</v>
      </c>
      <c r="D33" s="1">
        <f>SUM('Sales TOTAL'!E32:AS32)</f>
        <v>0</v>
      </c>
      <c r="E33" s="5">
        <v>191.96</v>
      </c>
      <c r="F33" s="5">
        <f t="shared" si="0"/>
        <v>0</v>
      </c>
      <c r="G33" s="5">
        <v>239.95</v>
      </c>
      <c r="H33" s="5">
        <f t="shared" si="1"/>
        <v>0</v>
      </c>
      <c r="J33" s="1">
        <f>SUM('Sales TOTAL'!AT32:CT32)</f>
        <v>105</v>
      </c>
      <c r="K33" s="5">
        <v>191.96</v>
      </c>
      <c r="L33" s="5">
        <f t="shared" si="2"/>
        <v>20155.8</v>
      </c>
      <c r="M33" s="5">
        <v>239.95</v>
      </c>
      <c r="N33" s="5">
        <f t="shared" si="3"/>
        <v>25194.75</v>
      </c>
      <c r="P33" s="1">
        <f>SUM('Sales TOTAL'!CU32:ET32)</f>
        <v>64</v>
      </c>
      <c r="Q33" s="5">
        <v>191.96</v>
      </c>
      <c r="R33" s="5">
        <f t="shared" si="4"/>
        <v>12285.44</v>
      </c>
      <c r="S33" s="5">
        <v>239.95</v>
      </c>
      <c r="T33" s="5">
        <f t="shared" si="5"/>
        <v>15356.8</v>
      </c>
      <c r="V33" s="1">
        <f>SUM('Sales TOTAL'!EU32:GT32)</f>
        <v>79</v>
      </c>
      <c r="W33" s="5">
        <v>191.96</v>
      </c>
      <c r="X33" s="5">
        <f t="shared" si="6"/>
        <v>15164.84</v>
      </c>
      <c r="Y33" s="5">
        <v>239.95</v>
      </c>
      <c r="Z33" s="5">
        <f t="shared" si="7"/>
        <v>18956.05</v>
      </c>
      <c r="AB33" s="1">
        <f>SUM('Sales TOTAL'!GU32:HX32)</f>
        <v>12</v>
      </c>
      <c r="AC33" s="5">
        <v>191.96</v>
      </c>
      <c r="AD33" s="5">
        <f t="shared" si="8"/>
        <v>2303.52</v>
      </c>
      <c r="AE33" s="5">
        <v>239.95</v>
      </c>
      <c r="AF33" s="5">
        <f t="shared" si="9"/>
        <v>2879.3999999999996</v>
      </c>
      <c r="AH33" s="1">
        <f t="shared" si="10"/>
        <v>260</v>
      </c>
      <c r="AI33" s="5">
        <v>191.96</v>
      </c>
      <c r="AJ33" s="5">
        <f t="shared" si="11"/>
        <v>49909.599999999999</v>
      </c>
      <c r="AK33" s="5">
        <v>239.95</v>
      </c>
      <c r="AL33" s="5">
        <f t="shared" si="12"/>
        <v>62387.000000000007</v>
      </c>
    </row>
    <row r="34" spans="1:38">
      <c r="A34" s="4" t="s">
        <v>96</v>
      </c>
      <c r="B34" s="4" t="s">
        <v>107</v>
      </c>
      <c r="D34" s="1">
        <f>SUM('Sales TOTAL'!E33:AS33)</f>
        <v>0</v>
      </c>
      <c r="E34" s="5">
        <v>71.959999999999994</v>
      </c>
      <c r="F34" s="5">
        <f t="shared" si="0"/>
        <v>0</v>
      </c>
      <c r="G34" s="5">
        <v>89.95</v>
      </c>
      <c r="H34" s="5">
        <f t="shared" si="1"/>
        <v>0</v>
      </c>
      <c r="J34" s="1">
        <f>SUM('Sales TOTAL'!AT33:CT33)</f>
        <v>35</v>
      </c>
      <c r="K34" s="5">
        <v>71.959999999999994</v>
      </c>
      <c r="L34" s="5">
        <f t="shared" si="2"/>
        <v>2518.6</v>
      </c>
      <c r="M34" s="5">
        <v>89.95</v>
      </c>
      <c r="N34" s="5">
        <f t="shared" si="3"/>
        <v>3148.25</v>
      </c>
      <c r="P34" s="1">
        <f>SUM('Sales TOTAL'!CU33:ET33)</f>
        <v>39</v>
      </c>
      <c r="Q34" s="5">
        <v>71.959999999999994</v>
      </c>
      <c r="R34" s="5">
        <f t="shared" si="4"/>
        <v>2806.4399999999996</v>
      </c>
      <c r="S34" s="5">
        <v>89.95</v>
      </c>
      <c r="T34" s="5">
        <f t="shared" si="5"/>
        <v>3508.05</v>
      </c>
      <c r="V34" s="1">
        <f>SUM('Sales TOTAL'!EU33:GT33)</f>
        <v>55</v>
      </c>
      <c r="W34" s="5">
        <v>71.959999999999994</v>
      </c>
      <c r="X34" s="5">
        <f t="shared" si="6"/>
        <v>3957.7999999999997</v>
      </c>
      <c r="Y34" s="5">
        <v>89.95</v>
      </c>
      <c r="Z34" s="5">
        <f t="shared" si="7"/>
        <v>4947.25</v>
      </c>
      <c r="AB34" s="1">
        <f>SUM('Sales TOTAL'!GU33:HX33)</f>
        <v>1</v>
      </c>
      <c r="AC34" s="5">
        <v>71.959999999999994</v>
      </c>
      <c r="AD34" s="5">
        <f t="shared" si="8"/>
        <v>71.959999999999994</v>
      </c>
      <c r="AE34" s="5">
        <v>89.95</v>
      </c>
      <c r="AF34" s="5">
        <f t="shared" si="9"/>
        <v>89.95</v>
      </c>
      <c r="AH34" s="1">
        <f t="shared" si="10"/>
        <v>130</v>
      </c>
      <c r="AI34" s="5">
        <v>71.959999999999994</v>
      </c>
      <c r="AJ34" s="5">
        <f t="shared" si="11"/>
        <v>9354.7999999999975</v>
      </c>
      <c r="AK34" s="5">
        <v>89.95</v>
      </c>
      <c r="AL34" s="5">
        <f t="shared" si="12"/>
        <v>11693.5</v>
      </c>
    </row>
    <row r="35" spans="1:38">
      <c r="A35" s="4" t="s">
        <v>95</v>
      </c>
      <c r="B35" s="4" t="s">
        <v>106</v>
      </c>
      <c r="D35" s="1">
        <f>SUM('Sales TOTAL'!E34:AS34)</f>
        <v>0</v>
      </c>
      <c r="E35" s="5">
        <v>55.99</v>
      </c>
      <c r="F35" s="5">
        <f t="shared" ref="F35:F56" si="13">D35*E35</f>
        <v>0</v>
      </c>
      <c r="G35" s="5">
        <v>69.989999999999995</v>
      </c>
      <c r="H35" s="5">
        <f t="shared" si="1"/>
        <v>0</v>
      </c>
      <c r="J35" s="1">
        <f>SUM('Sales TOTAL'!AT34:CT34)</f>
        <v>50</v>
      </c>
      <c r="K35" s="5">
        <v>55.99</v>
      </c>
      <c r="L35" s="5">
        <f t="shared" ref="L35:L56" si="14">J35*K35</f>
        <v>2799.5</v>
      </c>
      <c r="M35" s="5">
        <v>69.989999999999995</v>
      </c>
      <c r="N35" s="5">
        <f t="shared" si="3"/>
        <v>3499.4999999999995</v>
      </c>
      <c r="P35" s="1">
        <f>SUM('Sales TOTAL'!CU34:ET34)</f>
        <v>44</v>
      </c>
      <c r="Q35" s="5">
        <v>55.99</v>
      </c>
      <c r="R35" s="5">
        <f t="shared" ref="R35:R56" si="15">P35*Q35</f>
        <v>2463.56</v>
      </c>
      <c r="S35" s="5">
        <v>69.989999999999995</v>
      </c>
      <c r="T35" s="5">
        <f t="shared" si="5"/>
        <v>3079.56</v>
      </c>
      <c r="V35" s="1">
        <f>SUM('Sales TOTAL'!EU34:GT34)</f>
        <v>0</v>
      </c>
      <c r="W35" s="5">
        <v>55.99</v>
      </c>
      <c r="X35" s="5">
        <f t="shared" ref="X35:X56" si="16">V35*W35</f>
        <v>0</v>
      </c>
      <c r="Y35" s="5">
        <v>69.989999999999995</v>
      </c>
      <c r="Z35" s="5">
        <f t="shared" si="7"/>
        <v>0</v>
      </c>
      <c r="AB35" s="1">
        <f>SUM('Sales TOTAL'!GU34:HX34)</f>
        <v>0</v>
      </c>
      <c r="AC35" s="5">
        <v>55.99</v>
      </c>
      <c r="AD35" s="5">
        <f t="shared" si="8"/>
        <v>0</v>
      </c>
      <c r="AE35" s="5">
        <v>69.989999999999995</v>
      </c>
      <c r="AF35" s="5">
        <f t="shared" si="9"/>
        <v>0</v>
      </c>
      <c r="AH35" s="1">
        <f t="shared" si="10"/>
        <v>94</v>
      </c>
      <c r="AI35" s="5">
        <v>55.99</v>
      </c>
      <c r="AJ35" s="5">
        <f t="shared" si="11"/>
        <v>5263.0599999999995</v>
      </c>
      <c r="AK35" s="5">
        <v>69.989999999999995</v>
      </c>
      <c r="AL35" s="5">
        <f t="shared" si="12"/>
        <v>6579.0599999999995</v>
      </c>
    </row>
    <row r="36" spans="1:38">
      <c r="A36" s="4" t="s">
        <v>139</v>
      </c>
      <c r="B36" s="4" t="s">
        <v>151</v>
      </c>
      <c r="D36" s="1">
        <f>SUM('Sales TOTAL'!E35:AS35)</f>
        <v>0</v>
      </c>
      <c r="E36" s="5">
        <v>37.46</v>
      </c>
      <c r="F36" s="5">
        <f t="shared" si="13"/>
        <v>0</v>
      </c>
      <c r="G36" s="5">
        <v>49.95</v>
      </c>
      <c r="H36" s="5">
        <f t="shared" si="1"/>
        <v>0</v>
      </c>
      <c r="J36" s="1">
        <f>SUM('Sales TOTAL'!AT35:CT35)</f>
        <v>0</v>
      </c>
      <c r="K36" s="5">
        <v>37.46</v>
      </c>
      <c r="L36" s="5">
        <f t="shared" si="14"/>
        <v>0</v>
      </c>
      <c r="M36" s="5">
        <v>49.95</v>
      </c>
      <c r="N36" s="5">
        <f t="shared" si="3"/>
        <v>0</v>
      </c>
      <c r="P36" s="1">
        <f>SUM('Sales TOTAL'!CU35:ET35)</f>
        <v>72</v>
      </c>
      <c r="Q36" s="5">
        <v>37.46</v>
      </c>
      <c r="R36" s="5">
        <f t="shared" si="15"/>
        <v>2697.12</v>
      </c>
      <c r="S36" s="5">
        <v>49.95</v>
      </c>
      <c r="T36" s="5">
        <f t="shared" si="5"/>
        <v>3596.4</v>
      </c>
      <c r="V36" s="1">
        <f>SUM('Sales TOTAL'!EU35:GT35)</f>
        <v>0</v>
      </c>
      <c r="W36" s="5">
        <v>37.46</v>
      </c>
      <c r="X36" s="5">
        <f t="shared" si="16"/>
        <v>0</v>
      </c>
      <c r="Y36" s="5">
        <v>49.95</v>
      </c>
      <c r="Z36" s="5">
        <f t="shared" si="7"/>
        <v>0</v>
      </c>
      <c r="AB36" s="1">
        <f>SUM('Sales TOTAL'!GU35:HX35)</f>
        <v>0</v>
      </c>
      <c r="AC36" s="5">
        <v>37.46</v>
      </c>
      <c r="AD36" s="5">
        <f t="shared" si="8"/>
        <v>0</v>
      </c>
      <c r="AE36" s="5">
        <v>49.95</v>
      </c>
      <c r="AF36" s="5">
        <f t="shared" si="9"/>
        <v>0</v>
      </c>
      <c r="AH36" s="1">
        <f t="shared" si="10"/>
        <v>72</v>
      </c>
      <c r="AI36" s="5">
        <v>37.46</v>
      </c>
      <c r="AJ36" s="5">
        <f t="shared" si="11"/>
        <v>2697.12</v>
      </c>
      <c r="AK36" s="5">
        <v>49.95</v>
      </c>
      <c r="AL36" s="5">
        <f t="shared" si="12"/>
        <v>3596.4</v>
      </c>
    </row>
    <row r="37" spans="1:38">
      <c r="A37" s="4" t="s">
        <v>140</v>
      </c>
      <c r="B37" s="4" t="s">
        <v>152</v>
      </c>
      <c r="D37" s="1">
        <f>SUM('Sales TOTAL'!E36:AS36)</f>
        <v>0</v>
      </c>
      <c r="E37" s="5">
        <v>37.46</v>
      </c>
      <c r="F37" s="5">
        <f t="shared" si="13"/>
        <v>0</v>
      </c>
      <c r="G37" s="5">
        <v>49.95</v>
      </c>
      <c r="H37" s="5">
        <f t="shared" si="1"/>
        <v>0</v>
      </c>
      <c r="J37" s="1">
        <f>SUM('Sales TOTAL'!AT36:CT36)</f>
        <v>0</v>
      </c>
      <c r="K37" s="5">
        <v>37.46</v>
      </c>
      <c r="L37" s="5">
        <f t="shared" si="14"/>
        <v>0</v>
      </c>
      <c r="M37" s="5">
        <v>49.95</v>
      </c>
      <c r="N37" s="5">
        <f t="shared" si="3"/>
        <v>0</v>
      </c>
      <c r="P37" s="1">
        <f>SUM('Sales TOTAL'!CU36:ET36)</f>
        <v>454</v>
      </c>
      <c r="Q37" s="5">
        <v>37.46</v>
      </c>
      <c r="R37" s="5">
        <f t="shared" si="15"/>
        <v>17006.84</v>
      </c>
      <c r="S37" s="5">
        <v>49.95</v>
      </c>
      <c r="T37" s="5">
        <f t="shared" si="5"/>
        <v>22677.300000000003</v>
      </c>
      <c r="V37" s="1">
        <f>SUM('Sales TOTAL'!EU36:GT36)</f>
        <v>1201</v>
      </c>
      <c r="W37" s="5">
        <v>37.46</v>
      </c>
      <c r="X37" s="5">
        <f t="shared" si="16"/>
        <v>44989.46</v>
      </c>
      <c r="Y37" s="5">
        <v>49.95</v>
      </c>
      <c r="Z37" s="5">
        <f t="shared" si="7"/>
        <v>59989.950000000004</v>
      </c>
      <c r="AB37" s="1">
        <f>SUM('Sales TOTAL'!GU36:HX36)</f>
        <v>414</v>
      </c>
      <c r="AC37" s="5">
        <v>37.46</v>
      </c>
      <c r="AD37" s="5">
        <f t="shared" si="8"/>
        <v>15508.44</v>
      </c>
      <c r="AE37" s="5">
        <v>49.95</v>
      </c>
      <c r="AF37" s="5">
        <f t="shared" si="9"/>
        <v>20679.300000000003</v>
      </c>
      <c r="AH37" s="1">
        <f t="shared" si="10"/>
        <v>2069</v>
      </c>
      <c r="AI37" s="5">
        <v>37.46</v>
      </c>
      <c r="AJ37" s="5">
        <f t="shared" si="11"/>
        <v>77504.740000000005</v>
      </c>
      <c r="AK37" s="5">
        <v>49.95</v>
      </c>
      <c r="AL37" s="5">
        <f t="shared" si="12"/>
        <v>103346.55</v>
      </c>
    </row>
    <row r="38" spans="1:38">
      <c r="A38" s="4" t="s">
        <v>141</v>
      </c>
      <c r="B38" s="4" t="s">
        <v>153</v>
      </c>
      <c r="D38" s="1">
        <f>SUM('Sales TOTAL'!E37:AS37)</f>
        <v>0</v>
      </c>
      <c r="E38" s="5">
        <v>37.46</v>
      </c>
      <c r="F38" s="5">
        <f t="shared" si="13"/>
        <v>0</v>
      </c>
      <c r="G38" s="5">
        <v>49.95</v>
      </c>
      <c r="H38" s="5">
        <f t="shared" si="1"/>
        <v>0</v>
      </c>
      <c r="J38" s="1">
        <f>SUM('Sales TOTAL'!AT37:CT37)</f>
        <v>0</v>
      </c>
      <c r="K38" s="5">
        <v>37.46</v>
      </c>
      <c r="L38" s="5">
        <f t="shared" si="14"/>
        <v>0</v>
      </c>
      <c r="M38" s="5">
        <v>49.95</v>
      </c>
      <c r="N38" s="5">
        <f t="shared" si="3"/>
        <v>0</v>
      </c>
      <c r="P38" s="1">
        <f>SUM('Sales TOTAL'!CU37:ET37)</f>
        <v>363</v>
      </c>
      <c r="Q38" s="5">
        <v>37.46</v>
      </c>
      <c r="R38" s="5">
        <f t="shared" si="15"/>
        <v>13597.98</v>
      </c>
      <c r="S38" s="5">
        <v>49.95</v>
      </c>
      <c r="T38" s="5">
        <f t="shared" si="5"/>
        <v>18131.850000000002</v>
      </c>
      <c r="V38" s="1">
        <f>SUM('Sales TOTAL'!EU37:GT37)</f>
        <v>821</v>
      </c>
      <c r="W38" s="5">
        <v>37.46</v>
      </c>
      <c r="X38" s="5">
        <f t="shared" si="16"/>
        <v>30754.66</v>
      </c>
      <c r="Y38" s="5">
        <v>49.95</v>
      </c>
      <c r="Z38" s="5">
        <f t="shared" si="7"/>
        <v>41008.950000000004</v>
      </c>
      <c r="AB38" s="1">
        <f>SUM('Sales TOTAL'!GU37:HX37)</f>
        <v>244</v>
      </c>
      <c r="AC38" s="5">
        <v>37.46</v>
      </c>
      <c r="AD38" s="5">
        <f t="shared" si="8"/>
        <v>9140.24</v>
      </c>
      <c r="AE38" s="5">
        <v>49.95</v>
      </c>
      <c r="AF38" s="5">
        <f t="shared" si="9"/>
        <v>12187.800000000001</v>
      </c>
      <c r="AH38" s="1">
        <f t="shared" si="10"/>
        <v>1428</v>
      </c>
      <c r="AI38" s="5">
        <v>37.46</v>
      </c>
      <c r="AJ38" s="5">
        <f t="shared" si="11"/>
        <v>53492.88</v>
      </c>
      <c r="AK38" s="5">
        <v>49.95</v>
      </c>
      <c r="AL38" s="5">
        <f t="shared" si="12"/>
        <v>71328.600000000006</v>
      </c>
    </row>
    <row r="39" spans="1:38">
      <c r="A39" s="4" t="s">
        <v>142</v>
      </c>
      <c r="B39" s="4" t="s">
        <v>154</v>
      </c>
      <c r="D39" s="1">
        <f>SUM('Sales TOTAL'!E38:AS38)</f>
        <v>0</v>
      </c>
      <c r="E39" s="5">
        <v>18.71</v>
      </c>
      <c r="F39" s="5">
        <f t="shared" si="13"/>
        <v>0</v>
      </c>
      <c r="G39" s="5">
        <v>19.989999999999998</v>
      </c>
      <c r="H39" s="5">
        <f t="shared" si="1"/>
        <v>0</v>
      </c>
      <c r="J39" s="1">
        <f>SUM('Sales TOTAL'!AT38:CT38)</f>
        <v>0</v>
      </c>
      <c r="K39" s="5">
        <v>18.71</v>
      </c>
      <c r="L39" s="5">
        <f t="shared" si="14"/>
        <v>0</v>
      </c>
      <c r="M39" s="5">
        <v>19.989999999999998</v>
      </c>
      <c r="N39" s="5">
        <f t="shared" si="3"/>
        <v>0</v>
      </c>
      <c r="P39" s="1">
        <f>SUM('Sales TOTAL'!CU38:ET38)</f>
        <v>1302</v>
      </c>
      <c r="Q39" s="5">
        <v>18.71</v>
      </c>
      <c r="R39" s="5">
        <f t="shared" si="15"/>
        <v>24360.420000000002</v>
      </c>
      <c r="S39" s="5">
        <v>19.989999999999998</v>
      </c>
      <c r="T39" s="5">
        <f t="shared" si="5"/>
        <v>26026.98</v>
      </c>
      <c r="V39" s="1">
        <f>SUM('Sales TOTAL'!EU38:GT38)</f>
        <v>1620</v>
      </c>
      <c r="W39" s="5">
        <v>18.71</v>
      </c>
      <c r="X39" s="5">
        <f t="shared" si="16"/>
        <v>30310.2</v>
      </c>
      <c r="Y39" s="5">
        <v>19.989999999999998</v>
      </c>
      <c r="Z39" s="5">
        <f t="shared" si="7"/>
        <v>32383.8</v>
      </c>
      <c r="AB39" s="1">
        <f>SUM('Sales TOTAL'!GU38:HX38)</f>
        <v>0</v>
      </c>
      <c r="AC39" s="5">
        <v>18.71</v>
      </c>
      <c r="AD39" s="5">
        <f t="shared" si="8"/>
        <v>0</v>
      </c>
      <c r="AE39" s="5">
        <v>19.989999999999998</v>
      </c>
      <c r="AF39" s="5">
        <f t="shared" si="9"/>
        <v>0</v>
      </c>
      <c r="AH39" s="1">
        <f t="shared" si="10"/>
        <v>2922</v>
      </c>
      <c r="AI39" s="5">
        <v>18.71</v>
      </c>
      <c r="AJ39" s="5">
        <f t="shared" si="11"/>
        <v>54670.62</v>
      </c>
      <c r="AK39" s="5">
        <v>19.989999999999998</v>
      </c>
      <c r="AL39" s="5">
        <f t="shared" si="12"/>
        <v>58410.78</v>
      </c>
    </row>
    <row r="40" spans="1:38">
      <c r="A40" s="4" t="s">
        <v>143</v>
      </c>
      <c r="B40" s="4" t="s">
        <v>155</v>
      </c>
      <c r="D40" s="1">
        <f>SUM('Sales TOTAL'!E39:AS39)</f>
        <v>0</v>
      </c>
      <c r="E40" s="5">
        <v>18.71</v>
      </c>
      <c r="F40" s="5">
        <f t="shared" si="13"/>
        <v>0</v>
      </c>
      <c r="G40" s="5">
        <v>19.989999999999998</v>
      </c>
      <c r="H40" s="5">
        <f t="shared" si="1"/>
        <v>0</v>
      </c>
      <c r="J40" s="1">
        <f>SUM('Sales TOTAL'!AT39:CT39)</f>
        <v>0</v>
      </c>
      <c r="K40" s="5">
        <v>18.71</v>
      </c>
      <c r="L40" s="5">
        <f t="shared" si="14"/>
        <v>0</v>
      </c>
      <c r="M40" s="5">
        <v>19.989999999999998</v>
      </c>
      <c r="N40" s="5">
        <f t="shared" si="3"/>
        <v>0</v>
      </c>
      <c r="P40" s="1">
        <f>SUM('Sales TOTAL'!CU39:ET39)</f>
        <v>572</v>
      </c>
      <c r="Q40" s="5">
        <v>18.71</v>
      </c>
      <c r="R40" s="5">
        <f t="shared" si="15"/>
        <v>10702.12</v>
      </c>
      <c r="S40" s="5">
        <v>19.989999999999998</v>
      </c>
      <c r="T40" s="5">
        <f t="shared" si="5"/>
        <v>11434.279999999999</v>
      </c>
      <c r="V40" s="1">
        <f>SUM('Sales TOTAL'!EU39:GT39)</f>
        <v>833</v>
      </c>
      <c r="W40" s="5">
        <v>18.71</v>
      </c>
      <c r="X40" s="5">
        <f t="shared" si="16"/>
        <v>15585.43</v>
      </c>
      <c r="Y40" s="5">
        <v>19.989999999999998</v>
      </c>
      <c r="Z40" s="5">
        <f t="shared" si="7"/>
        <v>16651.669999999998</v>
      </c>
      <c r="AB40" s="1">
        <f>SUM('Sales TOTAL'!GU39:HX39)</f>
        <v>207</v>
      </c>
      <c r="AC40" s="5">
        <v>18.71</v>
      </c>
      <c r="AD40" s="5">
        <f t="shared" si="8"/>
        <v>3872.9700000000003</v>
      </c>
      <c r="AE40" s="5">
        <v>19.989999999999998</v>
      </c>
      <c r="AF40" s="5">
        <f t="shared" si="9"/>
        <v>4137.9299999999994</v>
      </c>
      <c r="AH40" s="1">
        <f t="shared" si="10"/>
        <v>1612</v>
      </c>
      <c r="AI40" s="5">
        <v>18.71</v>
      </c>
      <c r="AJ40" s="5">
        <f t="shared" si="11"/>
        <v>30160.520000000004</v>
      </c>
      <c r="AK40" s="5">
        <v>19.989999999999998</v>
      </c>
      <c r="AL40" s="5">
        <f t="shared" si="12"/>
        <v>32223.879999999997</v>
      </c>
    </row>
    <row r="41" spans="1:38">
      <c r="A41" s="4" t="s">
        <v>144</v>
      </c>
      <c r="B41" s="4" t="s">
        <v>156</v>
      </c>
      <c r="D41" s="1">
        <f>SUM('Sales TOTAL'!E40:AS40)</f>
        <v>0</v>
      </c>
      <c r="E41" s="5">
        <v>7.46</v>
      </c>
      <c r="F41" s="5">
        <f t="shared" si="13"/>
        <v>0</v>
      </c>
      <c r="G41" s="5">
        <v>9.9499999999999993</v>
      </c>
      <c r="H41" s="5">
        <f t="shared" si="1"/>
        <v>0</v>
      </c>
      <c r="J41" s="1">
        <f>SUM('Sales TOTAL'!AT40:CT40)</f>
        <v>0</v>
      </c>
      <c r="K41" s="5">
        <v>7.46</v>
      </c>
      <c r="L41" s="5">
        <f t="shared" si="14"/>
        <v>0</v>
      </c>
      <c r="M41" s="5">
        <v>9.9499999999999993</v>
      </c>
      <c r="N41" s="5">
        <f t="shared" si="3"/>
        <v>0</v>
      </c>
      <c r="P41" s="1">
        <f>SUM('Sales TOTAL'!CU40:ET40)</f>
        <v>178</v>
      </c>
      <c r="Q41" s="5">
        <v>7.46</v>
      </c>
      <c r="R41" s="5">
        <f t="shared" si="15"/>
        <v>1327.8799999999999</v>
      </c>
      <c r="S41" s="5">
        <v>9.9499999999999993</v>
      </c>
      <c r="T41" s="5">
        <f t="shared" si="5"/>
        <v>1771.1</v>
      </c>
      <c r="V41" s="1">
        <f>SUM('Sales TOTAL'!EU40:GT40)</f>
        <v>384</v>
      </c>
      <c r="W41" s="5">
        <v>7.46</v>
      </c>
      <c r="X41" s="5">
        <f t="shared" si="16"/>
        <v>2864.64</v>
      </c>
      <c r="Y41" s="5">
        <v>9.9499999999999993</v>
      </c>
      <c r="Z41" s="5">
        <f t="shared" si="7"/>
        <v>3820.7999999999997</v>
      </c>
      <c r="AB41" s="1">
        <f>SUM('Sales TOTAL'!GU40:HX40)</f>
        <v>210</v>
      </c>
      <c r="AC41" s="5">
        <v>7.46</v>
      </c>
      <c r="AD41" s="5">
        <f t="shared" si="8"/>
        <v>1566.6</v>
      </c>
      <c r="AE41" s="5">
        <v>9.9499999999999993</v>
      </c>
      <c r="AF41" s="5">
        <f t="shared" si="9"/>
        <v>2089.5</v>
      </c>
      <c r="AH41" s="1">
        <f t="shared" si="10"/>
        <v>772</v>
      </c>
      <c r="AI41" s="5">
        <v>7.46</v>
      </c>
      <c r="AJ41" s="5">
        <f t="shared" si="11"/>
        <v>5759.119999999999</v>
      </c>
      <c r="AK41" s="5">
        <v>9.9499999999999993</v>
      </c>
      <c r="AL41" s="5">
        <f t="shared" si="12"/>
        <v>7681.4</v>
      </c>
    </row>
    <row r="42" spans="1:38">
      <c r="A42" s="4" t="s">
        <v>145</v>
      </c>
      <c r="B42" s="4" t="s">
        <v>157</v>
      </c>
      <c r="D42" s="1">
        <f>SUM('Sales TOTAL'!E41:AS41)</f>
        <v>0</v>
      </c>
      <c r="E42" s="5">
        <v>7.46</v>
      </c>
      <c r="F42" s="5">
        <f t="shared" si="13"/>
        <v>0</v>
      </c>
      <c r="G42" s="5">
        <v>9.9499999999999993</v>
      </c>
      <c r="H42" s="5">
        <f t="shared" si="1"/>
        <v>0</v>
      </c>
      <c r="J42" s="1">
        <f>SUM('Sales TOTAL'!AT41:CT41)</f>
        <v>0</v>
      </c>
      <c r="K42" s="5">
        <v>7.46</v>
      </c>
      <c r="L42" s="5">
        <f t="shared" si="14"/>
        <v>0</v>
      </c>
      <c r="M42" s="5">
        <v>9.9499999999999993</v>
      </c>
      <c r="N42" s="5">
        <f t="shared" si="3"/>
        <v>0</v>
      </c>
      <c r="P42" s="1">
        <f>SUM('Sales TOTAL'!CU41:ET41)</f>
        <v>76</v>
      </c>
      <c r="Q42" s="5">
        <v>7.46</v>
      </c>
      <c r="R42" s="5">
        <f t="shared" si="15"/>
        <v>566.96</v>
      </c>
      <c r="S42" s="5">
        <v>9.9499999999999993</v>
      </c>
      <c r="T42" s="5">
        <f t="shared" si="5"/>
        <v>756.19999999999993</v>
      </c>
      <c r="V42" s="1">
        <f>SUM('Sales TOTAL'!EU41:GT41)</f>
        <v>214</v>
      </c>
      <c r="W42" s="5">
        <v>7.46</v>
      </c>
      <c r="X42" s="5">
        <f t="shared" si="16"/>
        <v>1596.44</v>
      </c>
      <c r="Y42" s="5">
        <v>9.9499999999999993</v>
      </c>
      <c r="Z42" s="5">
        <f t="shared" si="7"/>
        <v>2129.2999999999997</v>
      </c>
      <c r="AB42" s="1">
        <f>SUM('Sales TOTAL'!GU41:HX41)</f>
        <v>78</v>
      </c>
      <c r="AC42" s="5">
        <v>7.46</v>
      </c>
      <c r="AD42" s="5">
        <f t="shared" si="8"/>
        <v>581.88</v>
      </c>
      <c r="AE42" s="5">
        <v>9.9499999999999993</v>
      </c>
      <c r="AF42" s="5">
        <f t="shared" si="9"/>
        <v>776.09999999999991</v>
      </c>
      <c r="AH42" s="1">
        <f t="shared" si="10"/>
        <v>368</v>
      </c>
      <c r="AI42" s="5">
        <v>7.46</v>
      </c>
      <c r="AJ42" s="5">
        <f t="shared" si="11"/>
        <v>2745.28</v>
      </c>
      <c r="AK42" s="5">
        <v>9.9499999999999993</v>
      </c>
      <c r="AL42" s="5">
        <f t="shared" si="12"/>
        <v>3661.5999999999995</v>
      </c>
    </row>
    <row r="43" spans="1:38">
      <c r="A43" s="4" t="s">
        <v>146</v>
      </c>
      <c r="B43" s="4" t="s">
        <v>158</v>
      </c>
      <c r="D43" s="1">
        <f>SUM('Sales TOTAL'!E42:AS42)</f>
        <v>0</v>
      </c>
      <c r="E43" s="5">
        <v>67.459999999999994</v>
      </c>
      <c r="F43" s="5">
        <f t="shared" si="13"/>
        <v>0</v>
      </c>
      <c r="G43" s="5">
        <v>89.95</v>
      </c>
      <c r="H43" s="5">
        <f t="shared" si="1"/>
        <v>0</v>
      </c>
      <c r="J43" s="1">
        <f>SUM('Sales TOTAL'!AT42:CT42)</f>
        <v>0</v>
      </c>
      <c r="K43" s="5">
        <v>67.459999999999994</v>
      </c>
      <c r="L43" s="5">
        <f t="shared" si="14"/>
        <v>0</v>
      </c>
      <c r="M43" s="5">
        <v>89.95</v>
      </c>
      <c r="N43" s="5">
        <f t="shared" si="3"/>
        <v>0</v>
      </c>
      <c r="P43" s="1">
        <f>SUM('Sales TOTAL'!CU42:ET42)</f>
        <v>34</v>
      </c>
      <c r="Q43" s="5">
        <v>67.459999999999994</v>
      </c>
      <c r="R43" s="5">
        <f t="shared" si="15"/>
        <v>2293.64</v>
      </c>
      <c r="S43" s="5">
        <v>89.95</v>
      </c>
      <c r="T43" s="5">
        <f t="shared" si="5"/>
        <v>3058.3</v>
      </c>
      <c r="V43" s="1">
        <f>SUM('Sales TOTAL'!EU42:GT42)</f>
        <v>0</v>
      </c>
      <c r="W43" s="5">
        <v>67.459999999999994</v>
      </c>
      <c r="X43" s="5">
        <f t="shared" si="16"/>
        <v>0</v>
      </c>
      <c r="Y43" s="5">
        <v>89.95</v>
      </c>
      <c r="Z43" s="5">
        <f t="shared" si="7"/>
        <v>0</v>
      </c>
      <c r="AB43" s="1">
        <f>SUM('Sales TOTAL'!GU42:HX42)</f>
        <v>0</v>
      </c>
      <c r="AC43" s="5">
        <v>67.459999999999994</v>
      </c>
      <c r="AD43" s="5">
        <f t="shared" si="8"/>
        <v>0</v>
      </c>
      <c r="AE43" s="5">
        <v>89.95</v>
      </c>
      <c r="AF43" s="5">
        <f t="shared" si="9"/>
        <v>0</v>
      </c>
      <c r="AH43" s="1">
        <f t="shared" si="10"/>
        <v>34</v>
      </c>
      <c r="AI43" s="5">
        <v>67.459999999999994</v>
      </c>
      <c r="AJ43" s="5">
        <f t="shared" si="11"/>
        <v>2293.64</v>
      </c>
      <c r="AK43" s="5">
        <v>89.95</v>
      </c>
      <c r="AL43" s="5">
        <f t="shared" si="12"/>
        <v>3058.3</v>
      </c>
    </row>
    <row r="44" spans="1:38">
      <c r="A44" s="4" t="s">
        <v>147</v>
      </c>
      <c r="B44" s="4" t="s">
        <v>159</v>
      </c>
      <c r="D44" s="1">
        <f>SUM('Sales TOTAL'!E43:AS43)</f>
        <v>0</v>
      </c>
      <c r="E44" s="5">
        <v>11.21</v>
      </c>
      <c r="F44" s="5">
        <f t="shared" si="13"/>
        <v>0</v>
      </c>
      <c r="G44" s="5">
        <v>14.95</v>
      </c>
      <c r="H44" s="5">
        <f t="shared" si="1"/>
        <v>0</v>
      </c>
      <c r="J44" s="1">
        <f>SUM('Sales TOTAL'!AT43:CT43)</f>
        <v>0</v>
      </c>
      <c r="K44" s="5">
        <v>11.21</v>
      </c>
      <c r="L44" s="5">
        <f t="shared" si="14"/>
        <v>0</v>
      </c>
      <c r="M44" s="5">
        <v>14.95</v>
      </c>
      <c r="N44" s="5">
        <f t="shared" si="3"/>
        <v>0</v>
      </c>
      <c r="P44" s="1">
        <f>SUM('Sales TOTAL'!CU43:ET43)</f>
        <v>8</v>
      </c>
      <c r="Q44" s="5">
        <v>11.21</v>
      </c>
      <c r="R44" s="5">
        <f t="shared" si="15"/>
        <v>89.68</v>
      </c>
      <c r="S44" s="5">
        <v>14.95</v>
      </c>
      <c r="T44" s="5">
        <f t="shared" si="5"/>
        <v>119.6</v>
      </c>
      <c r="V44" s="1">
        <f>SUM('Sales TOTAL'!EU43:GT43)</f>
        <v>34</v>
      </c>
      <c r="W44" s="5">
        <v>11.21</v>
      </c>
      <c r="X44" s="5">
        <f t="shared" si="16"/>
        <v>381.14000000000004</v>
      </c>
      <c r="Y44" s="5">
        <v>14.95</v>
      </c>
      <c r="Z44" s="5">
        <f t="shared" si="7"/>
        <v>508.29999999999995</v>
      </c>
      <c r="AB44" s="1">
        <f>SUM('Sales TOTAL'!GU43:HX43)</f>
        <v>24</v>
      </c>
      <c r="AC44" s="5">
        <v>11.21</v>
      </c>
      <c r="AD44" s="5">
        <f t="shared" si="8"/>
        <v>269.04000000000002</v>
      </c>
      <c r="AE44" s="5">
        <v>14.95</v>
      </c>
      <c r="AF44" s="5">
        <f t="shared" si="9"/>
        <v>358.79999999999995</v>
      </c>
      <c r="AH44" s="1">
        <f t="shared" si="10"/>
        <v>66</v>
      </c>
      <c r="AI44" s="5">
        <v>11.21</v>
      </c>
      <c r="AJ44" s="5">
        <f t="shared" si="11"/>
        <v>739.86000000000013</v>
      </c>
      <c r="AK44" s="5">
        <v>14.95</v>
      </c>
      <c r="AL44" s="5">
        <f t="shared" si="12"/>
        <v>986.69999999999993</v>
      </c>
    </row>
    <row r="45" spans="1:38">
      <c r="A45" s="4" t="s">
        <v>148</v>
      </c>
      <c r="B45" s="4" t="s">
        <v>160</v>
      </c>
      <c r="D45" s="1">
        <f>SUM('Sales TOTAL'!E44:AS44)</f>
        <v>0</v>
      </c>
      <c r="E45" s="5">
        <v>11.21</v>
      </c>
      <c r="F45" s="5">
        <f t="shared" si="13"/>
        <v>0</v>
      </c>
      <c r="G45" s="5">
        <v>14.95</v>
      </c>
      <c r="H45" s="5">
        <f t="shared" si="1"/>
        <v>0</v>
      </c>
      <c r="J45" s="1">
        <f>SUM('Sales TOTAL'!AT44:CT44)</f>
        <v>0</v>
      </c>
      <c r="K45" s="5">
        <v>11.21</v>
      </c>
      <c r="L45" s="5">
        <f t="shared" si="14"/>
        <v>0</v>
      </c>
      <c r="M45" s="5">
        <v>14.95</v>
      </c>
      <c r="N45" s="5">
        <f t="shared" si="3"/>
        <v>0</v>
      </c>
      <c r="P45" s="1">
        <f>SUM('Sales TOTAL'!CU44:ET44)</f>
        <v>12</v>
      </c>
      <c r="Q45" s="5">
        <v>11.21</v>
      </c>
      <c r="R45" s="5">
        <f t="shared" si="15"/>
        <v>134.52000000000001</v>
      </c>
      <c r="S45" s="5">
        <v>14.95</v>
      </c>
      <c r="T45" s="5">
        <f t="shared" si="5"/>
        <v>179.39999999999998</v>
      </c>
      <c r="V45" s="1">
        <f>SUM('Sales TOTAL'!EU44:GT44)</f>
        <v>80</v>
      </c>
      <c r="W45" s="5">
        <v>11.21</v>
      </c>
      <c r="X45" s="5">
        <f t="shared" si="16"/>
        <v>896.80000000000007</v>
      </c>
      <c r="Y45" s="5">
        <v>14.95</v>
      </c>
      <c r="Z45" s="5">
        <f t="shared" si="7"/>
        <v>1196</v>
      </c>
      <c r="AB45" s="1">
        <f>SUM('Sales TOTAL'!GU44:HX44)</f>
        <v>47</v>
      </c>
      <c r="AC45" s="5">
        <v>11.21</v>
      </c>
      <c r="AD45" s="5">
        <f t="shared" si="8"/>
        <v>526.87</v>
      </c>
      <c r="AE45" s="5">
        <v>14.95</v>
      </c>
      <c r="AF45" s="5">
        <f t="shared" si="9"/>
        <v>702.65</v>
      </c>
      <c r="AH45" s="1">
        <f t="shared" si="10"/>
        <v>139</v>
      </c>
      <c r="AI45" s="5">
        <v>11.21</v>
      </c>
      <c r="AJ45" s="5">
        <f t="shared" si="11"/>
        <v>1558.19</v>
      </c>
      <c r="AK45" s="5">
        <v>14.95</v>
      </c>
      <c r="AL45" s="5">
        <f t="shared" si="12"/>
        <v>2078.0500000000002</v>
      </c>
    </row>
    <row r="46" spans="1:38">
      <c r="A46" s="4" t="s">
        <v>149</v>
      </c>
      <c r="B46" s="4" t="s">
        <v>161</v>
      </c>
      <c r="D46" s="1">
        <f>SUM('Sales TOTAL'!E45:AS45)</f>
        <v>0</v>
      </c>
      <c r="E46" s="5">
        <v>18.71</v>
      </c>
      <c r="F46" s="5">
        <f t="shared" si="13"/>
        <v>0</v>
      </c>
      <c r="G46" s="5">
        <v>29.95</v>
      </c>
      <c r="H46" s="5">
        <f t="shared" si="1"/>
        <v>0</v>
      </c>
      <c r="J46" s="1">
        <f>SUM('Sales TOTAL'!AT45:CT45)</f>
        <v>0</v>
      </c>
      <c r="K46" s="5">
        <v>18.71</v>
      </c>
      <c r="L46" s="5">
        <f t="shared" si="14"/>
        <v>0</v>
      </c>
      <c r="M46" s="5">
        <v>29.95</v>
      </c>
      <c r="N46" s="5">
        <f t="shared" si="3"/>
        <v>0</v>
      </c>
      <c r="P46" s="1">
        <f>SUM('Sales TOTAL'!CU45:ET45)</f>
        <v>17</v>
      </c>
      <c r="Q46" s="5">
        <v>18.71</v>
      </c>
      <c r="R46" s="5">
        <f t="shared" si="15"/>
        <v>318.07</v>
      </c>
      <c r="S46" s="5">
        <v>29.95</v>
      </c>
      <c r="T46" s="5">
        <f t="shared" si="5"/>
        <v>509.15</v>
      </c>
      <c r="V46" s="1">
        <f>SUM('Sales TOTAL'!EU45:GT45)</f>
        <v>95</v>
      </c>
      <c r="W46" s="5">
        <v>18.71</v>
      </c>
      <c r="X46" s="5">
        <f t="shared" si="16"/>
        <v>1777.45</v>
      </c>
      <c r="Y46" s="5">
        <v>29.95</v>
      </c>
      <c r="Z46" s="5">
        <f t="shared" si="7"/>
        <v>2845.25</v>
      </c>
      <c r="AB46" s="1">
        <f>SUM('Sales TOTAL'!GU45:HX45)</f>
        <v>49</v>
      </c>
      <c r="AC46" s="5">
        <v>18.71</v>
      </c>
      <c r="AD46" s="5">
        <f t="shared" si="8"/>
        <v>916.79000000000008</v>
      </c>
      <c r="AE46" s="5">
        <v>29.95</v>
      </c>
      <c r="AF46" s="5">
        <f t="shared" si="9"/>
        <v>1467.55</v>
      </c>
      <c r="AH46" s="1">
        <f t="shared" si="10"/>
        <v>161</v>
      </c>
      <c r="AI46" s="5">
        <v>18.71</v>
      </c>
      <c r="AJ46" s="5">
        <f t="shared" si="11"/>
        <v>3012.31</v>
      </c>
      <c r="AK46" s="5">
        <v>29.95</v>
      </c>
      <c r="AL46" s="5">
        <f t="shared" si="12"/>
        <v>4821.95</v>
      </c>
    </row>
    <row r="47" spans="1:38">
      <c r="A47" s="4" t="s">
        <v>150</v>
      </c>
      <c r="B47" s="4" t="s">
        <v>162</v>
      </c>
      <c r="D47" s="1">
        <f>SUM('Sales TOTAL'!E46:AS46)</f>
        <v>0</v>
      </c>
      <c r="E47" s="5">
        <v>18.71</v>
      </c>
      <c r="F47" s="5">
        <f t="shared" si="13"/>
        <v>0</v>
      </c>
      <c r="G47" s="5">
        <v>29.95</v>
      </c>
      <c r="H47" s="5">
        <f t="shared" si="1"/>
        <v>0</v>
      </c>
      <c r="J47" s="1">
        <f>SUM('Sales TOTAL'!AT46:CT46)</f>
        <v>0</v>
      </c>
      <c r="K47" s="5">
        <v>18.71</v>
      </c>
      <c r="L47" s="5">
        <f t="shared" si="14"/>
        <v>0</v>
      </c>
      <c r="M47" s="5">
        <v>29.95</v>
      </c>
      <c r="N47" s="5">
        <f t="shared" si="3"/>
        <v>0</v>
      </c>
      <c r="P47" s="1">
        <f>SUM('Sales TOTAL'!CU46:ET46)</f>
        <v>69</v>
      </c>
      <c r="Q47" s="5">
        <v>18.71</v>
      </c>
      <c r="R47" s="5">
        <f t="shared" si="15"/>
        <v>1290.99</v>
      </c>
      <c r="S47" s="5">
        <v>29.95</v>
      </c>
      <c r="T47" s="5">
        <f t="shared" si="5"/>
        <v>2066.5499999999997</v>
      </c>
      <c r="V47" s="1">
        <f>SUM('Sales TOTAL'!EU46:GT46)</f>
        <v>110</v>
      </c>
      <c r="W47" s="5">
        <v>18.71</v>
      </c>
      <c r="X47" s="5">
        <f t="shared" si="16"/>
        <v>2058.1</v>
      </c>
      <c r="Y47" s="5">
        <v>29.95</v>
      </c>
      <c r="Z47" s="5">
        <f t="shared" si="7"/>
        <v>3294.5</v>
      </c>
      <c r="AB47" s="1">
        <f>SUM('Sales TOTAL'!GU46:HX46)</f>
        <v>102</v>
      </c>
      <c r="AC47" s="5">
        <v>18.71</v>
      </c>
      <c r="AD47" s="5">
        <f t="shared" si="8"/>
        <v>1908.42</v>
      </c>
      <c r="AE47" s="5">
        <v>29.95</v>
      </c>
      <c r="AF47" s="5">
        <f t="shared" si="9"/>
        <v>3054.9</v>
      </c>
      <c r="AH47" s="1">
        <f t="shared" si="10"/>
        <v>281</v>
      </c>
      <c r="AI47" s="5">
        <v>18.71</v>
      </c>
      <c r="AJ47" s="5">
        <f t="shared" si="11"/>
        <v>5257.51</v>
      </c>
      <c r="AK47" s="5">
        <v>29.95</v>
      </c>
      <c r="AL47" s="5">
        <f t="shared" si="12"/>
        <v>8415.9499999999989</v>
      </c>
    </row>
    <row r="48" spans="1:38">
      <c r="A48" s="4" t="s">
        <v>163</v>
      </c>
      <c r="B48" s="4" t="s">
        <v>164</v>
      </c>
      <c r="D48" s="1">
        <f>SUM('Sales TOTAL'!E47:AS47)</f>
        <v>0</v>
      </c>
      <c r="E48" s="5">
        <v>22.46</v>
      </c>
      <c r="F48" s="5">
        <f t="shared" si="13"/>
        <v>0</v>
      </c>
      <c r="G48" s="5">
        <v>29.95</v>
      </c>
      <c r="H48" s="5">
        <f t="shared" si="1"/>
        <v>0</v>
      </c>
      <c r="J48" s="1">
        <f>SUM('Sales TOTAL'!AT47:CT47)</f>
        <v>0</v>
      </c>
      <c r="K48" s="5">
        <v>22.46</v>
      </c>
      <c r="L48" s="5">
        <f t="shared" si="14"/>
        <v>0</v>
      </c>
      <c r="M48" s="5">
        <v>29.95</v>
      </c>
      <c r="N48" s="5">
        <f t="shared" si="3"/>
        <v>0</v>
      </c>
      <c r="P48" s="1">
        <f>SUM('Sales TOTAL'!CU47:ET47)</f>
        <v>72</v>
      </c>
      <c r="Q48" s="5">
        <v>22.46</v>
      </c>
      <c r="R48" s="5">
        <f t="shared" si="15"/>
        <v>1617.1200000000001</v>
      </c>
      <c r="S48" s="5">
        <v>29.95</v>
      </c>
      <c r="T48" s="5">
        <f t="shared" si="5"/>
        <v>2156.4</v>
      </c>
      <c r="V48" s="1">
        <f>SUM('Sales TOTAL'!EU47:GT47)</f>
        <v>42</v>
      </c>
      <c r="W48" s="5">
        <v>22.46</v>
      </c>
      <c r="X48" s="5">
        <f t="shared" si="16"/>
        <v>943.32</v>
      </c>
      <c r="Y48" s="5">
        <v>29.95</v>
      </c>
      <c r="Z48" s="5">
        <f t="shared" si="7"/>
        <v>1257.8999999999999</v>
      </c>
      <c r="AB48" s="1">
        <f>SUM('Sales TOTAL'!GU47:HX47)</f>
        <v>136</v>
      </c>
      <c r="AC48" s="5">
        <v>22.46</v>
      </c>
      <c r="AD48" s="5">
        <f t="shared" si="8"/>
        <v>3054.56</v>
      </c>
      <c r="AE48" s="5">
        <v>29.95</v>
      </c>
      <c r="AF48" s="5">
        <f t="shared" si="9"/>
        <v>4073.2</v>
      </c>
      <c r="AH48" s="1">
        <f t="shared" si="10"/>
        <v>250</v>
      </c>
      <c r="AI48" s="5">
        <v>22.46</v>
      </c>
      <c r="AJ48" s="5">
        <f t="shared" si="11"/>
        <v>5615</v>
      </c>
      <c r="AK48" s="5">
        <v>29.95</v>
      </c>
      <c r="AL48" s="5">
        <f t="shared" si="12"/>
        <v>7487.5</v>
      </c>
    </row>
    <row r="49" spans="1:38">
      <c r="A49" s="4" t="s">
        <v>165</v>
      </c>
      <c r="B49" s="4" t="s">
        <v>192</v>
      </c>
      <c r="D49" s="1">
        <f>SUM('Sales TOTAL'!E48:AS48)</f>
        <v>0</v>
      </c>
      <c r="E49" s="5">
        <v>37.46</v>
      </c>
      <c r="F49" s="5">
        <f t="shared" si="13"/>
        <v>0</v>
      </c>
      <c r="G49" s="5">
        <v>49.95</v>
      </c>
      <c r="H49" s="5">
        <f t="shared" si="1"/>
        <v>0</v>
      </c>
      <c r="J49" s="1">
        <f>SUM('Sales TOTAL'!AT48:CT48)</f>
        <v>0</v>
      </c>
      <c r="K49" s="5">
        <v>37.46</v>
      </c>
      <c r="L49" s="5">
        <f t="shared" si="14"/>
        <v>0</v>
      </c>
      <c r="M49" s="5">
        <v>49.95</v>
      </c>
      <c r="N49" s="5">
        <f t="shared" si="3"/>
        <v>0</v>
      </c>
      <c r="P49" s="1">
        <f>SUM('Sales TOTAL'!CU48:ET48)</f>
        <v>3</v>
      </c>
      <c r="Q49" s="5">
        <v>37.46</v>
      </c>
      <c r="R49" s="5">
        <f t="shared" si="15"/>
        <v>112.38</v>
      </c>
      <c r="S49" s="5">
        <v>49.95</v>
      </c>
      <c r="T49" s="5">
        <f t="shared" si="5"/>
        <v>149.85000000000002</v>
      </c>
      <c r="V49" s="1">
        <f>SUM('Sales TOTAL'!EU48:GT48)</f>
        <v>593</v>
      </c>
      <c r="W49" s="5">
        <v>37.46</v>
      </c>
      <c r="X49" s="5">
        <f t="shared" si="16"/>
        <v>22213.78</v>
      </c>
      <c r="Y49" s="5">
        <v>49.95</v>
      </c>
      <c r="Z49" s="5">
        <f t="shared" si="7"/>
        <v>29620.350000000002</v>
      </c>
      <c r="AB49" s="1">
        <f>SUM('Sales TOTAL'!GU48:HX48)</f>
        <v>0</v>
      </c>
      <c r="AC49" s="5">
        <v>37.46</v>
      </c>
      <c r="AD49" s="5">
        <f t="shared" si="8"/>
        <v>0</v>
      </c>
      <c r="AE49" s="5">
        <v>49.95</v>
      </c>
      <c r="AF49" s="5">
        <f t="shared" si="9"/>
        <v>0</v>
      </c>
      <c r="AH49" s="1">
        <f t="shared" si="10"/>
        <v>596</v>
      </c>
      <c r="AI49" s="5">
        <v>37.46</v>
      </c>
      <c r="AJ49" s="5">
        <f t="shared" si="11"/>
        <v>22326.16</v>
      </c>
      <c r="AK49" s="5">
        <v>49.95</v>
      </c>
      <c r="AL49" s="5">
        <f t="shared" si="12"/>
        <v>29770.2</v>
      </c>
    </row>
    <row r="50" spans="1:38">
      <c r="A50" s="4" t="s">
        <v>193</v>
      </c>
      <c r="B50" s="4" t="s">
        <v>194</v>
      </c>
      <c r="D50" s="1">
        <f>SUM('Sales TOTAL'!E49:AS49)</f>
        <v>0</v>
      </c>
      <c r="E50" s="5">
        <v>37.46</v>
      </c>
      <c r="F50" s="5">
        <f t="shared" si="13"/>
        <v>0</v>
      </c>
      <c r="G50" s="5">
        <v>49.95</v>
      </c>
      <c r="H50" s="5">
        <f t="shared" si="1"/>
        <v>0</v>
      </c>
      <c r="J50" s="1">
        <f>SUM('Sales TOTAL'!AT49:CT49)</f>
        <v>0</v>
      </c>
      <c r="K50" s="5">
        <v>37.46</v>
      </c>
      <c r="L50" s="5">
        <f t="shared" si="14"/>
        <v>0</v>
      </c>
      <c r="M50" s="5">
        <v>49.95</v>
      </c>
      <c r="N50" s="5">
        <f t="shared" si="3"/>
        <v>0</v>
      </c>
      <c r="P50" s="1">
        <f>SUM('Sales TOTAL'!CU49:ET49)</f>
        <v>0</v>
      </c>
      <c r="Q50" s="5">
        <v>37.46</v>
      </c>
      <c r="R50" s="5">
        <f t="shared" si="15"/>
        <v>0</v>
      </c>
      <c r="S50" s="5">
        <v>49.95</v>
      </c>
      <c r="T50" s="5">
        <f t="shared" si="5"/>
        <v>0</v>
      </c>
      <c r="V50" s="1">
        <f>SUM('Sales TOTAL'!EU49:GT49)</f>
        <v>1962</v>
      </c>
      <c r="W50" s="5">
        <v>37.46</v>
      </c>
      <c r="X50" s="5">
        <f t="shared" si="16"/>
        <v>73496.52</v>
      </c>
      <c r="Y50" s="5">
        <v>49.95</v>
      </c>
      <c r="Z50" s="5">
        <f t="shared" si="7"/>
        <v>98001.900000000009</v>
      </c>
      <c r="AB50" s="1">
        <f>SUM('Sales TOTAL'!GU49:HX49)</f>
        <v>181</v>
      </c>
      <c r="AC50" s="5">
        <v>37.46</v>
      </c>
      <c r="AD50" s="5">
        <f t="shared" si="8"/>
        <v>6780.26</v>
      </c>
      <c r="AE50" s="5">
        <v>49.95</v>
      </c>
      <c r="AF50" s="5">
        <f t="shared" si="9"/>
        <v>9040.9500000000007</v>
      </c>
      <c r="AH50" s="1">
        <f t="shared" si="10"/>
        <v>2143</v>
      </c>
      <c r="AI50" s="5">
        <v>37.46</v>
      </c>
      <c r="AJ50" s="5">
        <f t="shared" si="11"/>
        <v>80276.78</v>
      </c>
      <c r="AK50" s="5">
        <v>49.95</v>
      </c>
      <c r="AL50" s="5">
        <f t="shared" si="12"/>
        <v>107042.85</v>
      </c>
    </row>
    <row r="51" spans="1:38">
      <c r="A51" s="4" t="s">
        <v>166</v>
      </c>
      <c r="B51" s="4" t="s">
        <v>203</v>
      </c>
      <c r="D51" s="1">
        <f>SUM('Sales TOTAL'!E50:AS50)</f>
        <v>0</v>
      </c>
      <c r="E51" s="5">
        <v>40.770000000000003</v>
      </c>
      <c r="F51" s="5">
        <f t="shared" si="13"/>
        <v>0</v>
      </c>
      <c r="G51" s="5">
        <v>59.95</v>
      </c>
      <c r="H51" s="5">
        <f t="shared" si="1"/>
        <v>0</v>
      </c>
      <c r="J51" s="1">
        <f>SUM('Sales TOTAL'!AT50:CT50)</f>
        <v>0</v>
      </c>
      <c r="K51" s="5">
        <v>40.770000000000003</v>
      </c>
      <c r="L51" s="5">
        <f t="shared" si="14"/>
        <v>0</v>
      </c>
      <c r="M51" s="5">
        <v>59.95</v>
      </c>
      <c r="N51" s="5">
        <f t="shared" si="3"/>
        <v>0</v>
      </c>
      <c r="P51" s="1">
        <f>SUM('Sales TOTAL'!CU50:ET50)</f>
        <v>133</v>
      </c>
      <c r="Q51" s="5">
        <v>40.770000000000003</v>
      </c>
      <c r="R51" s="5">
        <f t="shared" si="15"/>
        <v>5422.4100000000008</v>
      </c>
      <c r="S51" s="5">
        <v>59.95</v>
      </c>
      <c r="T51" s="5">
        <f t="shared" si="5"/>
        <v>7973.35</v>
      </c>
      <c r="V51" s="1">
        <f>SUM('Sales TOTAL'!EU50:GT50)</f>
        <v>390</v>
      </c>
      <c r="W51" s="5">
        <v>40.770000000000003</v>
      </c>
      <c r="X51" s="5">
        <f t="shared" si="16"/>
        <v>15900.300000000001</v>
      </c>
      <c r="Y51" s="5">
        <v>59.95</v>
      </c>
      <c r="Z51" s="5">
        <f t="shared" si="7"/>
        <v>23380.5</v>
      </c>
      <c r="AB51" s="1">
        <f>SUM('Sales TOTAL'!GU50:HX50)</f>
        <v>133</v>
      </c>
      <c r="AC51" s="5">
        <v>40.770000000000003</v>
      </c>
      <c r="AD51" s="5">
        <f t="shared" si="8"/>
        <v>5422.4100000000008</v>
      </c>
      <c r="AE51" s="5">
        <v>59.95</v>
      </c>
      <c r="AF51" s="5">
        <f t="shared" si="9"/>
        <v>7973.35</v>
      </c>
      <c r="AH51" s="1">
        <f t="shared" si="10"/>
        <v>656</v>
      </c>
      <c r="AI51" s="5">
        <v>40.770000000000003</v>
      </c>
      <c r="AJ51" s="5">
        <f t="shared" si="11"/>
        <v>26745.120000000003</v>
      </c>
      <c r="AK51" s="5">
        <v>59.95</v>
      </c>
      <c r="AL51" s="5">
        <f t="shared" si="12"/>
        <v>39327.199999999997</v>
      </c>
    </row>
    <row r="52" spans="1:38">
      <c r="A52" s="4" t="s">
        <v>201</v>
      </c>
      <c r="B52" s="4" t="s">
        <v>204</v>
      </c>
      <c r="D52" s="1">
        <f>SUM('Sales TOTAL'!E51:AS51)</f>
        <v>0</v>
      </c>
      <c r="E52" s="5">
        <v>40.770000000000003</v>
      </c>
      <c r="F52" s="5">
        <f t="shared" si="13"/>
        <v>0</v>
      </c>
      <c r="G52" s="5">
        <v>59.95</v>
      </c>
      <c r="H52" s="5">
        <f t="shared" si="1"/>
        <v>0</v>
      </c>
      <c r="J52" s="1">
        <f>SUM('Sales TOTAL'!AT51:CT51)</f>
        <v>0</v>
      </c>
      <c r="K52" s="5">
        <v>40.770000000000003</v>
      </c>
      <c r="L52" s="5">
        <f t="shared" si="14"/>
        <v>0</v>
      </c>
      <c r="M52" s="5">
        <v>59.95</v>
      </c>
      <c r="N52" s="5">
        <f t="shared" si="3"/>
        <v>0</v>
      </c>
      <c r="P52" s="1">
        <f>SUM('Sales TOTAL'!CU51:ET51)</f>
        <v>0</v>
      </c>
      <c r="Q52" s="5">
        <v>40.770000000000003</v>
      </c>
      <c r="R52" s="5">
        <f t="shared" si="15"/>
        <v>0</v>
      </c>
      <c r="S52" s="5">
        <v>59.95</v>
      </c>
      <c r="T52" s="5">
        <f t="shared" si="5"/>
        <v>0</v>
      </c>
      <c r="V52" s="1">
        <f>SUM('Sales TOTAL'!EU51:GT51)</f>
        <v>231</v>
      </c>
      <c r="W52" s="5">
        <v>40.770000000000003</v>
      </c>
      <c r="X52" s="5">
        <f t="shared" si="16"/>
        <v>9417.8700000000008</v>
      </c>
      <c r="Y52" s="5">
        <v>59.95</v>
      </c>
      <c r="Z52" s="5">
        <f t="shared" si="7"/>
        <v>13848.45</v>
      </c>
      <c r="AB52" s="1">
        <f>SUM('Sales TOTAL'!GU51:HX51)</f>
        <v>145</v>
      </c>
      <c r="AC52" s="5">
        <v>40.770000000000003</v>
      </c>
      <c r="AD52" s="5">
        <f t="shared" si="8"/>
        <v>5911.6500000000005</v>
      </c>
      <c r="AE52" s="5">
        <v>59.95</v>
      </c>
      <c r="AF52" s="5">
        <f t="shared" si="9"/>
        <v>8692.75</v>
      </c>
      <c r="AH52" s="1">
        <f t="shared" si="10"/>
        <v>376</v>
      </c>
      <c r="AI52" s="5">
        <v>40.770000000000003</v>
      </c>
      <c r="AJ52" s="5">
        <f t="shared" si="11"/>
        <v>15329.52</v>
      </c>
      <c r="AK52" s="5">
        <v>59.95</v>
      </c>
      <c r="AL52" s="5">
        <f t="shared" si="12"/>
        <v>22541.200000000001</v>
      </c>
    </row>
    <row r="53" spans="1:38">
      <c r="A53" s="4" t="s">
        <v>202</v>
      </c>
      <c r="B53" s="4" t="s">
        <v>205</v>
      </c>
      <c r="D53" s="1">
        <f>SUM('Sales TOTAL'!E52:AS52)</f>
        <v>0</v>
      </c>
      <c r="E53" s="5">
        <v>40.770000000000003</v>
      </c>
      <c r="F53" s="5">
        <f t="shared" si="13"/>
        <v>0</v>
      </c>
      <c r="G53" s="5">
        <v>59.95</v>
      </c>
      <c r="H53" s="5">
        <f t="shared" si="1"/>
        <v>0</v>
      </c>
      <c r="J53" s="1">
        <f>SUM('Sales TOTAL'!AT52:CT52)</f>
        <v>0</v>
      </c>
      <c r="K53" s="5">
        <v>40.770000000000003</v>
      </c>
      <c r="L53" s="5">
        <f t="shared" si="14"/>
        <v>0</v>
      </c>
      <c r="M53" s="5">
        <v>59.95</v>
      </c>
      <c r="N53" s="5">
        <f t="shared" si="3"/>
        <v>0</v>
      </c>
      <c r="P53" s="1">
        <f>SUM('Sales TOTAL'!CU52:ET52)</f>
        <v>0</v>
      </c>
      <c r="Q53" s="5">
        <v>40.770000000000003</v>
      </c>
      <c r="R53" s="5">
        <f t="shared" si="15"/>
        <v>0</v>
      </c>
      <c r="S53" s="5">
        <v>59.95</v>
      </c>
      <c r="T53" s="5">
        <f t="shared" si="5"/>
        <v>0</v>
      </c>
      <c r="V53" s="1">
        <f>SUM('Sales TOTAL'!EU52:GT52)</f>
        <v>102</v>
      </c>
      <c r="W53" s="5">
        <v>40.770000000000003</v>
      </c>
      <c r="X53" s="5">
        <f t="shared" si="16"/>
        <v>4158.54</v>
      </c>
      <c r="Y53" s="5">
        <v>59.95</v>
      </c>
      <c r="Z53" s="5">
        <f t="shared" si="7"/>
        <v>6114.9000000000005</v>
      </c>
      <c r="AB53" s="1">
        <f>SUM('Sales TOTAL'!GU52:HX52)</f>
        <v>84</v>
      </c>
      <c r="AC53" s="5">
        <v>40.770000000000003</v>
      </c>
      <c r="AD53" s="5">
        <f t="shared" si="8"/>
        <v>3424.6800000000003</v>
      </c>
      <c r="AE53" s="5">
        <v>59.95</v>
      </c>
      <c r="AF53" s="5">
        <f t="shared" si="9"/>
        <v>5035.8</v>
      </c>
      <c r="AH53" s="1">
        <f t="shared" si="10"/>
        <v>186</v>
      </c>
      <c r="AI53" s="5">
        <v>40.770000000000003</v>
      </c>
      <c r="AJ53" s="5">
        <f t="shared" si="11"/>
        <v>7583.22</v>
      </c>
      <c r="AK53" s="5">
        <v>59.95</v>
      </c>
      <c r="AL53" s="5">
        <f t="shared" si="12"/>
        <v>11150.7</v>
      </c>
    </row>
    <row r="54" spans="1:38">
      <c r="A54" s="4" t="s">
        <v>167</v>
      </c>
      <c r="B54" s="4" t="s">
        <v>170</v>
      </c>
      <c r="D54" s="1">
        <f>SUM('Sales TOTAL'!E53:AS53)</f>
        <v>0</v>
      </c>
      <c r="E54" s="5">
        <v>67.97</v>
      </c>
      <c r="F54" s="5">
        <f t="shared" si="13"/>
        <v>0</v>
      </c>
      <c r="G54" s="5">
        <v>99.95</v>
      </c>
      <c r="H54" s="5">
        <f t="shared" si="1"/>
        <v>0</v>
      </c>
      <c r="J54" s="1">
        <f>SUM('Sales TOTAL'!AT53:CT53)</f>
        <v>0</v>
      </c>
      <c r="K54" s="5">
        <v>67.97</v>
      </c>
      <c r="L54" s="5">
        <f t="shared" si="14"/>
        <v>0</v>
      </c>
      <c r="M54" s="5">
        <v>99.95</v>
      </c>
      <c r="N54" s="5">
        <f t="shared" si="3"/>
        <v>0</v>
      </c>
      <c r="P54" s="1">
        <f>SUM('Sales TOTAL'!CU53:ET53)</f>
        <v>141</v>
      </c>
      <c r="Q54" s="5">
        <v>67.97</v>
      </c>
      <c r="R54" s="5">
        <f t="shared" si="15"/>
        <v>9583.77</v>
      </c>
      <c r="S54" s="5">
        <v>99.95</v>
      </c>
      <c r="T54" s="5">
        <f t="shared" si="5"/>
        <v>14092.95</v>
      </c>
      <c r="V54" s="1">
        <f>SUM('Sales TOTAL'!EU53:GT53)</f>
        <v>508</v>
      </c>
      <c r="W54" s="5">
        <v>67.97</v>
      </c>
      <c r="X54" s="5">
        <f t="shared" si="16"/>
        <v>34528.76</v>
      </c>
      <c r="Y54" s="5">
        <v>99.95</v>
      </c>
      <c r="Z54" s="5">
        <f t="shared" si="7"/>
        <v>50774.6</v>
      </c>
      <c r="AB54" s="1">
        <f>SUM('Sales TOTAL'!GU53:HX53)</f>
        <v>220</v>
      </c>
      <c r="AC54" s="5">
        <v>67.97</v>
      </c>
      <c r="AD54" s="5">
        <f t="shared" si="8"/>
        <v>14953.4</v>
      </c>
      <c r="AE54" s="5">
        <v>99.95</v>
      </c>
      <c r="AF54" s="5">
        <f t="shared" si="9"/>
        <v>21989</v>
      </c>
      <c r="AH54" s="1">
        <f t="shared" si="10"/>
        <v>869</v>
      </c>
      <c r="AI54" s="5">
        <v>67.97</v>
      </c>
      <c r="AJ54" s="5">
        <f t="shared" si="11"/>
        <v>59065.93</v>
      </c>
      <c r="AK54" s="5">
        <v>99.95</v>
      </c>
      <c r="AL54" s="5">
        <f t="shared" si="12"/>
        <v>86856.55</v>
      </c>
    </row>
    <row r="55" spans="1:38">
      <c r="A55" s="4" t="s">
        <v>168</v>
      </c>
      <c r="B55" s="4" t="s">
        <v>171</v>
      </c>
      <c r="D55" s="1">
        <f>SUM('Sales TOTAL'!E54:AS54)</f>
        <v>0</v>
      </c>
      <c r="E55" s="5">
        <v>61.17</v>
      </c>
      <c r="F55" s="5">
        <f t="shared" si="13"/>
        <v>0</v>
      </c>
      <c r="G55" s="5">
        <v>89.95</v>
      </c>
      <c r="H55" s="5">
        <f t="shared" si="1"/>
        <v>0</v>
      </c>
      <c r="J55" s="1">
        <f>SUM('Sales TOTAL'!AT54:CT54)</f>
        <v>0</v>
      </c>
      <c r="K55" s="5">
        <v>61.17</v>
      </c>
      <c r="L55" s="5">
        <f t="shared" si="14"/>
        <v>0</v>
      </c>
      <c r="M55" s="5">
        <v>89.95</v>
      </c>
      <c r="N55" s="5">
        <f t="shared" si="3"/>
        <v>0</v>
      </c>
      <c r="P55" s="1">
        <f>SUM('Sales TOTAL'!CU54:ET54)</f>
        <v>50</v>
      </c>
      <c r="Q55" s="5">
        <v>61.17</v>
      </c>
      <c r="R55" s="5">
        <f t="shared" si="15"/>
        <v>3058.5</v>
      </c>
      <c r="S55" s="5">
        <v>89.95</v>
      </c>
      <c r="T55" s="5">
        <f t="shared" si="5"/>
        <v>4497.5</v>
      </c>
      <c r="V55" s="1">
        <f>SUM('Sales TOTAL'!EU54:GT54)</f>
        <v>173</v>
      </c>
      <c r="W55" s="5">
        <v>61.17</v>
      </c>
      <c r="X55" s="5">
        <f t="shared" si="16"/>
        <v>10582.41</v>
      </c>
      <c r="Y55" s="5">
        <v>89.95</v>
      </c>
      <c r="Z55" s="5">
        <f t="shared" si="7"/>
        <v>15561.35</v>
      </c>
      <c r="AB55" s="1">
        <f>SUM('Sales TOTAL'!GU54:HX54)</f>
        <v>83</v>
      </c>
      <c r="AC55" s="5">
        <v>61.17</v>
      </c>
      <c r="AD55" s="5">
        <f t="shared" si="8"/>
        <v>5077.1100000000006</v>
      </c>
      <c r="AE55" s="5">
        <v>89.95</v>
      </c>
      <c r="AF55" s="5">
        <f t="shared" si="9"/>
        <v>7465.85</v>
      </c>
      <c r="AH55" s="1">
        <f t="shared" si="10"/>
        <v>306</v>
      </c>
      <c r="AI55" s="5">
        <v>61.17</v>
      </c>
      <c r="AJ55" s="5">
        <f t="shared" si="11"/>
        <v>18718.02</v>
      </c>
      <c r="AK55" s="5">
        <v>89.95</v>
      </c>
      <c r="AL55" s="5">
        <f t="shared" si="12"/>
        <v>27524.699999999997</v>
      </c>
    </row>
    <row r="56" spans="1:38">
      <c r="A56" s="4" t="s">
        <v>169</v>
      </c>
      <c r="B56" s="4" t="s">
        <v>172</v>
      </c>
      <c r="D56" s="1">
        <f>SUM('Sales TOTAL'!E55:AS55)</f>
        <v>0</v>
      </c>
      <c r="E56" s="5">
        <v>16.97</v>
      </c>
      <c r="F56" s="5">
        <f t="shared" si="13"/>
        <v>0</v>
      </c>
      <c r="G56" s="5">
        <v>24.95</v>
      </c>
      <c r="H56" s="5">
        <f t="shared" si="1"/>
        <v>0</v>
      </c>
      <c r="J56" s="1">
        <f>SUM('Sales TOTAL'!AT55:CT55)</f>
        <v>0</v>
      </c>
      <c r="K56" s="5">
        <v>16.97</v>
      </c>
      <c r="L56" s="5">
        <f t="shared" si="14"/>
        <v>0</v>
      </c>
      <c r="M56" s="5">
        <v>24.95</v>
      </c>
      <c r="N56" s="5">
        <f t="shared" si="3"/>
        <v>0</v>
      </c>
      <c r="P56" s="1">
        <f>SUM('Sales TOTAL'!CU55:ET55)</f>
        <v>17</v>
      </c>
      <c r="Q56" s="5">
        <v>16.97</v>
      </c>
      <c r="R56" s="5">
        <f t="shared" si="15"/>
        <v>288.49</v>
      </c>
      <c r="S56" s="5">
        <v>24.95</v>
      </c>
      <c r="T56" s="5">
        <f t="shared" si="5"/>
        <v>424.15</v>
      </c>
      <c r="V56" s="1">
        <f>SUM('Sales TOTAL'!EU55:GT55)</f>
        <v>50</v>
      </c>
      <c r="W56" s="5">
        <v>16.97</v>
      </c>
      <c r="X56" s="5">
        <f t="shared" si="16"/>
        <v>848.5</v>
      </c>
      <c r="Y56" s="5">
        <v>24.95</v>
      </c>
      <c r="Z56" s="5">
        <f t="shared" si="7"/>
        <v>1247.5</v>
      </c>
      <c r="AB56" s="1">
        <f>SUM('Sales TOTAL'!GU55:HX55)</f>
        <v>40</v>
      </c>
      <c r="AC56" s="5">
        <v>16.97</v>
      </c>
      <c r="AD56" s="5">
        <f t="shared" si="8"/>
        <v>678.8</v>
      </c>
      <c r="AE56" s="5">
        <v>24.95</v>
      </c>
      <c r="AF56" s="5">
        <f t="shared" si="9"/>
        <v>998</v>
      </c>
      <c r="AH56" s="1">
        <f t="shared" si="10"/>
        <v>107</v>
      </c>
      <c r="AI56" s="5">
        <v>16.97</v>
      </c>
      <c r="AJ56" s="5">
        <f t="shared" si="11"/>
        <v>1815.79</v>
      </c>
      <c r="AK56" s="5">
        <v>24.95</v>
      </c>
      <c r="AL56" s="5">
        <f t="shared" si="12"/>
        <v>2669.65</v>
      </c>
    </row>
    <row r="57" spans="1:38">
      <c r="D57" s="30">
        <f>SUM(D3:D56)</f>
        <v>5114</v>
      </c>
      <c r="F57" s="25">
        <f>SUM(F3:F56)</f>
        <v>181196.37999999998</v>
      </c>
      <c r="H57" s="25">
        <f>SUM(H3:H56)</f>
        <v>241577.3</v>
      </c>
      <c r="J57" s="30">
        <f>SUM(J3:J56)</f>
        <v>11244</v>
      </c>
      <c r="L57" s="25">
        <f>SUM(L3:L56)</f>
        <v>555014.8899999999</v>
      </c>
      <c r="N57" s="25">
        <f>SUM(N3:N56)</f>
        <v>728784.7999999997</v>
      </c>
      <c r="P57" s="30">
        <f>SUM(P3:P56)</f>
        <v>7022</v>
      </c>
      <c r="R57" s="25">
        <f>SUM(R3:R56)</f>
        <v>244325.81</v>
      </c>
      <c r="T57" s="25">
        <f>SUM(T3:T56)</f>
        <v>313078.69999999995</v>
      </c>
      <c r="V57" s="30">
        <f>SUM(V3:V56)</f>
        <v>9784</v>
      </c>
      <c r="X57" s="25">
        <f>SUM(X3:X56)</f>
        <v>333322.39999999997</v>
      </c>
      <c r="Z57" s="25">
        <f>SUM(Z3:Z56)</f>
        <v>441241.88</v>
      </c>
      <c r="AB57" s="30">
        <f>SUM(AB3:AB56)</f>
        <v>2410</v>
      </c>
      <c r="AD57" s="25">
        <f>SUM(AD3:AD56)</f>
        <v>81969.600000000006</v>
      </c>
      <c r="AF57" s="25">
        <f>SUM(AF3:AF56)</f>
        <v>113692.78000000003</v>
      </c>
      <c r="AH57" s="30">
        <f t="shared" si="10"/>
        <v>35574</v>
      </c>
      <c r="AJ57" s="25">
        <f t="shared" si="11"/>
        <v>1395829.0799999998</v>
      </c>
      <c r="AL57" s="25">
        <f t="shared" si="12"/>
        <v>1838375.4599999997</v>
      </c>
    </row>
    <row r="58" spans="1:38">
      <c r="D58" s="31"/>
      <c r="F58" s="71"/>
      <c r="H58" s="71"/>
      <c r="J58" s="31"/>
      <c r="L58" s="71"/>
      <c r="N58" s="71"/>
      <c r="P58" s="31"/>
      <c r="R58" s="71"/>
      <c r="T58" s="71"/>
      <c r="V58" s="31"/>
      <c r="X58" s="71"/>
      <c r="Z58" s="71"/>
    </row>
    <row r="59" spans="1:38">
      <c r="D59" s="86" t="s">
        <v>220</v>
      </c>
      <c r="E59" s="86"/>
      <c r="F59" s="86"/>
      <c r="G59" s="86"/>
      <c r="H59" s="86"/>
      <c r="J59" s="87" t="s">
        <v>221</v>
      </c>
      <c r="K59" s="87"/>
      <c r="L59" s="87"/>
      <c r="M59" s="87"/>
      <c r="N59" s="87"/>
      <c r="P59" s="88" t="s">
        <v>222</v>
      </c>
      <c r="Q59" s="88"/>
      <c r="R59" s="88"/>
      <c r="S59" s="88"/>
      <c r="T59" s="88"/>
      <c r="V59" s="89" t="s">
        <v>223</v>
      </c>
      <c r="W59" s="89"/>
      <c r="X59" s="89"/>
      <c r="Y59" s="89"/>
      <c r="Z59" s="89"/>
      <c r="AB59" s="90" t="s">
        <v>231</v>
      </c>
      <c r="AC59" s="90"/>
      <c r="AD59" s="90"/>
      <c r="AE59" s="90"/>
      <c r="AF59" s="90"/>
      <c r="AH59" s="85" t="s">
        <v>225</v>
      </c>
      <c r="AI59" s="85"/>
      <c r="AJ59" s="85"/>
      <c r="AK59" s="85"/>
      <c r="AL59" s="85"/>
    </row>
    <row r="60" spans="1:38">
      <c r="A60" s="9" t="s">
        <v>25</v>
      </c>
      <c r="B60" s="9" t="s">
        <v>24</v>
      </c>
      <c r="D60" s="8" t="s">
        <v>30</v>
      </c>
      <c r="E60" s="8" t="s">
        <v>26</v>
      </c>
      <c r="F60" s="8" t="s">
        <v>214</v>
      </c>
      <c r="G60" s="8" t="s">
        <v>27</v>
      </c>
      <c r="H60" s="8" t="s">
        <v>215</v>
      </c>
      <c r="J60" s="8" t="s">
        <v>30</v>
      </c>
      <c r="K60" s="8" t="s">
        <v>26</v>
      </c>
      <c r="L60" s="8" t="s">
        <v>214</v>
      </c>
      <c r="M60" s="8" t="s">
        <v>27</v>
      </c>
      <c r="N60" s="8" t="s">
        <v>215</v>
      </c>
      <c r="P60" s="8" t="s">
        <v>30</v>
      </c>
      <c r="Q60" s="8" t="s">
        <v>26</v>
      </c>
      <c r="R60" s="8" t="s">
        <v>214</v>
      </c>
      <c r="S60" s="8" t="s">
        <v>27</v>
      </c>
      <c r="T60" s="8" t="s">
        <v>215</v>
      </c>
      <c r="V60" s="8" t="s">
        <v>30</v>
      </c>
      <c r="W60" s="8" t="s">
        <v>26</v>
      </c>
      <c r="X60" s="8" t="s">
        <v>214</v>
      </c>
      <c r="Y60" s="8" t="s">
        <v>27</v>
      </c>
      <c r="Z60" s="8" t="s">
        <v>215</v>
      </c>
      <c r="AB60" s="8" t="s">
        <v>30</v>
      </c>
      <c r="AC60" s="8" t="s">
        <v>26</v>
      </c>
      <c r="AD60" s="8" t="s">
        <v>214</v>
      </c>
      <c r="AE60" s="8" t="s">
        <v>27</v>
      </c>
      <c r="AF60" s="8" t="s">
        <v>215</v>
      </c>
      <c r="AH60" s="8" t="s">
        <v>30</v>
      </c>
      <c r="AI60" s="8" t="s">
        <v>26</v>
      </c>
      <c r="AJ60" s="8" t="s">
        <v>214</v>
      </c>
      <c r="AK60" s="8" t="s">
        <v>27</v>
      </c>
      <c r="AL60" s="8" t="s">
        <v>215</v>
      </c>
    </row>
    <row r="61" spans="1:38">
      <c r="A61" s="2" t="s">
        <v>49</v>
      </c>
      <c r="B61" s="66" t="s">
        <v>47</v>
      </c>
      <c r="D61" s="1">
        <v>0</v>
      </c>
      <c r="E61" s="5">
        <v>37.46</v>
      </c>
      <c r="F61" s="5">
        <f t="shared" ref="F61:F67" si="17">D61*E61</f>
        <v>0</v>
      </c>
      <c r="G61" s="5">
        <v>49.95</v>
      </c>
      <c r="H61" s="5">
        <f t="shared" ref="H61:H65" si="18">D61*G61</f>
        <v>0</v>
      </c>
      <c r="J61" s="1">
        <f>SUM('Sales TOTAL'!CH60:CT60)</f>
        <v>2654</v>
      </c>
      <c r="K61" s="5">
        <v>37.46</v>
      </c>
      <c r="L61" s="5">
        <f t="shared" ref="L61:L66" si="19">J61*K61</f>
        <v>99418.84</v>
      </c>
      <c r="M61" s="5">
        <v>49.95</v>
      </c>
      <c r="N61" s="5">
        <f t="shared" ref="N61:N65" si="20">J61*M61</f>
        <v>132567.30000000002</v>
      </c>
      <c r="P61" s="1">
        <f>SUM('Sales TOTAL'!CU60:ET60)</f>
        <v>4914</v>
      </c>
      <c r="Q61" s="5">
        <v>37.46</v>
      </c>
      <c r="R61" s="5">
        <f t="shared" ref="R61:R66" si="21">P61*Q61</f>
        <v>184078.44</v>
      </c>
      <c r="S61" s="5">
        <v>49.95</v>
      </c>
      <c r="T61" s="5">
        <f t="shared" ref="T61:T65" si="22">P61*S61</f>
        <v>245454.30000000002</v>
      </c>
      <c r="V61" s="1">
        <f>SUM('Sales TOTAL'!EU60:GT60)</f>
        <v>654</v>
      </c>
      <c r="W61" s="5">
        <v>37.46</v>
      </c>
      <c r="X61" s="5">
        <f t="shared" ref="X61:X67" si="23">V61*W61</f>
        <v>24498.84</v>
      </c>
      <c r="Y61" s="5">
        <v>49.95</v>
      </c>
      <c r="Z61" s="5">
        <f t="shared" ref="Z61:Z65" si="24">V61*Y61</f>
        <v>32667.300000000003</v>
      </c>
      <c r="AB61" s="1">
        <f>SUM('Sales TOTAL'!GU60:HX60)</f>
        <v>0</v>
      </c>
      <c r="AC61" s="5">
        <v>37.46</v>
      </c>
      <c r="AD61" s="5">
        <f t="shared" ref="AD61:AD67" si="25">AB61*AC61</f>
        <v>0</v>
      </c>
      <c r="AE61" s="5">
        <v>49.95</v>
      </c>
      <c r="AF61" s="5">
        <f t="shared" ref="AF61:AF65" si="26">AB61*AE61</f>
        <v>0</v>
      </c>
      <c r="AH61" s="1">
        <f>V61+P61+J61+D61+AB61</f>
        <v>8222</v>
      </c>
      <c r="AI61" s="5">
        <v>37.46</v>
      </c>
      <c r="AJ61" s="5">
        <f>F61+L61+R61+X61+AD61</f>
        <v>307996.12000000005</v>
      </c>
      <c r="AK61" s="5">
        <v>49.95</v>
      </c>
      <c r="AL61" s="5">
        <f>Z61+T61+N61+H61+AF61</f>
        <v>410688.9</v>
      </c>
    </row>
    <row r="62" spans="1:38">
      <c r="A62" s="2" t="s">
        <v>50</v>
      </c>
      <c r="B62" s="66" t="s">
        <v>48</v>
      </c>
      <c r="D62" s="1">
        <v>0</v>
      </c>
      <c r="E62" s="5">
        <v>74.959999999999994</v>
      </c>
      <c r="F62" s="5">
        <f t="shared" si="17"/>
        <v>0</v>
      </c>
      <c r="G62" s="5">
        <v>99.95</v>
      </c>
      <c r="H62" s="5">
        <f t="shared" si="18"/>
        <v>0</v>
      </c>
      <c r="J62" s="1">
        <f>SUM('Sales TOTAL'!CH61:CT61)</f>
        <v>1753</v>
      </c>
      <c r="K62" s="5">
        <v>74.959999999999994</v>
      </c>
      <c r="L62" s="5">
        <f t="shared" si="19"/>
        <v>131404.87999999998</v>
      </c>
      <c r="M62" s="5">
        <v>99.95</v>
      </c>
      <c r="N62" s="5">
        <f t="shared" si="20"/>
        <v>175212.35</v>
      </c>
      <c r="P62" s="1">
        <f>SUM('Sales TOTAL'!CU61:ET61)</f>
        <v>4790</v>
      </c>
      <c r="Q62" s="5">
        <v>74.959999999999994</v>
      </c>
      <c r="R62" s="5">
        <f t="shared" si="21"/>
        <v>359058.39999999997</v>
      </c>
      <c r="S62" s="5">
        <v>99.95</v>
      </c>
      <c r="T62" s="5">
        <f t="shared" si="22"/>
        <v>478760.5</v>
      </c>
      <c r="V62" s="1">
        <f>SUM('Sales TOTAL'!EU61:GT61)</f>
        <v>340</v>
      </c>
      <c r="W62" s="5">
        <v>74.959999999999994</v>
      </c>
      <c r="X62" s="5">
        <f t="shared" si="23"/>
        <v>25486.399999999998</v>
      </c>
      <c r="Y62" s="5">
        <v>99.95</v>
      </c>
      <c r="Z62" s="5">
        <f t="shared" si="24"/>
        <v>33983</v>
      </c>
      <c r="AB62" s="1">
        <f>SUM('Sales TOTAL'!GU61:HX61)</f>
        <v>0</v>
      </c>
      <c r="AC62" s="5">
        <v>74.959999999999994</v>
      </c>
      <c r="AD62" s="5">
        <f t="shared" si="25"/>
        <v>0</v>
      </c>
      <c r="AE62" s="5">
        <v>99.95</v>
      </c>
      <c r="AF62" s="5">
        <f t="shared" si="26"/>
        <v>0</v>
      </c>
      <c r="AH62" s="1">
        <f t="shared" ref="AH62:AH67" si="27">V62+P62+J62+D62+AB62</f>
        <v>6883</v>
      </c>
      <c r="AI62" s="5">
        <v>74.959999999999994</v>
      </c>
      <c r="AJ62" s="5">
        <f t="shared" ref="AJ62:AJ68" si="28">F62+L62+R62+X62+AD62</f>
        <v>515949.67999999993</v>
      </c>
      <c r="AK62" s="5">
        <v>99.95</v>
      </c>
      <c r="AL62" s="5">
        <f t="shared" ref="AL62:AL68" si="29">Z62+T62+N62+H62+AF62</f>
        <v>687955.85</v>
      </c>
    </row>
    <row r="63" spans="1:38">
      <c r="A63" s="51" t="s">
        <v>139</v>
      </c>
      <c r="B63" s="38" t="s">
        <v>151</v>
      </c>
      <c r="D63" s="1">
        <v>0</v>
      </c>
      <c r="E63" s="5">
        <v>37.46</v>
      </c>
      <c r="F63" s="5">
        <f t="shared" si="17"/>
        <v>0</v>
      </c>
      <c r="G63" s="5">
        <v>49.95</v>
      </c>
      <c r="H63" s="5">
        <f t="shared" si="18"/>
        <v>0</v>
      </c>
      <c r="J63" s="1">
        <f>SUM('Sales TOTAL'!CH62:CT62)</f>
        <v>0</v>
      </c>
      <c r="K63" s="5">
        <v>37.46</v>
      </c>
      <c r="L63" s="5">
        <f t="shared" si="19"/>
        <v>0</v>
      </c>
      <c r="M63" s="5">
        <v>49.95</v>
      </c>
      <c r="N63" s="5">
        <f t="shared" si="20"/>
        <v>0</v>
      </c>
      <c r="P63" s="1">
        <f>SUM('Sales TOTAL'!CU62:ET62)</f>
        <v>2372</v>
      </c>
      <c r="Q63" s="5">
        <v>37.46</v>
      </c>
      <c r="R63" s="5">
        <f t="shared" si="21"/>
        <v>88855.12</v>
      </c>
      <c r="S63" s="5">
        <v>49.95</v>
      </c>
      <c r="T63" s="5">
        <f t="shared" si="22"/>
        <v>118481.40000000001</v>
      </c>
      <c r="V63" s="1">
        <f>SUM('Sales TOTAL'!EU62:GT62)</f>
        <v>10364</v>
      </c>
      <c r="W63" s="5">
        <v>37.46</v>
      </c>
      <c r="X63" s="5">
        <f t="shared" si="23"/>
        <v>388235.44</v>
      </c>
      <c r="Y63" s="5">
        <v>49.95</v>
      </c>
      <c r="Z63" s="5">
        <f t="shared" si="24"/>
        <v>517681.80000000005</v>
      </c>
      <c r="AB63" s="1">
        <f>SUM('Sales TOTAL'!GU62:HX62)</f>
        <v>4883</v>
      </c>
      <c r="AC63" s="5">
        <v>37.46</v>
      </c>
      <c r="AD63" s="5">
        <f t="shared" si="25"/>
        <v>182917.18</v>
      </c>
      <c r="AE63" s="5">
        <v>49.95</v>
      </c>
      <c r="AF63" s="5">
        <f t="shared" si="26"/>
        <v>243905.85</v>
      </c>
      <c r="AH63" s="1">
        <f t="shared" si="27"/>
        <v>17619</v>
      </c>
      <c r="AI63" s="5">
        <v>37.46</v>
      </c>
      <c r="AJ63" s="5">
        <f t="shared" si="28"/>
        <v>660007.74</v>
      </c>
      <c r="AK63" s="5">
        <v>49.95</v>
      </c>
      <c r="AL63" s="5">
        <f t="shared" si="29"/>
        <v>880069.05</v>
      </c>
    </row>
    <row r="64" spans="1:38">
      <c r="A64" s="51" t="s">
        <v>146</v>
      </c>
      <c r="B64" s="38" t="s">
        <v>158</v>
      </c>
      <c r="D64" s="1">
        <v>0</v>
      </c>
      <c r="E64" s="5">
        <v>67.459999999999994</v>
      </c>
      <c r="F64" s="5">
        <f t="shared" si="17"/>
        <v>0</v>
      </c>
      <c r="G64" s="5">
        <v>89.95</v>
      </c>
      <c r="H64" s="5">
        <f t="shared" si="18"/>
        <v>0</v>
      </c>
      <c r="J64" s="1">
        <f>SUM('Sales TOTAL'!CH63:CT63)</f>
        <v>0</v>
      </c>
      <c r="K64" s="5">
        <v>67.459999999999994</v>
      </c>
      <c r="L64" s="5">
        <f t="shared" si="19"/>
        <v>0</v>
      </c>
      <c r="M64" s="5">
        <v>89.95</v>
      </c>
      <c r="N64" s="5">
        <f t="shared" si="20"/>
        <v>0</v>
      </c>
      <c r="P64" s="1">
        <f>SUM('Sales TOTAL'!CU63:ET63)</f>
        <v>1472</v>
      </c>
      <c r="Q64" s="5">
        <v>67.459999999999994</v>
      </c>
      <c r="R64" s="5">
        <f t="shared" si="21"/>
        <v>99301.119999999995</v>
      </c>
      <c r="S64" s="5">
        <v>89.95</v>
      </c>
      <c r="T64" s="5">
        <f t="shared" si="22"/>
        <v>132406.39999999999</v>
      </c>
      <c r="V64" s="1">
        <f>SUM('Sales TOTAL'!EU63:GT63)</f>
        <v>7652</v>
      </c>
      <c r="W64" s="5">
        <v>67.459999999999994</v>
      </c>
      <c r="X64" s="5">
        <f t="shared" si="23"/>
        <v>516203.91999999993</v>
      </c>
      <c r="Y64" s="5">
        <v>89.95</v>
      </c>
      <c r="Z64" s="5">
        <f t="shared" si="24"/>
        <v>688297.4</v>
      </c>
      <c r="AB64" s="1">
        <f>SUM('Sales TOTAL'!GU63:HX63)</f>
        <v>2724</v>
      </c>
      <c r="AC64" s="5">
        <v>67.459999999999994</v>
      </c>
      <c r="AD64" s="5">
        <f t="shared" si="25"/>
        <v>183761.03999999998</v>
      </c>
      <c r="AE64" s="5">
        <v>89.95</v>
      </c>
      <c r="AF64" s="5">
        <f t="shared" si="26"/>
        <v>245023.80000000002</v>
      </c>
      <c r="AH64" s="1">
        <f t="shared" si="27"/>
        <v>11848</v>
      </c>
      <c r="AI64" s="5">
        <v>67.459999999999994</v>
      </c>
      <c r="AJ64" s="5">
        <f t="shared" si="28"/>
        <v>799266.07999999984</v>
      </c>
      <c r="AK64" s="5">
        <v>89.95</v>
      </c>
      <c r="AL64" s="5">
        <f t="shared" si="29"/>
        <v>1065727.6000000001</v>
      </c>
    </row>
    <row r="65" spans="1:38">
      <c r="A65" s="51" t="s">
        <v>165</v>
      </c>
      <c r="B65" s="38" t="s">
        <v>210</v>
      </c>
      <c r="D65" s="1">
        <v>0</v>
      </c>
      <c r="E65" s="5">
        <v>37.46</v>
      </c>
      <c r="F65" s="5">
        <f t="shared" si="17"/>
        <v>0</v>
      </c>
      <c r="G65" s="5">
        <v>49.95</v>
      </c>
      <c r="H65" s="5">
        <f t="shared" si="18"/>
        <v>0</v>
      </c>
      <c r="J65" s="1">
        <f>SUM('Sales TOTAL'!CH64:CT64)</f>
        <v>0</v>
      </c>
      <c r="K65" s="5">
        <v>37.46</v>
      </c>
      <c r="L65" s="5">
        <f t="shared" si="19"/>
        <v>0</v>
      </c>
      <c r="M65" s="5">
        <v>49.95</v>
      </c>
      <c r="N65" s="5">
        <f t="shared" si="20"/>
        <v>0</v>
      </c>
      <c r="P65" s="1">
        <f>SUM('Sales TOTAL'!CU64:ET64)</f>
        <v>0</v>
      </c>
      <c r="Q65" s="5">
        <v>37.46</v>
      </c>
      <c r="R65" s="5">
        <f t="shared" si="21"/>
        <v>0</v>
      </c>
      <c r="S65" s="5">
        <v>49.95</v>
      </c>
      <c r="T65" s="5">
        <f t="shared" si="22"/>
        <v>0</v>
      </c>
      <c r="V65" s="1">
        <f>SUM('Sales TOTAL'!EU64:GT64)</f>
        <v>12700</v>
      </c>
      <c r="W65" s="5">
        <v>37.46</v>
      </c>
      <c r="X65" s="5">
        <f t="shared" si="23"/>
        <v>475742</v>
      </c>
      <c r="Y65" s="5">
        <v>49.95</v>
      </c>
      <c r="Z65" s="5">
        <f t="shared" si="24"/>
        <v>634365</v>
      </c>
      <c r="AB65" s="1">
        <f>SUM('Sales TOTAL'!GU64:HX64)</f>
        <v>7004</v>
      </c>
      <c r="AC65" s="5">
        <v>37.46</v>
      </c>
      <c r="AD65" s="5">
        <f t="shared" si="25"/>
        <v>262369.84000000003</v>
      </c>
      <c r="AE65" s="5">
        <v>49.95</v>
      </c>
      <c r="AF65" s="5">
        <f t="shared" si="26"/>
        <v>349849.80000000005</v>
      </c>
      <c r="AH65" s="1">
        <f t="shared" si="27"/>
        <v>19704</v>
      </c>
      <c r="AI65" s="5">
        <v>37.46</v>
      </c>
      <c r="AJ65" s="5">
        <f t="shared" si="28"/>
        <v>738111.84000000008</v>
      </c>
      <c r="AK65" s="5">
        <v>49.95</v>
      </c>
      <c r="AL65" s="5">
        <f t="shared" si="29"/>
        <v>984214.8</v>
      </c>
    </row>
    <row r="66" spans="1:38">
      <c r="A66" s="51" t="s">
        <v>142</v>
      </c>
      <c r="B66" s="38" t="s">
        <v>209</v>
      </c>
      <c r="D66" s="1">
        <v>0</v>
      </c>
      <c r="E66" s="5">
        <v>18.71</v>
      </c>
      <c r="F66" s="5">
        <f t="shared" si="17"/>
        <v>0</v>
      </c>
      <c r="G66" s="5">
        <v>19.989999999999998</v>
      </c>
      <c r="H66" s="5">
        <f>D66*G66</f>
        <v>0</v>
      </c>
      <c r="J66" s="1">
        <f>SUM('Sales TOTAL'!CH65:CT65)</f>
        <v>0</v>
      </c>
      <c r="K66" s="5">
        <v>18.71</v>
      </c>
      <c r="L66" s="5">
        <f t="shared" si="19"/>
        <v>0</v>
      </c>
      <c r="M66" s="5">
        <v>19.989999999999998</v>
      </c>
      <c r="N66" s="5">
        <f>J66*M66</f>
        <v>0</v>
      </c>
      <c r="P66" s="1">
        <f>SUM('Sales TOTAL'!CU65:ET65)</f>
        <v>0</v>
      </c>
      <c r="Q66" s="5">
        <v>18.71</v>
      </c>
      <c r="R66" s="5">
        <f t="shared" si="21"/>
        <v>0</v>
      </c>
      <c r="S66" s="5">
        <v>19.989999999999998</v>
      </c>
      <c r="T66" s="5">
        <f>P66*S66</f>
        <v>0</v>
      </c>
      <c r="V66" s="1">
        <f>SUM('Sales TOTAL'!EU65:GT65)</f>
        <v>3167</v>
      </c>
      <c r="W66" s="5">
        <v>18.71</v>
      </c>
      <c r="X66" s="5">
        <f t="shared" si="23"/>
        <v>59254.57</v>
      </c>
      <c r="Y66" s="5">
        <v>19.989999999999998</v>
      </c>
      <c r="Z66" s="5">
        <f>V66*Y66</f>
        <v>63308.329999999994</v>
      </c>
      <c r="AB66" s="1">
        <f>SUM('Sales TOTAL'!GU65:HX65)</f>
        <v>2182</v>
      </c>
      <c r="AC66" s="5">
        <v>18.71</v>
      </c>
      <c r="AD66" s="5">
        <f t="shared" si="25"/>
        <v>40825.22</v>
      </c>
      <c r="AE66" s="5">
        <v>19.989999999999998</v>
      </c>
      <c r="AF66" s="5">
        <f>AB66*AE66</f>
        <v>43618.179999999993</v>
      </c>
      <c r="AH66" s="1">
        <f t="shared" si="27"/>
        <v>5349</v>
      </c>
      <c r="AI66" s="5">
        <v>18.71</v>
      </c>
      <c r="AJ66" s="5">
        <f t="shared" si="28"/>
        <v>100079.79000000001</v>
      </c>
      <c r="AK66" s="5">
        <v>19.989999999999998</v>
      </c>
      <c r="AL66" s="5">
        <f t="shared" si="29"/>
        <v>106926.50999999998</v>
      </c>
    </row>
    <row r="67" spans="1:38">
      <c r="A67" s="51" t="s">
        <v>193</v>
      </c>
      <c r="B67" s="39" t="s">
        <v>194</v>
      </c>
      <c r="D67" s="1">
        <v>0</v>
      </c>
      <c r="E67" s="5">
        <v>37.46</v>
      </c>
      <c r="F67" s="5">
        <f t="shared" si="17"/>
        <v>0</v>
      </c>
      <c r="G67" s="5">
        <v>49.95</v>
      </c>
      <c r="H67" s="5">
        <f>D67*G67</f>
        <v>0</v>
      </c>
      <c r="J67" s="1">
        <f>SUM('Sales TOTAL'!CH66:CT66)</f>
        <v>0</v>
      </c>
      <c r="K67" s="5">
        <v>37.46</v>
      </c>
      <c r="L67" s="5">
        <f t="shared" ref="L67" si="30">J67*K67</f>
        <v>0</v>
      </c>
      <c r="M67" s="5">
        <v>49.95</v>
      </c>
      <c r="N67" s="5">
        <f>J67*M67</f>
        <v>0</v>
      </c>
      <c r="P67" s="1">
        <f>SUM('Sales TOTAL'!CU66:ET66)</f>
        <v>0</v>
      </c>
      <c r="Q67" s="5">
        <v>37.46</v>
      </c>
      <c r="R67" s="5">
        <f t="shared" ref="R67" si="31">P67*Q67</f>
        <v>0</v>
      </c>
      <c r="S67" s="5">
        <v>49.95</v>
      </c>
      <c r="T67" s="5">
        <f t="shared" ref="T67" si="32">P67*S67</f>
        <v>0</v>
      </c>
      <c r="V67" s="1">
        <f>SUM('Sales TOTAL'!DA66:EZ66)</f>
        <v>0</v>
      </c>
      <c r="W67" s="5">
        <v>37.46</v>
      </c>
      <c r="X67" s="5">
        <f t="shared" si="23"/>
        <v>0</v>
      </c>
      <c r="Y67" s="5">
        <v>49.95</v>
      </c>
      <c r="Z67" s="5">
        <f t="shared" ref="Z67" si="33">V67*Y67</f>
        <v>0</v>
      </c>
      <c r="AB67" s="1">
        <f>SUM('Sales TOTAL'!GU66:HX66)</f>
        <v>1353</v>
      </c>
      <c r="AC67" s="5">
        <v>37.46</v>
      </c>
      <c r="AD67" s="5">
        <f t="shared" si="25"/>
        <v>50683.380000000005</v>
      </c>
      <c r="AE67" s="5">
        <v>49.95</v>
      </c>
      <c r="AF67" s="5">
        <f t="shared" ref="AF67" si="34">AB67*AE67</f>
        <v>67582.350000000006</v>
      </c>
      <c r="AH67" s="1">
        <f t="shared" si="27"/>
        <v>1353</v>
      </c>
      <c r="AI67" s="5">
        <v>37.46</v>
      </c>
      <c r="AJ67" s="5">
        <f t="shared" si="28"/>
        <v>50683.380000000005</v>
      </c>
      <c r="AK67" s="5">
        <v>49.95</v>
      </c>
      <c r="AL67" s="5">
        <f t="shared" si="29"/>
        <v>67582.350000000006</v>
      </c>
    </row>
    <row r="68" spans="1:38">
      <c r="D68" s="30">
        <f>SUM(D61:D67)</f>
        <v>0</v>
      </c>
      <c r="F68" s="25">
        <f>SUM(F61:F66)</f>
        <v>0</v>
      </c>
      <c r="H68" s="25">
        <f>SUM(H61:H66)</f>
        <v>0</v>
      </c>
      <c r="J68" s="30">
        <f>SUM(J61:J66)</f>
        <v>4407</v>
      </c>
      <c r="L68" s="25">
        <f>SUM(L61:L66)</f>
        <v>230823.71999999997</v>
      </c>
      <c r="N68" s="25">
        <f>SUM(N61:N66)</f>
        <v>307779.65000000002</v>
      </c>
      <c r="P68" s="30">
        <f>SUM(P61:P66)</f>
        <v>13548</v>
      </c>
      <c r="R68" s="25">
        <f>SUM(R61:R66)</f>
        <v>731293.08</v>
      </c>
      <c r="T68" s="25">
        <f>SUM(T61:T66)</f>
        <v>975102.60000000009</v>
      </c>
      <c r="V68" s="30">
        <f>SUM(V61:V66)</f>
        <v>34877</v>
      </c>
      <c r="X68" s="25">
        <f>SUM(X61:X66)</f>
        <v>1489421.17</v>
      </c>
      <c r="Z68" s="25">
        <f>SUM(Z61:Z66)</f>
        <v>1970302.83</v>
      </c>
      <c r="AB68" s="30">
        <f>SUM(AB61:AB67)</f>
        <v>18146</v>
      </c>
      <c r="AD68" s="25">
        <f>SUM(AD61:AD67)</f>
        <v>720556.66</v>
      </c>
      <c r="AF68" s="25">
        <f>SUM(AF61:AF67)</f>
        <v>949979.9800000001</v>
      </c>
      <c r="AH68" s="30">
        <f>V68+P68+J68+D68+AB68</f>
        <v>70978</v>
      </c>
      <c r="AJ68" s="25">
        <f t="shared" si="28"/>
        <v>3172094.63</v>
      </c>
      <c r="AL68" s="25">
        <f t="shared" si="29"/>
        <v>4203165.0600000005</v>
      </c>
    </row>
    <row r="70" spans="1:38">
      <c r="P70" s="33"/>
      <c r="T70" s="79"/>
      <c r="V70" s="33"/>
      <c r="Z70" s="79"/>
    </row>
  </sheetData>
  <mergeCells count="12">
    <mergeCell ref="AH1:AL1"/>
    <mergeCell ref="AH59:AL59"/>
    <mergeCell ref="D1:H1"/>
    <mergeCell ref="J1:N1"/>
    <mergeCell ref="P1:T1"/>
    <mergeCell ref="V1:Z1"/>
    <mergeCell ref="D59:H59"/>
    <mergeCell ref="J59:N59"/>
    <mergeCell ref="P59:T59"/>
    <mergeCell ref="V59:Z59"/>
    <mergeCell ref="AB1:AF1"/>
    <mergeCell ref="AB59:AF59"/>
  </mergeCells>
  <dataValidations count="2">
    <dataValidation type="custom" showErrorMessage="1" errorTitle="Invalid input" error="Must be a number. Must have a value between 0 and 500000. To delete, enter DELETE THIS." sqref="E36 K36 Q36 W36 E63 E65 K63 K65 Q63 Q65 W63 W65 AI36 AI63 AI65 AC36 AC63 AC65 K67 E67 Q67 W67 AC67 AI67" xr:uid="{3E530C35-9A1D-8A44-BD87-DA616CD8C668}">
      <formula1>OR(AND(AND(ISNUMBER(E36),NOT(ISNUMBER(SEARCH(E36,":")))),E36&lt;=500000,E36&gt;=0),(E36="DELETE THIS"))</formula1>
    </dataValidation>
    <dataValidation type="custom" showErrorMessage="1" errorTitle="Invalid input" error="Must have a length less than or equal to 50. To delete, enter DELETE THIS." sqref="B36 B63" xr:uid="{A4F24FBF-4A9C-3B47-B654-3FF71A4A45DE}">
      <formula1>OR(LEN(B36)&lt;=50,(B36="DELETE THIS"))</formula1>
    </dataValidation>
  </dataValidations>
  <pageMargins left="0.7" right="0.7" top="0.75" bottom="0.75" header="0.3" footer="0.3"/>
  <pageSetup orientation="portrait" horizontalDpi="0" verticalDpi="0"/>
  <ignoredErrors>
    <ignoredError sqref="D4:D14 J61:J62 J4:J32 P61:P64 P4:P56 V61:V64 V18:V56 V65:V66 AB33:AB56 AB61:AB6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SKU Info</vt:lpstr>
      <vt:lpstr>Core Shipments</vt:lpstr>
      <vt:lpstr>Sales TOTAL</vt:lpstr>
      <vt:lpstr>Sales (YEARLY)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Wallus</dc:creator>
  <cp:lastModifiedBy>Amanda Anderson</cp:lastModifiedBy>
  <dcterms:created xsi:type="dcterms:W3CDTF">2021-02-25T18:32:28Z</dcterms:created>
  <dcterms:modified xsi:type="dcterms:W3CDTF">2025-12-08T14:00:08Z</dcterms:modified>
</cp:coreProperties>
</file>